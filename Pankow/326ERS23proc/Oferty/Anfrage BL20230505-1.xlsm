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N:\DZ-SiM\ClientGroup\Stadler Pankow\RFQ\2023\326ERS23proc\Oferty\"/>
    </mc:Choice>
  </mc:AlternateContent>
  <xr:revisionPtr revIDLastSave="0" documentId="13_ncr:1_{E5D93245-0D65-4C1E-9EDA-3ACC2D75EDE0}" xr6:coauthVersionLast="47" xr6:coauthVersionMax="47" xr10:uidLastSave="{00000000-0000-0000-0000-000000000000}"/>
  <bookViews>
    <workbookView xWindow="28680" yWindow="-120" windowWidth="38640" windowHeight="15840" xr2:uid="{00000000-000D-0000-FFFF-FFFF00000000}"/>
  </bookViews>
  <sheets>
    <sheet name="Anfragepaket" sheetId="1" r:id="rId1"/>
    <sheet name="Sayfa1" sheetId="3" r:id="rId2"/>
    <sheet name="Legende" sheetId="2" r:id="rId3"/>
  </sheets>
  <externalReferences>
    <externalReference r:id="rId4"/>
  </externalReferences>
  <definedNames>
    <definedName name="_xlnm._FilterDatabase" localSheetId="0" hidden="1">Anfragepaket!$A$2:$AE$15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 i="1" l="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F3" i="1" l="1"/>
  <c r="R2" i="1" l="1"/>
  <c r="P2" i="1"/>
  <c r="M2" i="1"/>
  <c r="C2" i="1"/>
  <c r="B2" i="1"/>
  <c r="Q2" i="1" s="1"/>
  <c r="A2" i="1"/>
  <c r="D2" i="1" l="1"/>
  <c r="E2" i="1"/>
  <c r="F2" i="1"/>
  <c r="G2" i="1"/>
  <c r="H2" i="1"/>
  <c r="I2" i="1"/>
  <c r="N2" i="1"/>
  <c r="J2" i="1"/>
  <c r="K2" i="1"/>
  <c r="L2" i="1"/>
  <c r="O2" i="1"/>
  <c r="AE2" i="1"/>
  <c r="AD2" i="1"/>
  <c r="AC2" i="1"/>
  <c r="AB2" i="1"/>
  <c r="AA2" i="1"/>
  <c r="Z2" i="1"/>
  <c r="Y2" i="1"/>
  <c r="X2" i="1"/>
  <c r="W2" i="1"/>
  <c r="V2" i="1"/>
  <c r="U2" i="1"/>
  <c r="T2" i="1"/>
  <c r="S2" i="1"/>
  <c r="AA1" i="1" l="1"/>
  <c r="AD1" i="1"/>
  <c r="D3" i="1" l="1"/>
  <c r="K3" i="1"/>
  <c r="J3" i="1"/>
  <c r="G3" i="1"/>
  <c r="N3" i="1"/>
  <c r="Q3" i="1"/>
  <c r="I3" i="1"/>
  <c r="H3" i="1"/>
  <c r="E3" i="1"/>
  <c r="L3" i="1"/>
  <c r="Y3" i="1" l="1"/>
</calcChain>
</file>

<file path=xl/sharedStrings.xml><?xml version="1.0" encoding="utf-8"?>
<sst xmlns="http://schemas.openxmlformats.org/spreadsheetml/2006/main" count="256" uniqueCount="50">
  <si>
    <t>* Zusatzkosten können alle Kosten umfassen, die über die Kosten des Materials hinausgehen. Eine obligatorische Beschreibung der zusätzlichen Kosten ist erforderlich. Die zusätzlichen Kosten müssen für alle gewünschten Mengen angegeben werden.</t>
  </si>
  <si>
    <t>* Das Material umfasst die Kosten für Metall, Farbe, Bolzen, Nieten, Schrauben usw., sofern angegeben. Im Material sind die Kosten für Werkzeuge und Logistik nicht enthalten. diese sind im Angebot separat auszuweisen.</t>
  </si>
  <si>
    <t>Grüne Felder:</t>
  </si>
  <si>
    <t>Angebotsersteller füllt aus</t>
  </si>
  <si>
    <t>Stadlerangaben</t>
  </si>
  <si>
    <t>Graue Felder:</t>
  </si>
  <si>
    <t>Gesamtkosten:</t>
  </si>
  <si>
    <t>Einzelpreis x Bedarfsmenge + Zusatzkosten</t>
  </si>
  <si>
    <t>Euro</t>
  </si>
  <si>
    <t>English</t>
  </si>
  <si>
    <t>Deutsch</t>
  </si>
  <si>
    <t>--</t>
  </si>
  <si>
    <t/>
  </si>
  <si>
    <t>Stk</t>
  </si>
  <si>
    <t>828521</t>
  </si>
  <si>
    <t>A0</t>
  </si>
  <si>
    <t>70000082828521</t>
  </si>
  <si>
    <t>70000083828521</t>
  </si>
  <si>
    <t>70000084828521</t>
  </si>
  <si>
    <t>70000085828521</t>
  </si>
  <si>
    <t>70000086828521</t>
  </si>
  <si>
    <t>70000087828521</t>
  </si>
  <si>
    <t>70000088828521</t>
  </si>
  <si>
    <t>70000090828521</t>
  </si>
  <si>
    <t>70000091828521</t>
  </si>
  <si>
    <t>70000096828521</t>
  </si>
  <si>
    <t>70001181828521</t>
  </si>
  <si>
    <t>70001182828521</t>
  </si>
  <si>
    <t>70001183828521</t>
  </si>
  <si>
    <t>70001184828521</t>
  </si>
  <si>
    <t>70001226828521</t>
  </si>
  <si>
    <t>70001441828521</t>
  </si>
  <si>
    <t>70001162828521</t>
  </si>
  <si>
    <t>70001163828521</t>
  </si>
  <si>
    <t>70001171828521</t>
  </si>
  <si>
    <t>70001172828521</t>
  </si>
  <si>
    <t>70002557828521</t>
  </si>
  <si>
    <t>70001117828521</t>
  </si>
  <si>
    <t>70001118828521</t>
  </si>
  <si>
    <t>70001107828521</t>
  </si>
  <si>
    <t>70001108828521</t>
  </si>
  <si>
    <t>70001109828521</t>
  </si>
  <si>
    <t>70001110828521</t>
  </si>
  <si>
    <t>70001111828521</t>
  </si>
  <si>
    <t>70001332828521</t>
  </si>
  <si>
    <t>70002563828521</t>
  </si>
  <si>
    <t>70002564828521</t>
  </si>
  <si>
    <t>BL20230505-1</t>
  </si>
  <si>
    <t>223/ERS/23/OF</t>
  </si>
  <si>
    <t xml:space="preserve">30 Tage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</si>
</sst>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
  </numFmts>
  <fonts count="6" x14ac:knownFonts="1">
    <font>
      <sz val="11"/>
      <color theme="1"/>
      <name val="Calibri"/>
      <family val="2"/>
      <scheme val="minor"/>
    </font>
    <font>
      <sz val="14"/>
      <color theme="1"/>
      <name val="Calibri"/>
      <family val="2"/>
      <scheme val="minor"/>
    </font>
    <font>
      <b/>
      <sz val="14"/>
      <color theme="1"/>
      <name val="Calibri"/>
      <family val="2"/>
      <scheme val="minor"/>
    </font>
    <font>
      <b/>
      <sz val="11"/>
      <color theme="1"/>
      <name val="Arial"/>
      <family val="2"/>
    </font>
    <font>
      <sz val="11"/>
      <color theme="1"/>
      <name val="Arial"/>
      <family val="2"/>
    </font>
    <font>
      <sz val="11"/>
      <color rgb="FF000000"/>
      <name val="Calibri"/>
      <family val="2"/>
      <charset val="238"/>
    </font>
  </fonts>
  <fills count="5">
    <fill>
      <patternFill patternType="none"/>
    </fill>
    <fill>
      <patternFill patternType="gray125"/>
    </fill>
    <fill>
      <patternFill patternType="solid">
        <fgColor theme="6" tint="0.59999389629810485"/>
        <bgColor indexed="64"/>
      </patternFill>
    </fill>
    <fill>
      <patternFill patternType="solid">
        <fgColor theme="9" tint="0.59999389629810485"/>
        <bgColor indexed="64"/>
      </patternFill>
    </fill>
    <fill>
      <patternFill patternType="solid">
        <fgColor theme="9"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0">
    <xf numFmtId="0" fontId="0" fillId="0" borderId="0" xfId="0"/>
    <xf numFmtId="0" fontId="4" fillId="3" borderId="1" xfId="0" applyFont="1" applyFill="1" applyBorder="1" applyAlignment="1">
      <alignment horizontal="center" wrapText="1"/>
    </xf>
    <xf numFmtId="0" fontId="4" fillId="2" borderId="1" xfId="0" applyFont="1" applyFill="1" applyBorder="1" applyAlignment="1">
      <alignment horizontal="center"/>
    </xf>
    <xf numFmtId="0" fontId="0" fillId="0" borderId="0" xfId="0" applyProtection="1">
      <protection locked="0"/>
    </xf>
    <xf numFmtId="0" fontId="2" fillId="0" borderId="0" xfId="0" applyFont="1"/>
    <xf numFmtId="164"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2" fillId="0" borderId="0" xfId="0" applyFont="1" applyAlignment="1">
      <alignment horizontal="right"/>
    </xf>
    <xf numFmtId="0" fontId="2" fillId="0" borderId="0" xfId="0" applyFont="1" applyAlignment="1">
      <alignment horizontal="center"/>
    </xf>
    <xf numFmtId="14" fontId="0" fillId="0" borderId="0" xfId="0" applyNumberFormat="1" applyAlignment="1">
      <alignment horizontal="center"/>
    </xf>
    <xf numFmtId="0" fontId="2" fillId="0" borderId="0" xfId="0" applyFont="1" applyAlignment="1">
      <alignment wrapText="1"/>
    </xf>
    <xf numFmtId="0" fontId="3" fillId="0" borderId="3" xfId="0" applyFont="1" applyBorder="1" applyAlignment="1">
      <alignment horizontal="center" textRotation="90" wrapText="1"/>
    </xf>
    <xf numFmtId="0" fontId="3" fillId="4" borderId="3" xfId="0" applyFont="1" applyFill="1" applyBorder="1" applyAlignment="1">
      <alignment horizontal="center" textRotation="90"/>
    </xf>
    <xf numFmtId="2" fontId="3" fillId="4" borderId="3" xfId="0" applyNumberFormat="1" applyFont="1" applyFill="1" applyBorder="1" applyAlignment="1">
      <alignment horizontal="center" textRotation="90" wrapText="1"/>
    </xf>
    <xf numFmtId="0" fontId="3" fillId="4" borderId="3" xfId="0" applyFont="1" applyFill="1" applyBorder="1" applyAlignment="1">
      <alignment horizontal="center" wrapText="1"/>
    </xf>
    <xf numFmtId="2" fontId="3" fillId="4" borderId="2" xfId="0" applyNumberFormat="1" applyFont="1" applyFill="1" applyBorder="1" applyAlignment="1">
      <alignment horizontal="center" textRotation="90" wrapText="1"/>
    </xf>
    <xf numFmtId="0" fontId="1" fillId="0" borderId="0" xfId="0" applyFont="1" applyAlignment="1">
      <alignment horizontal="center"/>
    </xf>
    <xf numFmtId="14" fontId="0" fillId="0" borderId="0" xfId="0" applyNumberFormat="1"/>
    <xf numFmtId="14" fontId="0" fillId="0" borderId="0" xfId="0" applyNumberFormat="1" applyProtection="1">
      <protection locked="0"/>
    </xf>
  </cellXfs>
  <cellStyles count="1">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0</xdr:rowOff>
        </xdr:from>
        <xdr:to>
          <xdr:col>1</xdr:col>
          <xdr:colOff>0</xdr:colOff>
          <xdr:row>0</xdr:row>
          <xdr:rowOff>342900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100" b="0" i="0" u="none" strike="noStrike" baseline="0">
                  <a:solidFill>
                    <a:srgbClr val="000000"/>
                  </a:solidFill>
                  <a:latin typeface="Calibri"/>
                  <a:cs typeface="Calibri"/>
                </a:rPr>
                <a:t>Ausfüllen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54.24\company\Purchasing\STAP\MaWi\23%20BME2\01%20Team\BME%202.2\Thomas%20Blank\BLATHO-Masterlis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elle1"/>
      <sheetName val="Masterliste"/>
      <sheetName val="Grobgeplant-Alt"/>
      <sheetName val="Lackierung Milano"/>
    </sheetNames>
    <sheetDataSet>
      <sheetData sheetId="0" refreshError="1"/>
      <sheetData sheetId="1" refreshError="1">
        <row r="1">
          <cell r="B1">
            <v>45036.291154050923</v>
          </cell>
          <cell r="D1" t="str">
            <v>Übersicht grobgeplante Aufträge</v>
          </cell>
        </row>
        <row r="2">
          <cell r="A2" t="str">
            <v>Schlüssel</v>
          </cell>
          <cell r="B2" t="str">
            <v>Kommentar</v>
          </cell>
          <cell r="C2" t="str">
            <v>Anzahl Angebote</v>
          </cell>
          <cell r="D2" t="str">
            <v>Bearbeiter</v>
          </cell>
          <cell r="E2" t="str">
            <v>ANR</v>
          </cell>
          <cell r="F2" t="str">
            <v>KOMA</v>
          </cell>
          <cell r="G2" t="str">
            <v>MNR</v>
          </cell>
          <cell r="H2" t="str">
            <v>Benennung</v>
          </cell>
          <cell r="I2" t="str">
            <v>Menge</v>
          </cell>
          <cell r="J2" t="str">
            <v>ME</v>
          </cell>
          <cell r="K2" t="str">
            <v>Termin</v>
          </cell>
          <cell r="L2" t="str">
            <v>Kommission</v>
          </cell>
          <cell r="M2" t="str">
            <v>Zug</v>
          </cell>
          <cell r="N2" t="str">
            <v>FAB-Nr.</v>
          </cell>
          <cell r="O2" t="str">
            <v>KTR</v>
          </cell>
          <cell r="P2" t="str">
            <v>Hersteller</v>
          </cell>
          <cell r="Q2" t="str">
            <v>Werkstoff1</v>
          </cell>
          <cell r="R2" t="str">
            <v>Werkstoff2</v>
          </cell>
          <cell r="S2" t="str">
            <v>Werkstoff3</v>
          </cell>
          <cell r="T2" t="str">
            <v>Werkstoff4</v>
          </cell>
          <cell r="U2" t="str">
            <v>Abmessung</v>
          </cell>
          <cell r="V2" t="str">
            <v>Artikelgruppe</v>
          </cell>
          <cell r="W2" t="str">
            <v>Zeugnis</v>
          </cell>
          <cell r="X2" t="str">
            <v>Klebevorschrift</v>
          </cell>
          <cell r="Y2" t="str">
            <v>Schweissprüfung</v>
          </cell>
          <cell r="Z2" t="str">
            <v>Brandschutz DIN</v>
          </cell>
          <cell r="AA2" t="str">
            <v>Tox-Nachweis DIN</v>
          </cell>
          <cell r="AB2" t="str">
            <v>Zeichnungsnr</v>
          </cell>
          <cell r="AC2" t="str">
            <v>Planart</v>
          </cell>
          <cell r="AD2" t="str">
            <v>Stand</v>
          </cell>
          <cell r="AE2" t="str">
            <v>Tag</v>
          </cell>
          <cell r="AF2" t="str">
            <v>Ebene</v>
          </cell>
          <cell r="AG2" t="str">
            <v>Ressource</v>
          </cell>
          <cell r="AH2" t="str">
            <v>Erstellt-am</v>
          </cell>
          <cell r="AI2" t="str">
            <v>Artikelgruppe</v>
          </cell>
          <cell r="AJ2" t="str">
            <v>Status Zeichng</v>
          </cell>
          <cell r="AK2" t="str">
            <v>Zeichnungsindex</v>
          </cell>
        </row>
        <row r="3">
          <cell r="A3" t="str">
            <v>12482062829053</v>
          </cell>
          <cell r="B3" t="e">
            <v>#N/A</v>
          </cell>
          <cell r="C3">
            <v>14</v>
          </cell>
          <cell r="D3" t="str">
            <v>EK65</v>
          </cell>
          <cell r="E3" t="str">
            <v>478456</v>
          </cell>
          <cell r="F3" t="str">
            <v>E</v>
          </cell>
          <cell r="G3" t="str">
            <v>12482062</v>
          </cell>
          <cell r="H3" t="str">
            <v>Haltewinkel w.g.</v>
          </cell>
          <cell r="I3">
            <v>45</v>
          </cell>
          <cell r="J3" t="str">
            <v>Stk</v>
          </cell>
          <cell r="K3">
            <v>45212</v>
          </cell>
          <cell r="L3" t="str">
            <v>829053</v>
          </cell>
          <cell r="M3" t="str">
            <v/>
          </cell>
          <cell r="N3" t="str">
            <v/>
          </cell>
          <cell r="O3" t="str">
            <v/>
          </cell>
          <cell r="P3" t="str">
            <v/>
          </cell>
          <cell r="Q3" t="str">
            <v/>
          </cell>
          <cell r="R3" t="str">
            <v/>
          </cell>
          <cell r="S3" t="str">
            <v/>
          </cell>
          <cell r="T3" t="str">
            <v/>
          </cell>
          <cell r="U3" t="str">
            <v/>
          </cell>
          <cell r="V3" t="str">
            <v>N52</v>
          </cell>
          <cell r="W3" t="str">
            <v/>
          </cell>
          <cell r="X3" t="str">
            <v/>
          </cell>
          <cell r="Y3" t="str">
            <v/>
          </cell>
          <cell r="Z3" t="str">
            <v/>
          </cell>
          <cell r="AA3" t="str">
            <v/>
          </cell>
          <cell r="AB3" t="str">
            <v>PA_4356238-PB.7005-3</v>
          </cell>
          <cell r="AC3">
            <v>1</v>
          </cell>
          <cell r="AD3" t="str">
            <v/>
          </cell>
          <cell r="AE3">
            <v>0</v>
          </cell>
          <cell r="AF3" t="str">
            <v/>
          </cell>
          <cell r="AG3" t="str">
            <v>12482062</v>
          </cell>
          <cell r="AH3">
            <v>44540.893101851849</v>
          </cell>
          <cell r="AI3" t="str">
            <v>N52</v>
          </cell>
          <cell r="AJ3" t="str">
            <v>F</v>
          </cell>
          <cell r="AK3" t="str">
            <v/>
          </cell>
        </row>
        <row r="4">
          <cell r="A4" t="str">
            <v>12482066829053</v>
          </cell>
          <cell r="B4" t="e">
            <v>#N/A</v>
          </cell>
          <cell r="C4">
            <v>14</v>
          </cell>
          <cell r="D4" t="str">
            <v>EK65</v>
          </cell>
          <cell r="E4" t="str">
            <v>478457</v>
          </cell>
          <cell r="F4" t="str">
            <v>E</v>
          </cell>
          <cell r="G4" t="str">
            <v>12482066</v>
          </cell>
          <cell r="H4" t="str">
            <v>Haltewinkel sp.g</v>
          </cell>
          <cell r="I4">
            <v>45</v>
          </cell>
          <cell r="J4" t="str">
            <v>Stk</v>
          </cell>
          <cell r="K4">
            <v>45212</v>
          </cell>
          <cell r="L4" t="str">
            <v>829053</v>
          </cell>
          <cell r="M4" t="str">
            <v/>
          </cell>
          <cell r="N4" t="str">
            <v/>
          </cell>
          <cell r="O4" t="str">
            <v/>
          </cell>
          <cell r="P4" t="str">
            <v/>
          </cell>
          <cell r="Q4" t="str">
            <v/>
          </cell>
          <cell r="R4" t="str">
            <v/>
          </cell>
          <cell r="S4" t="str">
            <v/>
          </cell>
          <cell r="T4" t="str">
            <v/>
          </cell>
          <cell r="U4" t="str">
            <v/>
          </cell>
          <cell r="V4" t="str">
            <v>N52</v>
          </cell>
          <cell r="W4" t="str">
            <v/>
          </cell>
          <cell r="X4" t="str">
            <v/>
          </cell>
          <cell r="Y4" t="str">
            <v/>
          </cell>
          <cell r="Z4" t="str">
            <v/>
          </cell>
          <cell r="AA4" t="str">
            <v/>
          </cell>
          <cell r="AB4" t="str">
            <v>PA_4356238-PB.7005-3</v>
          </cell>
          <cell r="AC4">
            <v>1</v>
          </cell>
          <cell r="AD4" t="str">
            <v/>
          </cell>
          <cell r="AE4">
            <v>0</v>
          </cell>
          <cell r="AF4" t="str">
            <v/>
          </cell>
          <cell r="AG4" t="str">
            <v>12482066</v>
          </cell>
          <cell r="AH4">
            <v>44540.893113425926</v>
          </cell>
          <cell r="AI4" t="str">
            <v>N52</v>
          </cell>
          <cell r="AJ4" t="str">
            <v>F</v>
          </cell>
          <cell r="AK4" t="str">
            <v/>
          </cell>
        </row>
        <row r="5">
          <cell r="A5" t="str">
            <v>12487288829054</v>
          </cell>
          <cell r="B5" t="e">
            <v>#N/A</v>
          </cell>
          <cell r="C5">
            <v>21</v>
          </cell>
          <cell r="D5" t="str">
            <v>EK65</v>
          </cell>
          <cell r="E5" t="str">
            <v>478479</v>
          </cell>
          <cell r="F5" t="str">
            <v>E</v>
          </cell>
          <cell r="G5" t="str">
            <v>12487288</v>
          </cell>
          <cell r="H5" t="str">
            <v>Halter fuer Rohrschelle</v>
          </cell>
          <cell r="I5">
            <v>18</v>
          </cell>
          <cell r="J5" t="str">
            <v>Stk</v>
          </cell>
          <cell r="K5">
            <v>45191</v>
          </cell>
          <cell r="L5" t="str">
            <v>829054</v>
          </cell>
          <cell r="M5" t="str">
            <v/>
          </cell>
          <cell r="N5" t="str">
            <v/>
          </cell>
          <cell r="O5" t="str">
            <v/>
          </cell>
          <cell r="P5" t="str">
            <v/>
          </cell>
          <cell r="Q5" t="str">
            <v/>
          </cell>
          <cell r="R5" t="str">
            <v/>
          </cell>
          <cell r="S5" t="str">
            <v/>
          </cell>
          <cell r="T5" t="str">
            <v/>
          </cell>
          <cell r="U5" t="str">
            <v/>
          </cell>
          <cell r="V5" t="str">
            <v>N52</v>
          </cell>
          <cell r="W5" t="str">
            <v/>
          </cell>
          <cell r="X5" t="str">
            <v/>
          </cell>
          <cell r="Y5" t="str">
            <v/>
          </cell>
          <cell r="Z5" t="str">
            <v/>
          </cell>
          <cell r="AA5" t="str">
            <v/>
          </cell>
          <cell r="AB5" t="str">
            <v>PA_4374431-QE.7005-4</v>
          </cell>
          <cell r="AC5">
            <v>1</v>
          </cell>
          <cell r="AD5" t="str">
            <v/>
          </cell>
          <cell r="AE5">
            <v>0</v>
          </cell>
          <cell r="AF5" t="str">
            <v/>
          </cell>
          <cell r="AG5" t="str">
            <v>12487288</v>
          </cell>
          <cell r="AH5">
            <v>44540.893368055556</v>
          </cell>
          <cell r="AI5" t="str">
            <v>N52</v>
          </cell>
          <cell r="AJ5" t="str">
            <v>F</v>
          </cell>
          <cell r="AK5" t="str">
            <v/>
          </cell>
        </row>
        <row r="6">
          <cell r="A6" t="str">
            <v>12487288829051</v>
          </cell>
          <cell r="B6" t="e">
            <v>#N/A</v>
          </cell>
          <cell r="C6">
            <v>21</v>
          </cell>
          <cell r="D6" t="str">
            <v>EK65</v>
          </cell>
          <cell r="E6" t="str">
            <v>478480</v>
          </cell>
          <cell r="F6" t="str">
            <v>E</v>
          </cell>
          <cell r="G6" t="str">
            <v>12487288</v>
          </cell>
          <cell r="H6" t="str">
            <v>Halter fuer Rohrschelle</v>
          </cell>
          <cell r="I6">
            <v>89</v>
          </cell>
          <cell r="J6" t="str">
            <v>Stk</v>
          </cell>
          <cell r="K6">
            <v>45308</v>
          </cell>
          <cell r="L6" t="str">
            <v>829051</v>
          </cell>
          <cell r="M6" t="str">
            <v/>
          </cell>
          <cell r="N6" t="str">
            <v/>
          </cell>
          <cell r="O6" t="str">
            <v/>
          </cell>
          <cell r="P6" t="str">
            <v/>
          </cell>
          <cell r="Q6" t="str">
            <v/>
          </cell>
          <cell r="R6" t="str">
            <v/>
          </cell>
          <cell r="S6" t="str">
            <v/>
          </cell>
          <cell r="T6" t="str">
            <v/>
          </cell>
          <cell r="U6" t="str">
            <v/>
          </cell>
          <cell r="V6" t="str">
            <v>N52</v>
          </cell>
          <cell r="W6" t="str">
            <v/>
          </cell>
          <cell r="X6" t="str">
            <v/>
          </cell>
          <cell r="Y6" t="str">
            <v/>
          </cell>
          <cell r="Z6" t="str">
            <v/>
          </cell>
          <cell r="AA6" t="str">
            <v/>
          </cell>
          <cell r="AB6" t="str">
            <v>PA_4374431-QE.7005-4</v>
          </cell>
          <cell r="AC6">
            <v>1</v>
          </cell>
          <cell r="AD6" t="str">
            <v/>
          </cell>
          <cell r="AE6">
            <v>0</v>
          </cell>
          <cell r="AF6" t="str">
            <v/>
          </cell>
          <cell r="AG6" t="str">
            <v>12487288</v>
          </cell>
          <cell r="AH6">
            <v>44540.893368055556</v>
          </cell>
          <cell r="AI6" t="str">
            <v>N52</v>
          </cell>
          <cell r="AJ6" t="str">
            <v>F</v>
          </cell>
          <cell r="AK6" t="str">
            <v/>
          </cell>
        </row>
        <row r="7">
          <cell r="A7" t="str">
            <v>12487297829054</v>
          </cell>
          <cell r="B7" t="e">
            <v>#N/A</v>
          </cell>
          <cell r="C7">
            <v>12</v>
          </cell>
          <cell r="D7" t="str">
            <v>EK65</v>
          </cell>
          <cell r="E7" t="str">
            <v>478481</v>
          </cell>
          <cell r="F7" t="str">
            <v>E</v>
          </cell>
          <cell r="G7" t="str">
            <v>12487297</v>
          </cell>
          <cell r="H7" t="str">
            <v>Klemmbuchse ID12,5 AD30 H40</v>
          </cell>
          <cell r="I7">
            <v>88</v>
          </cell>
          <cell r="J7" t="str">
            <v>Stk</v>
          </cell>
          <cell r="K7">
            <v>45217</v>
          </cell>
          <cell r="L7" t="str">
            <v>829054</v>
          </cell>
          <cell r="M7" t="str">
            <v/>
          </cell>
          <cell r="N7" t="str">
            <v/>
          </cell>
          <cell r="O7" t="str">
            <v/>
          </cell>
          <cell r="P7" t="str">
            <v/>
          </cell>
          <cell r="Q7" t="str">
            <v/>
          </cell>
          <cell r="R7" t="str">
            <v/>
          </cell>
          <cell r="S7" t="str">
            <v/>
          </cell>
          <cell r="T7" t="str">
            <v/>
          </cell>
          <cell r="U7" t="str">
            <v/>
          </cell>
          <cell r="V7" t="str">
            <v>N52</v>
          </cell>
          <cell r="W7" t="str">
            <v/>
          </cell>
          <cell r="X7" t="str">
            <v/>
          </cell>
          <cell r="Y7" t="str">
            <v/>
          </cell>
          <cell r="Z7" t="str">
            <v/>
          </cell>
          <cell r="AA7" t="str">
            <v/>
          </cell>
          <cell r="AB7" t="str">
            <v>PA_4399611-QE.7005-3</v>
          </cell>
          <cell r="AC7">
            <v>1</v>
          </cell>
          <cell r="AD7" t="str">
            <v/>
          </cell>
          <cell r="AE7">
            <v>0</v>
          </cell>
          <cell r="AF7" t="str">
            <v/>
          </cell>
          <cell r="AG7" t="str">
            <v>12487297</v>
          </cell>
          <cell r="AH7">
            <v>44540.893391203703</v>
          </cell>
          <cell r="AI7" t="str">
            <v>N52</v>
          </cell>
          <cell r="AJ7" t="str">
            <v>F</v>
          </cell>
          <cell r="AK7" t="str">
            <v/>
          </cell>
        </row>
        <row r="8">
          <cell r="A8" t="str">
            <v>12487297829051</v>
          </cell>
          <cell r="B8" t="e">
            <v>#N/A</v>
          </cell>
          <cell r="C8">
            <v>12</v>
          </cell>
          <cell r="D8" t="str">
            <v>EK65</v>
          </cell>
          <cell r="E8" t="str">
            <v>478482</v>
          </cell>
          <cell r="F8" t="str">
            <v>E</v>
          </cell>
          <cell r="G8" t="str">
            <v>12487297</v>
          </cell>
          <cell r="H8" t="str">
            <v>Klemmbuchse ID12,5 AD30 H40</v>
          </cell>
          <cell r="I8">
            <v>536</v>
          </cell>
          <cell r="J8" t="str">
            <v>Stk</v>
          </cell>
          <cell r="K8">
            <v>45308</v>
          </cell>
          <cell r="L8" t="str">
            <v>829051</v>
          </cell>
          <cell r="M8" t="str">
            <v/>
          </cell>
          <cell r="N8" t="str">
            <v/>
          </cell>
          <cell r="O8" t="str">
            <v/>
          </cell>
          <cell r="P8" t="str">
            <v/>
          </cell>
          <cell r="Q8" t="str">
            <v/>
          </cell>
          <cell r="R8" t="str">
            <v/>
          </cell>
          <cell r="S8" t="str">
            <v/>
          </cell>
          <cell r="T8" t="str">
            <v/>
          </cell>
          <cell r="U8" t="str">
            <v/>
          </cell>
          <cell r="V8" t="str">
            <v>N52</v>
          </cell>
          <cell r="W8" t="str">
            <v/>
          </cell>
          <cell r="X8" t="str">
            <v/>
          </cell>
          <cell r="Y8" t="str">
            <v/>
          </cell>
          <cell r="Z8" t="str">
            <v/>
          </cell>
          <cell r="AA8" t="str">
            <v/>
          </cell>
          <cell r="AB8" t="str">
            <v>PA_4399611-QE.7005-3</v>
          </cell>
          <cell r="AC8">
            <v>1</v>
          </cell>
          <cell r="AD8" t="str">
            <v/>
          </cell>
          <cell r="AE8">
            <v>0</v>
          </cell>
          <cell r="AF8" t="str">
            <v/>
          </cell>
          <cell r="AG8" t="str">
            <v>12487297</v>
          </cell>
          <cell r="AH8">
            <v>44540.893391203703</v>
          </cell>
          <cell r="AI8" t="str">
            <v>N52</v>
          </cell>
          <cell r="AJ8" t="str">
            <v>F</v>
          </cell>
          <cell r="AK8" t="str">
            <v/>
          </cell>
        </row>
        <row r="9">
          <cell r="A9" t="str">
            <v>12488864829054</v>
          </cell>
          <cell r="B9" t="e">
            <v>#N/A</v>
          </cell>
          <cell r="C9">
            <v>21</v>
          </cell>
          <cell r="D9" t="str">
            <v>EK65</v>
          </cell>
          <cell r="E9" t="str">
            <v>478506</v>
          </cell>
          <cell r="F9" t="str">
            <v>E</v>
          </cell>
          <cell r="G9" t="str">
            <v>12488864</v>
          </cell>
          <cell r="H9" t="str">
            <v>Halter fuer Rohrschellen</v>
          </cell>
          <cell r="I9">
            <v>18</v>
          </cell>
          <cell r="J9" t="str">
            <v>Stk</v>
          </cell>
          <cell r="K9">
            <v>45191</v>
          </cell>
          <cell r="L9" t="str">
            <v>829054</v>
          </cell>
          <cell r="M9" t="str">
            <v/>
          </cell>
          <cell r="N9" t="str">
            <v/>
          </cell>
          <cell r="O9" t="str">
            <v/>
          </cell>
          <cell r="P9" t="str">
            <v/>
          </cell>
          <cell r="Q9" t="str">
            <v/>
          </cell>
          <cell r="R9" t="str">
            <v/>
          </cell>
          <cell r="S9" t="str">
            <v/>
          </cell>
          <cell r="T9" t="str">
            <v/>
          </cell>
          <cell r="U9" t="str">
            <v/>
          </cell>
          <cell r="V9" t="str">
            <v>N52</v>
          </cell>
          <cell r="W9" t="str">
            <v/>
          </cell>
          <cell r="X9" t="str">
            <v/>
          </cell>
          <cell r="Y9" t="str">
            <v/>
          </cell>
          <cell r="Z9" t="str">
            <v/>
          </cell>
          <cell r="AA9" t="str">
            <v/>
          </cell>
          <cell r="AB9" t="str">
            <v>PA_4374180-QE.7005-3</v>
          </cell>
          <cell r="AC9">
            <v>1</v>
          </cell>
          <cell r="AD9" t="str">
            <v/>
          </cell>
          <cell r="AE9">
            <v>0</v>
          </cell>
          <cell r="AF9" t="str">
            <v/>
          </cell>
          <cell r="AG9" t="str">
            <v>12488864</v>
          </cell>
          <cell r="AH9">
            <v>44540.893622685187</v>
          </cell>
          <cell r="AI9" t="str">
            <v>N52</v>
          </cell>
          <cell r="AJ9" t="str">
            <v>F</v>
          </cell>
          <cell r="AK9" t="str">
            <v/>
          </cell>
        </row>
        <row r="10">
          <cell r="A10" t="str">
            <v>12488864829051</v>
          </cell>
          <cell r="B10" t="e">
            <v>#N/A</v>
          </cell>
          <cell r="C10">
            <v>21</v>
          </cell>
          <cell r="D10" t="str">
            <v>EK65</v>
          </cell>
          <cell r="E10" t="str">
            <v>478507</v>
          </cell>
          <cell r="F10" t="str">
            <v>E</v>
          </cell>
          <cell r="G10" t="str">
            <v>12488864</v>
          </cell>
          <cell r="H10" t="str">
            <v>Halter fuer Rohrschellen</v>
          </cell>
          <cell r="I10">
            <v>89</v>
          </cell>
          <cell r="J10" t="str">
            <v>Stk</v>
          </cell>
          <cell r="K10">
            <v>45308</v>
          </cell>
          <cell r="L10" t="str">
            <v>829051</v>
          </cell>
          <cell r="M10" t="str">
            <v/>
          </cell>
          <cell r="N10" t="str">
            <v/>
          </cell>
          <cell r="O10" t="str">
            <v/>
          </cell>
          <cell r="P10" t="str">
            <v/>
          </cell>
          <cell r="Q10" t="str">
            <v/>
          </cell>
          <cell r="R10" t="str">
            <v/>
          </cell>
          <cell r="S10" t="str">
            <v/>
          </cell>
          <cell r="T10" t="str">
            <v/>
          </cell>
          <cell r="U10" t="str">
            <v/>
          </cell>
          <cell r="V10" t="str">
            <v>N52</v>
          </cell>
          <cell r="W10" t="str">
            <v/>
          </cell>
          <cell r="X10" t="str">
            <v/>
          </cell>
          <cell r="Y10" t="str">
            <v/>
          </cell>
          <cell r="Z10" t="str">
            <v/>
          </cell>
          <cell r="AA10" t="str">
            <v/>
          </cell>
          <cell r="AB10" t="str">
            <v>PA_4374180-QE.7005-3</v>
          </cell>
          <cell r="AC10">
            <v>1</v>
          </cell>
          <cell r="AD10" t="str">
            <v/>
          </cell>
          <cell r="AE10">
            <v>0</v>
          </cell>
          <cell r="AF10" t="str">
            <v/>
          </cell>
          <cell r="AG10" t="str">
            <v>12488864</v>
          </cell>
          <cell r="AH10">
            <v>44540.893622685187</v>
          </cell>
          <cell r="AI10" t="str">
            <v>N52</v>
          </cell>
          <cell r="AJ10" t="str">
            <v>F</v>
          </cell>
          <cell r="AK10" t="str">
            <v/>
          </cell>
        </row>
        <row r="11">
          <cell r="A11" t="str">
            <v>12490898829054</v>
          </cell>
          <cell r="B11" t="e">
            <v>#N/A</v>
          </cell>
          <cell r="C11">
            <v>6</v>
          </cell>
          <cell r="D11" t="str">
            <v>EK65</v>
          </cell>
          <cell r="E11" t="str">
            <v>478550</v>
          </cell>
          <cell r="F11" t="str">
            <v>E</v>
          </cell>
          <cell r="G11" t="str">
            <v>12490898</v>
          </cell>
          <cell r="H11" t="str">
            <v>Halter ZGE JK</v>
          </cell>
          <cell r="I11">
            <v>18</v>
          </cell>
          <cell r="J11" t="str">
            <v>Stk</v>
          </cell>
          <cell r="K11">
            <v>45196</v>
          </cell>
          <cell r="L11" t="str">
            <v>829054</v>
          </cell>
          <cell r="M11" t="str">
            <v/>
          </cell>
          <cell r="N11" t="str">
            <v/>
          </cell>
          <cell r="O11" t="str">
            <v/>
          </cell>
          <cell r="P11" t="str">
            <v/>
          </cell>
          <cell r="Q11" t="str">
            <v/>
          </cell>
          <cell r="R11" t="str">
            <v/>
          </cell>
          <cell r="S11" t="str">
            <v/>
          </cell>
          <cell r="T11" t="str">
            <v/>
          </cell>
          <cell r="U11" t="str">
            <v/>
          </cell>
          <cell r="V11" t="str">
            <v>N52</v>
          </cell>
          <cell r="W11" t="str">
            <v/>
          </cell>
          <cell r="X11" t="str">
            <v/>
          </cell>
          <cell r="Y11" t="str">
            <v/>
          </cell>
          <cell r="Z11" t="str">
            <v/>
          </cell>
          <cell r="AA11" t="str">
            <v/>
          </cell>
          <cell r="AB11" t="str">
            <v>PA_2336058-QE.7005-3</v>
          </cell>
          <cell r="AC11">
            <v>1</v>
          </cell>
          <cell r="AD11" t="str">
            <v/>
          </cell>
          <cell r="AE11">
            <v>0</v>
          </cell>
          <cell r="AF11" t="str">
            <v/>
          </cell>
          <cell r="AG11" t="str">
            <v>12490898</v>
          </cell>
          <cell r="AH11">
            <v>44540.894074074073</v>
          </cell>
          <cell r="AI11" t="str">
            <v>N52</v>
          </cell>
          <cell r="AJ11" t="str">
            <v>F</v>
          </cell>
          <cell r="AK11" t="str">
            <v/>
          </cell>
        </row>
        <row r="12">
          <cell r="A12" t="str">
            <v>12508618829053</v>
          </cell>
          <cell r="B12" t="e">
            <v>#N/A</v>
          </cell>
          <cell r="C12">
            <v>12</v>
          </cell>
          <cell r="D12" t="str">
            <v>EK65</v>
          </cell>
          <cell r="E12" t="str">
            <v>478675</v>
          </cell>
          <cell r="F12" t="str">
            <v>E</v>
          </cell>
          <cell r="G12" t="str">
            <v>12508618</v>
          </cell>
          <cell r="H12" t="str">
            <v>Unterlage</v>
          </cell>
          <cell r="I12">
            <v>668</v>
          </cell>
          <cell r="J12" t="str">
            <v>Stk</v>
          </cell>
          <cell r="K12">
            <v>45114</v>
          </cell>
          <cell r="L12" t="str">
            <v>829053</v>
          </cell>
          <cell r="M12" t="str">
            <v/>
          </cell>
          <cell r="N12" t="str">
            <v/>
          </cell>
          <cell r="O12" t="str">
            <v/>
          </cell>
          <cell r="P12" t="str">
            <v/>
          </cell>
          <cell r="Q12" t="str">
            <v/>
          </cell>
          <cell r="R12" t="str">
            <v/>
          </cell>
          <cell r="S12" t="str">
            <v/>
          </cell>
          <cell r="T12" t="str">
            <v/>
          </cell>
          <cell r="U12" t="str">
            <v/>
          </cell>
          <cell r="V12" t="str">
            <v>N52</v>
          </cell>
          <cell r="W12" t="str">
            <v/>
          </cell>
          <cell r="X12" t="str">
            <v/>
          </cell>
          <cell r="Y12" t="str">
            <v/>
          </cell>
          <cell r="Z12" t="str">
            <v/>
          </cell>
          <cell r="AA12" t="str">
            <v/>
          </cell>
          <cell r="AB12" t="str">
            <v>PA_2335775-CF.7005-4</v>
          </cell>
          <cell r="AC12">
            <v>1</v>
          </cell>
          <cell r="AD12" t="str">
            <v/>
          </cell>
          <cell r="AE12">
            <v>0</v>
          </cell>
          <cell r="AF12" t="str">
            <v/>
          </cell>
          <cell r="AG12" t="str">
            <v>12508618</v>
          </cell>
          <cell r="AH12">
            <v>44540.895150462966</v>
          </cell>
          <cell r="AI12" t="str">
            <v>N52</v>
          </cell>
          <cell r="AJ12" t="str">
            <v>F</v>
          </cell>
          <cell r="AK12" t="str">
            <v/>
          </cell>
        </row>
        <row r="13">
          <cell r="A13" t="str">
            <v>12508618829054</v>
          </cell>
          <cell r="B13" t="e">
            <v>#N/A</v>
          </cell>
          <cell r="C13">
            <v>12</v>
          </cell>
          <cell r="D13" t="str">
            <v>EK65</v>
          </cell>
          <cell r="E13" t="str">
            <v>478676</v>
          </cell>
          <cell r="F13" t="str">
            <v>E</v>
          </cell>
          <cell r="G13" t="str">
            <v>12508618</v>
          </cell>
          <cell r="H13" t="str">
            <v>Unterlage</v>
          </cell>
          <cell r="I13">
            <v>64</v>
          </cell>
          <cell r="J13" t="str">
            <v>Stk</v>
          </cell>
          <cell r="K13">
            <v>45239</v>
          </cell>
          <cell r="L13" t="str">
            <v>829054</v>
          </cell>
          <cell r="M13" t="str">
            <v/>
          </cell>
          <cell r="N13" t="str">
            <v/>
          </cell>
          <cell r="O13" t="str">
            <v/>
          </cell>
          <cell r="P13" t="str">
            <v/>
          </cell>
          <cell r="Q13" t="str">
            <v/>
          </cell>
          <cell r="R13" t="str">
            <v/>
          </cell>
          <cell r="S13" t="str">
            <v/>
          </cell>
          <cell r="T13" t="str">
            <v/>
          </cell>
          <cell r="U13" t="str">
            <v/>
          </cell>
          <cell r="V13" t="str">
            <v>N52</v>
          </cell>
          <cell r="W13" t="str">
            <v/>
          </cell>
          <cell r="X13" t="str">
            <v/>
          </cell>
          <cell r="Y13" t="str">
            <v/>
          </cell>
          <cell r="Z13" t="str">
            <v/>
          </cell>
          <cell r="AA13" t="str">
            <v/>
          </cell>
          <cell r="AB13" t="str">
            <v>PA_2335775-CF.7005-4</v>
          </cell>
          <cell r="AC13">
            <v>1</v>
          </cell>
          <cell r="AD13" t="str">
            <v/>
          </cell>
          <cell r="AE13">
            <v>0</v>
          </cell>
          <cell r="AF13" t="str">
            <v/>
          </cell>
          <cell r="AG13" t="str">
            <v>12508618</v>
          </cell>
          <cell r="AH13">
            <v>44540.895150462966</v>
          </cell>
          <cell r="AI13" t="str">
            <v>N52</v>
          </cell>
          <cell r="AJ13" t="str">
            <v>F</v>
          </cell>
          <cell r="AK13" t="str">
            <v/>
          </cell>
        </row>
        <row r="14">
          <cell r="A14" t="str">
            <v>12510682829053</v>
          </cell>
          <cell r="B14" t="e">
            <v>#N/A</v>
          </cell>
          <cell r="C14">
            <v>16</v>
          </cell>
          <cell r="D14" t="str">
            <v>EK65</v>
          </cell>
          <cell r="E14" t="str">
            <v>478688</v>
          </cell>
          <cell r="F14" t="str">
            <v>E</v>
          </cell>
          <cell r="G14" t="str">
            <v>12510682</v>
          </cell>
          <cell r="H14" t="str">
            <v>Klemmbuchse ID10,5 AD25 H10</v>
          </cell>
          <cell r="I14">
            <v>215</v>
          </cell>
          <cell r="J14" t="str">
            <v>Stk</v>
          </cell>
          <cell r="K14">
            <v>45211</v>
          </cell>
          <cell r="L14" t="str">
            <v>829053</v>
          </cell>
          <cell r="M14" t="str">
            <v/>
          </cell>
          <cell r="N14" t="str">
            <v/>
          </cell>
          <cell r="O14" t="str">
            <v/>
          </cell>
          <cell r="P14" t="str">
            <v/>
          </cell>
          <cell r="Q14" t="str">
            <v/>
          </cell>
          <cell r="R14" t="str">
            <v/>
          </cell>
          <cell r="S14" t="str">
            <v/>
          </cell>
          <cell r="T14" t="str">
            <v/>
          </cell>
          <cell r="U14" t="str">
            <v/>
          </cell>
          <cell r="V14" t="str">
            <v>N52</v>
          </cell>
          <cell r="W14" t="str">
            <v/>
          </cell>
          <cell r="X14" t="str">
            <v/>
          </cell>
          <cell r="Y14" t="str">
            <v/>
          </cell>
          <cell r="Z14" t="str">
            <v/>
          </cell>
          <cell r="AA14" t="str">
            <v/>
          </cell>
          <cell r="AB14" t="str">
            <v>PA_2344721-QE.7005-4</v>
          </cell>
          <cell r="AC14">
            <v>1</v>
          </cell>
          <cell r="AD14" t="str">
            <v/>
          </cell>
          <cell r="AE14">
            <v>0</v>
          </cell>
          <cell r="AF14" t="str">
            <v/>
          </cell>
          <cell r="AG14" t="str">
            <v>12510682</v>
          </cell>
          <cell r="AH14">
            <v>44540.895266203705</v>
          </cell>
          <cell r="AI14" t="str">
            <v>N52</v>
          </cell>
          <cell r="AJ14" t="str">
            <v>F</v>
          </cell>
          <cell r="AK14" t="str">
            <v/>
          </cell>
        </row>
        <row r="15">
          <cell r="A15" t="str">
            <v>12510682829054</v>
          </cell>
          <cell r="B15" t="e">
            <v>#N/A</v>
          </cell>
          <cell r="C15">
            <v>16</v>
          </cell>
          <cell r="D15" t="str">
            <v>EK65</v>
          </cell>
          <cell r="E15" t="str">
            <v>478689</v>
          </cell>
          <cell r="F15" t="str">
            <v>E</v>
          </cell>
          <cell r="G15" t="str">
            <v>12510682</v>
          </cell>
          <cell r="H15" t="str">
            <v>Klemmbuchse ID10,5 AD25 H10</v>
          </cell>
          <cell r="I15">
            <v>64</v>
          </cell>
          <cell r="J15" t="str">
            <v>Stk</v>
          </cell>
          <cell r="K15">
            <v>45238</v>
          </cell>
          <cell r="L15" t="str">
            <v>829054</v>
          </cell>
          <cell r="M15" t="str">
            <v/>
          </cell>
          <cell r="N15" t="str">
            <v/>
          </cell>
          <cell r="O15" t="str">
            <v/>
          </cell>
          <cell r="P15" t="str">
            <v/>
          </cell>
          <cell r="Q15" t="str">
            <v/>
          </cell>
          <cell r="R15" t="str">
            <v/>
          </cell>
          <cell r="S15" t="str">
            <v/>
          </cell>
          <cell r="T15" t="str">
            <v/>
          </cell>
          <cell r="U15" t="str">
            <v/>
          </cell>
          <cell r="V15" t="str">
            <v>N52</v>
          </cell>
          <cell r="W15" t="str">
            <v/>
          </cell>
          <cell r="X15" t="str">
            <v/>
          </cell>
          <cell r="Y15" t="str">
            <v/>
          </cell>
          <cell r="Z15" t="str">
            <v/>
          </cell>
          <cell r="AA15" t="str">
            <v/>
          </cell>
          <cell r="AB15" t="str">
            <v>PA_2344721-QE.7005-4</v>
          </cell>
          <cell r="AC15">
            <v>1</v>
          </cell>
          <cell r="AD15" t="str">
            <v/>
          </cell>
          <cell r="AE15">
            <v>0</v>
          </cell>
          <cell r="AF15" t="str">
            <v/>
          </cell>
          <cell r="AG15" t="str">
            <v>12510682</v>
          </cell>
          <cell r="AH15">
            <v>44540.895277777781</v>
          </cell>
          <cell r="AI15" t="str">
            <v>N52</v>
          </cell>
          <cell r="AJ15" t="str">
            <v>F</v>
          </cell>
          <cell r="AK15" t="str">
            <v/>
          </cell>
        </row>
        <row r="16">
          <cell r="A16" t="str">
            <v>12510683829053</v>
          </cell>
          <cell r="B16" t="e">
            <v>#N/A</v>
          </cell>
          <cell r="C16">
            <v>24</v>
          </cell>
          <cell r="D16" t="str">
            <v>EK65</v>
          </cell>
          <cell r="E16" t="str">
            <v>478690</v>
          </cell>
          <cell r="F16" t="str">
            <v>E</v>
          </cell>
          <cell r="G16" t="str">
            <v>12510683</v>
          </cell>
          <cell r="H16" t="str">
            <v>Halteblech</v>
          </cell>
          <cell r="I16">
            <v>103</v>
          </cell>
          <cell r="J16" t="str">
            <v>Stk</v>
          </cell>
          <cell r="K16">
            <v>45212</v>
          </cell>
          <cell r="L16" t="str">
            <v>829053</v>
          </cell>
          <cell r="M16" t="str">
            <v/>
          </cell>
          <cell r="N16" t="str">
            <v/>
          </cell>
          <cell r="O16" t="str">
            <v/>
          </cell>
          <cell r="P16" t="str">
            <v/>
          </cell>
          <cell r="Q16" t="str">
            <v/>
          </cell>
          <cell r="R16" t="str">
            <v/>
          </cell>
          <cell r="S16" t="str">
            <v/>
          </cell>
          <cell r="T16" t="str">
            <v/>
          </cell>
          <cell r="U16" t="str">
            <v/>
          </cell>
          <cell r="V16" t="str">
            <v>N52</v>
          </cell>
          <cell r="W16" t="str">
            <v/>
          </cell>
          <cell r="X16" t="str">
            <v/>
          </cell>
          <cell r="Y16" t="str">
            <v/>
          </cell>
          <cell r="Z16" t="str">
            <v/>
          </cell>
          <cell r="AA16" t="str">
            <v/>
          </cell>
          <cell r="AB16" t="str">
            <v>PA_2344576-QE.7005-4</v>
          </cell>
          <cell r="AC16">
            <v>1</v>
          </cell>
          <cell r="AD16" t="str">
            <v/>
          </cell>
          <cell r="AE16">
            <v>0</v>
          </cell>
          <cell r="AF16" t="str">
            <v/>
          </cell>
          <cell r="AG16" t="str">
            <v>12510683</v>
          </cell>
          <cell r="AH16">
            <v>44540.895277777781</v>
          </cell>
          <cell r="AI16" t="str">
            <v>N52</v>
          </cell>
          <cell r="AJ16" t="str">
            <v>F</v>
          </cell>
          <cell r="AK16" t="str">
            <v/>
          </cell>
        </row>
        <row r="17">
          <cell r="A17" t="str">
            <v>12510683829054</v>
          </cell>
          <cell r="B17" t="e">
            <v>#N/A</v>
          </cell>
          <cell r="C17">
            <v>24</v>
          </cell>
          <cell r="D17" t="str">
            <v>EK65</v>
          </cell>
          <cell r="E17" t="str">
            <v>478691</v>
          </cell>
          <cell r="F17" t="str">
            <v>E</v>
          </cell>
          <cell r="G17" t="str">
            <v>12510683</v>
          </cell>
          <cell r="H17" t="str">
            <v>Halteblech</v>
          </cell>
          <cell r="I17">
            <v>36</v>
          </cell>
          <cell r="J17" t="str">
            <v>Stk</v>
          </cell>
          <cell r="K17">
            <v>45216</v>
          </cell>
          <cell r="L17" t="str">
            <v>829054</v>
          </cell>
          <cell r="M17" t="str">
            <v/>
          </cell>
          <cell r="N17" t="str">
            <v/>
          </cell>
          <cell r="O17" t="str">
            <v/>
          </cell>
          <cell r="P17" t="str">
            <v/>
          </cell>
          <cell r="Q17" t="str">
            <v/>
          </cell>
          <cell r="R17" t="str">
            <v/>
          </cell>
          <cell r="S17" t="str">
            <v/>
          </cell>
          <cell r="T17" t="str">
            <v/>
          </cell>
          <cell r="U17" t="str">
            <v/>
          </cell>
          <cell r="V17" t="str">
            <v>N52</v>
          </cell>
          <cell r="W17" t="str">
            <v/>
          </cell>
          <cell r="X17" t="str">
            <v/>
          </cell>
          <cell r="Y17" t="str">
            <v/>
          </cell>
          <cell r="Z17" t="str">
            <v/>
          </cell>
          <cell r="AA17" t="str">
            <v/>
          </cell>
          <cell r="AB17" t="str">
            <v>PA_2344576-QE.7005-4</v>
          </cell>
          <cell r="AC17">
            <v>1</v>
          </cell>
          <cell r="AD17" t="str">
            <v/>
          </cell>
          <cell r="AE17">
            <v>0</v>
          </cell>
          <cell r="AF17" t="str">
            <v/>
          </cell>
          <cell r="AG17" t="str">
            <v>12510683</v>
          </cell>
          <cell r="AH17">
            <v>44540.895277777781</v>
          </cell>
          <cell r="AI17" t="str">
            <v>N52</v>
          </cell>
          <cell r="AJ17" t="str">
            <v>F</v>
          </cell>
          <cell r="AK17" t="str">
            <v/>
          </cell>
        </row>
        <row r="18">
          <cell r="A18" t="str">
            <v>12482062829051</v>
          </cell>
          <cell r="B18" t="e">
            <v>#N/A</v>
          </cell>
          <cell r="C18">
            <v>14</v>
          </cell>
          <cell r="D18" t="str">
            <v>EK65</v>
          </cell>
          <cell r="E18" t="str">
            <v>485529</v>
          </cell>
          <cell r="F18" t="str">
            <v>E</v>
          </cell>
          <cell r="G18" t="str">
            <v>12482062</v>
          </cell>
          <cell r="H18" t="str">
            <v>Haltewinkel w.g.</v>
          </cell>
          <cell r="I18">
            <v>85</v>
          </cell>
          <cell r="J18" t="str">
            <v>Stk</v>
          </cell>
          <cell r="K18">
            <v>45322</v>
          </cell>
          <cell r="L18" t="str">
            <v>829051</v>
          </cell>
          <cell r="M18" t="str">
            <v/>
          </cell>
          <cell r="N18" t="str">
            <v/>
          </cell>
          <cell r="O18" t="str">
            <v/>
          </cell>
          <cell r="P18" t="str">
            <v/>
          </cell>
          <cell r="Q18" t="str">
            <v/>
          </cell>
          <cell r="R18" t="str">
            <v/>
          </cell>
          <cell r="S18" t="str">
            <v/>
          </cell>
          <cell r="T18" t="str">
            <v/>
          </cell>
          <cell r="U18" t="str">
            <v/>
          </cell>
          <cell r="V18" t="str">
            <v>N52</v>
          </cell>
          <cell r="W18" t="str">
            <v/>
          </cell>
          <cell r="X18" t="str">
            <v/>
          </cell>
          <cell r="Y18" t="str">
            <v/>
          </cell>
          <cell r="Z18" t="str">
            <v/>
          </cell>
          <cell r="AA18" t="str">
            <v/>
          </cell>
          <cell r="AB18" t="str">
            <v>PA_4356238-PB.7005-3</v>
          </cell>
          <cell r="AC18">
            <v>1</v>
          </cell>
          <cell r="AD18" t="str">
            <v/>
          </cell>
          <cell r="AE18">
            <v>0</v>
          </cell>
          <cell r="AF18" t="str">
            <v/>
          </cell>
          <cell r="AG18" t="str">
            <v>12482062</v>
          </cell>
          <cell r="AH18">
            <v>44547.921099537038</v>
          </cell>
          <cell r="AI18" t="str">
            <v>N52</v>
          </cell>
          <cell r="AJ18" t="str">
            <v>F</v>
          </cell>
          <cell r="AK18" t="str">
            <v/>
          </cell>
        </row>
        <row r="19">
          <cell r="A19" t="str">
            <v>12482066829051</v>
          </cell>
          <cell r="B19" t="e">
            <v>#N/A</v>
          </cell>
          <cell r="C19">
            <v>14</v>
          </cell>
          <cell r="D19" t="str">
            <v>EK65</v>
          </cell>
          <cell r="E19" t="str">
            <v>485530</v>
          </cell>
          <cell r="F19" t="str">
            <v>E</v>
          </cell>
          <cell r="G19" t="str">
            <v>12482066</v>
          </cell>
          <cell r="H19" t="str">
            <v>Haltewinkel sp.g</v>
          </cell>
          <cell r="I19">
            <v>85</v>
          </cell>
          <cell r="J19" t="str">
            <v>Stk</v>
          </cell>
          <cell r="K19">
            <v>45322</v>
          </cell>
          <cell r="L19" t="str">
            <v>829051</v>
          </cell>
          <cell r="M19" t="str">
            <v/>
          </cell>
          <cell r="N19" t="str">
            <v/>
          </cell>
          <cell r="O19" t="str">
            <v/>
          </cell>
          <cell r="P19" t="str">
            <v/>
          </cell>
          <cell r="Q19" t="str">
            <v/>
          </cell>
          <cell r="R19" t="str">
            <v/>
          </cell>
          <cell r="S19" t="str">
            <v/>
          </cell>
          <cell r="T19" t="str">
            <v/>
          </cell>
          <cell r="U19" t="str">
            <v/>
          </cell>
          <cell r="V19" t="str">
            <v>N52</v>
          </cell>
          <cell r="W19" t="str">
            <v/>
          </cell>
          <cell r="X19" t="str">
            <v/>
          </cell>
          <cell r="Y19" t="str">
            <v/>
          </cell>
          <cell r="Z19" t="str">
            <v/>
          </cell>
          <cell r="AA19" t="str">
            <v/>
          </cell>
          <cell r="AB19" t="str">
            <v>PA_4356238-PB.7005-3</v>
          </cell>
          <cell r="AC19">
            <v>1</v>
          </cell>
          <cell r="AD19" t="str">
            <v/>
          </cell>
          <cell r="AE19">
            <v>0</v>
          </cell>
          <cell r="AF19" t="str">
            <v/>
          </cell>
          <cell r="AG19" t="str">
            <v>12482066</v>
          </cell>
          <cell r="AH19">
            <v>44547.921134259261</v>
          </cell>
          <cell r="AI19" t="str">
            <v>N52</v>
          </cell>
          <cell r="AJ19" t="str">
            <v>F</v>
          </cell>
          <cell r="AK19" t="str">
            <v/>
          </cell>
        </row>
        <row r="20">
          <cell r="A20" t="str">
            <v>12479842829054</v>
          </cell>
          <cell r="B20" t="e">
            <v>#N/A</v>
          </cell>
          <cell r="C20">
            <v>16</v>
          </cell>
          <cell r="D20" t="str">
            <v>EK65</v>
          </cell>
          <cell r="E20" t="str">
            <v>486152</v>
          </cell>
          <cell r="F20" t="str">
            <v>E</v>
          </cell>
          <cell r="G20" t="str">
            <v>12479842</v>
          </cell>
          <cell r="H20" t="str">
            <v>Dehnhuelse Di13,Da34,L40</v>
          </cell>
          <cell r="I20">
            <v>844</v>
          </cell>
          <cell r="J20" t="str">
            <v>Stk</v>
          </cell>
          <cell r="K20">
            <v>45195</v>
          </cell>
          <cell r="L20" t="str">
            <v>829054</v>
          </cell>
          <cell r="M20" t="str">
            <v/>
          </cell>
          <cell r="N20" t="str">
            <v/>
          </cell>
          <cell r="O20" t="str">
            <v/>
          </cell>
          <cell r="P20" t="str">
            <v/>
          </cell>
          <cell r="Q20" t="str">
            <v/>
          </cell>
          <cell r="R20" t="str">
            <v/>
          </cell>
          <cell r="S20" t="str">
            <v/>
          </cell>
          <cell r="T20" t="str">
            <v/>
          </cell>
          <cell r="U20" t="str">
            <v/>
          </cell>
          <cell r="V20" t="str">
            <v>N52</v>
          </cell>
          <cell r="W20" t="str">
            <v/>
          </cell>
          <cell r="X20" t="str">
            <v/>
          </cell>
          <cell r="Y20" t="str">
            <v/>
          </cell>
          <cell r="Z20" t="str">
            <v/>
          </cell>
          <cell r="AA20" t="str">
            <v/>
          </cell>
          <cell r="AB20" t="str">
            <v>PA_4403999-CF.7005-4</v>
          </cell>
          <cell r="AC20">
            <v>4</v>
          </cell>
          <cell r="AD20" t="str">
            <v/>
          </cell>
          <cell r="AE20">
            <v>0</v>
          </cell>
          <cell r="AF20" t="str">
            <v/>
          </cell>
          <cell r="AG20" t="str">
            <v>12479842</v>
          </cell>
          <cell r="AH20">
            <v>44550.926516203705</v>
          </cell>
          <cell r="AI20" t="str">
            <v>N52</v>
          </cell>
          <cell r="AJ20" t="str">
            <v>F</v>
          </cell>
          <cell r="AK20" t="str">
            <v/>
          </cell>
        </row>
        <row r="21">
          <cell r="A21" t="str">
            <v>12479842829053</v>
          </cell>
          <cell r="B21" t="e">
            <v>#N/A</v>
          </cell>
          <cell r="C21">
            <v>16</v>
          </cell>
          <cell r="D21" t="str">
            <v>EK65</v>
          </cell>
          <cell r="E21" t="str">
            <v>486153</v>
          </cell>
          <cell r="F21" t="str">
            <v>E</v>
          </cell>
          <cell r="G21" t="str">
            <v>12479842</v>
          </cell>
          <cell r="H21" t="str">
            <v>Dehnhuelse Di13,Da34,L40</v>
          </cell>
          <cell r="I21">
            <v>2194</v>
          </cell>
          <cell r="J21" t="str">
            <v>Stk</v>
          </cell>
          <cell r="K21">
            <v>45219</v>
          </cell>
          <cell r="L21" t="str">
            <v>829053</v>
          </cell>
          <cell r="M21" t="str">
            <v/>
          </cell>
          <cell r="N21" t="str">
            <v/>
          </cell>
          <cell r="O21" t="str">
            <v/>
          </cell>
          <cell r="P21" t="str">
            <v/>
          </cell>
          <cell r="Q21" t="str">
            <v/>
          </cell>
          <cell r="R21" t="str">
            <v/>
          </cell>
          <cell r="S21" t="str">
            <v/>
          </cell>
          <cell r="T21" t="str">
            <v/>
          </cell>
          <cell r="U21" t="str">
            <v/>
          </cell>
          <cell r="V21" t="str">
            <v>N52</v>
          </cell>
          <cell r="W21" t="str">
            <v/>
          </cell>
          <cell r="X21" t="str">
            <v/>
          </cell>
          <cell r="Y21" t="str">
            <v/>
          </cell>
          <cell r="Z21" t="str">
            <v/>
          </cell>
          <cell r="AA21" t="str">
            <v/>
          </cell>
          <cell r="AB21" t="str">
            <v>PA_4403999-CF.7005-4</v>
          </cell>
          <cell r="AC21">
            <v>4</v>
          </cell>
          <cell r="AD21" t="str">
            <v/>
          </cell>
          <cell r="AE21">
            <v>0</v>
          </cell>
          <cell r="AF21" t="str">
            <v/>
          </cell>
          <cell r="AG21" t="str">
            <v>12479842</v>
          </cell>
          <cell r="AH21">
            <v>44550.926516203705</v>
          </cell>
          <cell r="AI21" t="str">
            <v>N52</v>
          </cell>
          <cell r="AJ21" t="str">
            <v>F</v>
          </cell>
          <cell r="AK21" t="str">
            <v/>
          </cell>
        </row>
        <row r="22">
          <cell r="A22" t="str">
            <v>12479842829051</v>
          </cell>
          <cell r="B22" t="e">
            <v>#N/A</v>
          </cell>
          <cell r="C22">
            <v>16</v>
          </cell>
          <cell r="D22" t="str">
            <v>EK65</v>
          </cell>
          <cell r="E22" t="str">
            <v>486154</v>
          </cell>
          <cell r="F22" t="str">
            <v>E</v>
          </cell>
          <cell r="G22" t="str">
            <v>12479842</v>
          </cell>
          <cell r="H22" t="str">
            <v>Dehnhuelse Di13,Da34,L40</v>
          </cell>
          <cell r="I22">
            <v>3990</v>
          </cell>
          <cell r="J22" t="str">
            <v>Stk</v>
          </cell>
          <cell r="K22">
            <v>45323</v>
          </cell>
          <cell r="L22" t="str">
            <v>829051</v>
          </cell>
          <cell r="M22" t="str">
            <v/>
          </cell>
          <cell r="N22" t="str">
            <v/>
          </cell>
          <cell r="O22" t="str">
            <v/>
          </cell>
          <cell r="P22" t="str">
            <v/>
          </cell>
          <cell r="Q22" t="str">
            <v/>
          </cell>
          <cell r="R22" t="str">
            <v/>
          </cell>
          <cell r="S22" t="str">
            <v/>
          </cell>
          <cell r="T22" t="str">
            <v/>
          </cell>
          <cell r="U22" t="str">
            <v/>
          </cell>
          <cell r="V22" t="str">
            <v>N52</v>
          </cell>
          <cell r="W22" t="str">
            <v/>
          </cell>
          <cell r="X22" t="str">
            <v/>
          </cell>
          <cell r="Y22" t="str">
            <v/>
          </cell>
          <cell r="Z22" t="str">
            <v/>
          </cell>
          <cell r="AA22" t="str">
            <v/>
          </cell>
          <cell r="AB22" t="str">
            <v>PA_4403999-CF.7005-4</v>
          </cell>
          <cell r="AC22">
            <v>4</v>
          </cell>
          <cell r="AD22" t="str">
            <v/>
          </cell>
          <cell r="AE22">
            <v>0</v>
          </cell>
          <cell r="AF22" t="str">
            <v/>
          </cell>
          <cell r="AG22" t="str">
            <v>12479842</v>
          </cell>
          <cell r="AH22">
            <v>44550.926516203705</v>
          </cell>
          <cell r="AI22" t="str">
            <v>N52</v>
          </cell>
          <cell r="AJ22" t="str">
            <v>F</v>
          </cell>
          <cell r="AK22" t="str">
            <v/>
          </cell>
        </row>
        <row r="23">
          <cell r="A23" t="str">
            <v>12479843829054</v>
          </cell>
          <cell r="B23" t="e">
            <v>#N/A</v>
          </cell>
          <cell r="C23">
            <v>8</v>
          </cell>
          <cell r="D23" t="str">
            <v>EK65</v>
          </cell>
          <cell r="E23" t="str">
            <v>486155</v>
          </cell>
          <cell r="F23" t="str">
            <v>E</v>
          </cell>
          <cell r="G23" t="str">
            <v>12479843</v>
          </cell>
          <cell r="H23" t="str">
            <v>Dehnhuelse, DI13,Da35,L15</v>
          </cell>
          <cell r="I23">
            <v>834</v>
          </cell>
          <cell r="J23" t="str">
            <v>Stk</v>
          </cell>
          <cell r="K23">
            <v>45196</v>
          </cell>
          <cell r="L23" t="str">
            <v>829054</v>
          </cell>
          <cell r="M23" t="str">
            <v/>
          </cell>
          <cell r="N23" t="str">
            <v/>
          </cell>
          <cell r="O23" t="str">
            <v/>
          </cell>
          <cell r="P23" t="str">
            <v/>
          </cell>
          <cell r="Q23" t="str">
            <v/>
          </cell>
          <cell r="R23" t="str">
            <v/>
          </cell>
          <cell r="S23" t="str">
            <v/>
          </cell>
          <cell r="T23" t="str">
            <v/>
          </cell>
          <cell r="U23" t="str">
            <v/>
          </cell>
          <cell r="V23" t="str">
            <v>N52</v>
          </cell>
          <cell r="W23" t="str">
            <v/>
          </cell>
          <cell r="X23" t="str">
            <v/>
          </cell>
          <cell r="Y23" t="str">
            <v/>
          </cell>
          <cell r="Z23" t="str">
            <v/>
          </cell>
          <cell r="AA23" t="str">
            <v/>
          </cell>
          <cell r="AB23" t="str">
            <v>PA_4403926-CF.7005-4</v>
          </cell>
          <cell r="AC23">
            <v>1</v>
          </cell>
          <cell r="AD23" t="str">
            <v/>
          </cell>
          <cell r="AE23">
            <v>0</v>
          </cell>
          <cell r="AF23" t="str">
            <v/>
          </cell>
          <cell r="AG23" t="str">
            <v>12479843</v>
          </cell>
          <cell r="AH23">
            <v>44550.926550925928</v>
          </cell>
          <cell r="AI23" t="str">
            <v>N52</v>
          </cell>
          <cell r="AJ23" t="str">
            <v>F</v>
          </cell>
          <cell r="AK23" t="str">
            <v/>
          </cell>
        </row>
        <row r="24">
          <cell r="A24" t="str">
            <v>12479842829052</v>
          </cell>
          <cell r="B24" t="e">
            <v>#N/A</v>
          </cell>
          <cell r="C24">
            <v>16</v>
          </cell>
          <cell r="D24" t="str">
            <v>EK65</v>
          </cell>
          <cell r="E24" t="str">
            <v>486978</v>
          </cell>
          <cell r="F24" t="str">
            <v>E</v>
          </cell>
          <cell r="G24" t="str">
            <v>12479842</v>
          </cell>
          <cell r="H24" t="str">
            <v>Dehnhuelse Di13,Da34,L40</v>
          </cell>
          <cell r="I24">
            <v>1361</v>
          </cell>
          <cell r="J24" t="str">
            <v>Stk</v>
          </cell>
          <cell r="K24">
            <v>45352</v>
          </cell>
          <cell r="L24" t="str">
            <v>829052</v>
          </cell>
          <cell r="M24" t="str">
            <v/>
          </cell>
          <cell r="N24" t="str">
            <v/>
          </cell>
          <cell r="O24" t="str">
            <v/>
          </cell>
          <cell r="P24" t="str">
            <v/>
          </cell>
          <cell r="Q24" t="str">
            <v/>
          </cell>
          <cell r="R24" t="str">
            <v/>
          </cell>
          <cell r="S24" t="str">
            <v/>
          </cell>
          <cell r="T24" t="str">
            <v/>
          </cell>
          <cell r="U24" t="str">
            <v/>
          </cell>
          <cell r="V24" t="str">
            <v>N52</v>
          </cell>
          <cell r="W24" t="str">
            <v/>
          </cell>
          <cell r="X24" t="str">
            <v/>
          </cell>
          <cell r="Y24" t="str">
            <v/>
          </cell>
          <cell r="Z24" t="str">
            <v/>
          </cell>
          <cell r="AA24" t="str">
            <v/>
          </cell>
          <cell r="AB24" t="str">
            <v>PA_4403999-CF.7005-4</v>
          </cell>
          <cell r="AC24">
            <v>4</v>
          </cell>
          <cell r="AD24" t="str">
            <v/>
          </cell>
          <cell r="AE24">
            <v>0</v>
          </cell>
          <cell r="AF24" t="str">
            <v/>
          </cell>
          <cell r="AG24" t="str">
            <v>12479842</v>
          </cell>
          <cell r="AH24">
            <v>44557.855543981481</v>
          </cell>
          <cell r="AI24" t="str">
            <v>N52</v>
          </cell>
          <cell r="AJ24" t="str">
            <v>F</v>
          </cell>
          <cell r="AK24" t="str">
            <v/>
          </cell>
        </row>
        <row r="25">
          <cell r="A25" t="str">
            <v>12479843829053</v>
          </cell>
          <cell r="B25" t="e">
            <v>#N/A</v>
          </cell>
          <cell r="C25">
            <v>8</v>
          </cell>
          <cell r="D25" t="str">
            <v>EK65</v>
          </cell>
          <cell r="E25" t="str">
            <v>486979</v>
          </cell>
          <cell r="F25" t="str">
            <v>E</v>
          </cell>
          <cell r="G25" t="str">
            <v>12479843</v>
          </cell>
          <cell r="H25" t="str">
            <v>Dehnhuelse, DI13,Da35,L15</v>
          </cell>
          <cell r="I25">
            <v>2179</v>
          </cell>
          <cell r="J25" t="str">
            <v>Stk</v>
          </cell>
          <cell r="K25">
            <v>45219</v>
          </cell>
          <cell r="L25" t="str">
            <v>829053</v>
          </cell>
          <cell r="M25" t="str">
            <v/>
          </cell>
          <cell r="N25" t="str">
            <v/>
          </cell>
          <cell r="O25" t="str">
            <v/>
          </cell>
          <cell r="P25" t="str">
            <v/>
          </cell>
          <cell r="Q25" t="str">
            <v/>
          </cell>
          <cell r="R25" t="str">
            <v/>
          </cell>
          <cell r="S25" t="str">
            <v/>
          </cell>
          <cell r="T25" t="str">
            <v/>
          </cell>
          <cell r="U25" t="str">
            <v/>
          </cell>
          <cell r="V25" t="str">
            <v>N52</v>
          </cell>
          <cell r="W25" t="str">
            <v/>
          </cell>
          <cell r="X25" t="str">
            <v/>
          </cell>
          <cell r="Y25" t="str">
            <v/>
          </cell>
          <cell r="Z25" t="str">
            <v/>
          </cell>
          <cell r="AA25" t="str">
            <v/>
          </cell>
          <cell r="AB25" t="str">
            <v>PA_4403926-CF.7005-4</v>
          </cell>
          <cell r="AC25">
            <v>1</v>
          </cell>
          <cell r="AD25" t="str">
            <v/>
          </cell>
          <cell r="AE25">
            <v>0</v>
          </cell>
          <cell r="AF25" t="str">
            <v/>
          </cell>
          <cell r="AG25" t="str">
            <v>12479843</v>
          </cell>
          <cell r="AH25">
            <v>44557.855578703704</v>
          </cell>
          <cell r="AI25" t="str">
            <v>N52</v>
          </cell>
          <cell r="AJ25" t="str">
            <v>F</v>
          </cell>
          <cell r="AK25" t="str">
            <v/>
          </cell>
        </row>
        <row r="26">
          <cell r="A26" t="str">
            <v>12480053829051</v>
          </cell>
          <cell r="B26" t="e">
            <v>#N/A</v>
          </cell>
          <cell r="C26">
            <v>7</v>
          </cell>
          <cell r="D26" t="str">
            <v>EK65</v>
          </cell>
          <cell r="E26" t="str">
            <v>503528</v>
          </cell>
          <cell r="F26" t="str">
            <v>E</v>
          </cell>
          <cell r="G26" t="str">
            <v>12480053</v>
          </cell>
          <cell r="H26" t="str">
            <v>Haltekralle 90Grad</v>
          </cell>
          <cell r="I26">
            <v>90</v>
          </cell>
          <cell r="J26" t="str">
            <v>Stk</v>
          </cell>
          <cell r="K26">
            <v>45330</v>
          </cell>
          <cell r="L26" t="str">
            <v>829051</v>
          </cell>
          <cell r="M26" t="str">
            <v/>
          </cell>
          <cell r="N26" t="str">
            <v/>
          </cell>
          <cell r="O26" t="str">
            <v/>
          </cell>
          <cell r="P26" t="str">
            <v/>
          </cell>
          <cell r="Q26" t="str">
            <v/>
          </cell>
          <cell r="R26" t="str">
            <v/>
          </cell>
          <cell r="S26" t="str">
            <v/>
          </cell>
          <cell r="T26" t="str">
            <v/>
          </cell>
          <cell r="U26" t="str">
            <v/>
          </cell>
          <cell r="V26" t="str">
            <v>N52</v>
          </cell>
          <cell r="W26" t="str">
            <v/>
          </cell>
          <cell r="X26" t="str">
            <v/>
          </cell>
          <cell r="Y26" t="str">
            <v/>
          </cell>
          <cell r="Z26" t="str">
            <v/>
          </cell>
          <cell r="AA26" t="str">
            <v/>
          </cell>
          <cell r="AB26" t="str">
            <v>PA_4278646-CF.7005-3</v>
          </cell>
          <cell r="AC26">
            <v>1</v>
          </cell>
          <cell r="AD26" t="str">
            <v/>
          </cell>
          <cell r="AE26">
            <v>0</v>
          </cell>
          <cell r="AF26" t="str">
            <v/>
          </cell>
          <cell r="AG26" t="str">
            <v>12480053</v>
          </cell>
          <cell r="AH26">
            <v>44585.947025462963</v>
          </cell>
          <cell r="AI26" t="str">
            <v>N52</v>
          </cell>
          <cell r="AJ26" t="str">
            <v>F</v>
          </cell>
          <cell r="AK26" t="str">
            <v/>
          </cell>
        </row>
        <row r="27">
          <cell r="A27" t="str">
            <v>12480054829051</v>
          </cell>
          <cell r="B27" t="str">
            <v>BL20230413-2</v>
          </cell>
          <cell r="C27">
            <v>6</v>
          </cell>
          <cell r="D27" t="str">
            <v>EK65</v>
          </cell>
          <cell r="E27" t="str">
            <v>503529</v>
          </cell>
          <cell r="F27" t="str">
            <v>E</v>
          </cell>
          <cell r="G27" t="str">
            <v>12480054</v>
          </cell>
          <cell r="H27" t="str">
            <v>Haltekralle VVS</v>
          </cell>
          <cell r="I27">
            <v>265</v>
          </cell>
          <cell r="J27" t="str">
            <v>Stk</v>
          </cell>
          <cell r="K27">
            <v>45335</v>
          </cell>
          <cell r="L27" t="str">
            <v>829051</v>
          </cell>
          <cell r="M27" t="str">
            <v/>
          </cell>
          <cell r="N27" t="str">
            <v/>
          </cell>
          <cell r="O27" t="str">
            <v/>
          </cell>
          <cell r="P27" t="str">
            <v/>
          </cell>
          <cell r="Q27" t="str">
            <v/>
          </cell>
          <cell r="R27" t="str">
            <v/>
          </cell>
          <cell r="S27" t="str">
            <v/>
          </cell>
          <cell r="T27" t="str">
            <v/>
          </cell>
          <cell r="U27" t="str">
            <v/>
          </cell>
          <cell r="V27" t="str">
            <v>N52</v>
          </cell>
          <cell r="W27" t="str">
            <v/>
          </cell>
          <cell r="X27" t="str">
            <v/>
          </cell>
          <cell r="Y27" t="str">
            <v/>
          </cell>
          <cell r="Z27" t="str">
            <v/>
          </cell>
          <cell r="AA27" t="str">
            <v/>
          </cell>
          <cell r="AB27" t="str">
            <v>PA_4251551-CF.7005-3</v>
          </cell>
          <cell r="AC27">
            <v>1</v>
          </cell>
          <cell r="AD27" t="str">
            <v/>
          </cell>
          <cell r="AE27">
            <v>0</v>
          </cell>
          <cell r="AF27" t="str">
            <v/>
          </cell>
          <cell r="AG27" t="str">
            <v>12480054</v>
          </cell>
          <cell r="AH27">
            <v>44585.947048611109</v>
          </cell>
          <cell r="AI27" t="str">
            <v>N52</v>
          </cell>
          <cell r="AJ27" t="str">
            <v>F</v>
          </cell>
          <cell r="AK27" t="str">
            <v/>
          </cell>
        </row>
        <row r="28">
          <cell r="A28" t="str">
            <v>12480057829051</v>
          </cell>
          <cell r="B28" t="e">
            <v>#N/A</v>
          </cell>
          <cell r="C28">
            <v>6</v>
          </cell>
          <cell r="D28" t="str">
            <v>EK65</v>
          </cell>
          <cell r="E28" t="str">
            <v>503530</v>
          </cell>
          <cell r="F28" t="str">
            <v>E</v>
          </cell>
          <cell r="G28" t="str">
            <v>12480057</v>
          </cell>
          <cell r="H28" t="str">
            <v>Dehnhuelse Da35 Di10,5 L48</v>
          </cell>
          <cell r="I28">
            <v>725</v>
          </cell>
          <cell r="J28" t="str">
            <v>Stk</v>
          </cell>
          <cell r="K28">
            <v>45323</v>
          </cell>
          <cell r="L28" t="str">
            <v>829051</v>
          </cell>
          <cell r="M28" t="str">
            <v/>
          </cell>
          <cell r="N28" t="str">
            <v/>
          </cell>
          <cell r="O28" t="str">
            <v/>
          </cell>
          <cell r="P28" t="str">
            <v/>
          </cell>
          <cell r="Q28" t="str">
            <v/>
          </cell>
          <cell r="R28" t="str">
            <v/>
          </cell>
          <cell r="S28" t="str">
            <v/>
          </cell>
          <cell r="T28" t="str">
            <v/>
          </cell>
          <cell r="U28" t="str">
            <v/>
          </cell>
          <cell r="V28" t="str">
            <v>N52</v>
          </cell>
          <cell r="W28" t="str">
            <v/>
          </cell>
          <cell r="X28" t="str">
            <v/>
          </cell>
          <cell r="Y28" t="str">
            <v/>
          </cell>
          <cell r="Z28" t="str">
            <v/>
          </cell>
          <cell r="AA28" t="str">
            <v/>
          </cell>
          <cell r="AB28" t="str">
            <v>PA_4406934-LA.7005-4</v>
          </cell>
          <cell r="AC28">
            <v>1</v>
          </cell>
          <cell r="AD28" t="str">
            <v/>
          </cell>
          <cell r="AE28">
            <v>0</v>
          </cell>
          <cell r="AF28" t="str">
            <v/>
          </cell>
          <cell r="AG28" t="str">
            <v>12480057</v>
          </cell>
          <cell r="AH28">
            <v>44585.947094907409</v>
          </cell>
          <cell r="AI28" t="str">
            <v>N52</v>
          </cell>
          <cell r="AJ28" t="str">
            <v>F</v>
          </cell>
          <cell r="AK28" t="str">
            <v/>
          </cell>
        </row>
        <row r="29">
          <cell r="A29" t="str">
            <v>12502849829051</v>
          </cell>
          <cell r="B29" t="e">
            <v>#N/A</v>
          </cell>
          <cell r="C29">
            <v>5</v>
          </cell>
          <cell r="D29" t="str">
            <v>EK65</v>
          </cell>
          <cell r="E29" t="str">
            <v>503538</v>
          </cell>
          <cell r="F29" t="str">
            <v>E</v>
          </cell>
          <cell r="G29" t="str">
            <v>12502849</v>
          </cell>
          <cell r="H29" t="str">
            <v>Dehnhuelse Di 17,5,Da40,H28</v>
          </cell>
          <cell r="I29">
            <v>360</v>
          </cell>
          <cell r="J29" t="str">
            <v>Stk</v>
          </cell>
          <cell r="K29">
            <v>45330</v>
          </cell>
          <cell r="L29" t="str">
            <v>829051</v>
          </cell>
          <cell r="M29" t="str">
            <v/>
          </cell>
          <cell r="N29" t="str">
            <v/>
          </cell>
          <cell r="O29" t="str">
            <v/>
          </cell>
          <cell r="P29" t="str">
            <v/>
          </cell>
          <cell r="Q29" t="str">
            <v/>
          </cell>
          <cell r="R29" t="str">
            <v/>
          </cell>
          <cell r="S29" t="str">
            <v/>
          </cell>
          <cell r="T29" t="str">
            <v/>
          </cell>
          <cell r="U29" t="str">
            <v/>
          </cell>
          <cell r="V29" t="str">
            <v>N52</v>
          </cell>
          <cell r="W29" t="str">
            <v/>
          </cell>
          <cell r="X29" t="str">
            <v/>
          </cell>
          <cell r="Y29" t="str">
            <v/>
          </cell>
          <cell r="Z29" t="str">
            <v/>
          </cell>
          <cell r="AA29" t="str">
            <v/>
          </cell>
          <cell r="AB29" t="str">
            <v>PA_4476941-CF.7005-4</v>
          </cell>
          <cell r="AC29">
            <v>1</v>
          </cell>
          <cell r="AD29" t="str">
            <v/>
          </cell>
          <cell r="AE29">
            <v>0</v>
          </cell>
          <cell r="AF29" t="str">
            <v/>
          </cell>
          <cell r="AG29" t="str">
            <v>12502849</v>
          </cell>
          <cell r="AH29">
            <v>44585.947314814817</v>
          </cell>
          <cell r="AI29" t="str">
            <v>N52</v>
          </cell>
          <cell r="AJ29" t="str">
            <v>F</v>
          </cell>
          <cell r="AK29" t="str">
            <v/>
          </cell>
        </row>
        <row r="30">
          <cell r="A30" t="str">
            <v>12502997829053</v>
          </cell>
          <cell r="B30" t="e">
            <v>#N/A</v>
          </cell>
          <cell r="C30">
            <v>32</v>
          </cell>
          <cell r="D30" t="str">
            <v>EK65</v>
          </cell>
          <cell r="E30" t="str">
            <v>504182</v>
          </cell>
          <cell r="F30" t="str">
            <v>E</v>
          </cell>
          <cell r="G30" t="str">
            <v>12502997</v>
          </cell>
          <cell r="H30" t="str">
            <v>Klemmbuchse ID6,5 AD15 H3</v>
          </cell>
          <cell r="I30">
            <v>2288</v>
          </cell>
          <cell r="J30" t="str">
            <v>Stk</v>
          </cell>
          <cell r="K30">
            <v>45188</v>
          </cell>
          <cell r="L30" t="str">
            <v>829053</v>
          </cell>
          <cell r="M30" t="str">
            <v/>
          </cell>
          <cell r="N30" t="str">
            <v/>
          </cell>
          <cell r="O30" t="str">
            <v/>
          </cell>
          <cell r="P30" t="str">
            <v/>
          </cell>
          <cell r="Q30" t="str">
            <v/>
          </cell>
          <cell r="R30" t="str">
            <v/>
          </cell>
          <cell r="S30" t="str">
            <v/>
          </cell>
          <cell r="T30" t="str">
            <v/>
          </cell>
          <cell r="U30" t="str">
            <v/>
          </cell>
          <cell r="V30" t="str">
            <v>N52</v>
          </cell>
          <cell r="W30" t="str">
            <v/>
          </cell>
          <cell r="X30" t="str">
            <v/>
          </cell>
          <cell r="Y30" t="str">
            <v/>
          </cell>
          <cell r="Z30" t="str">
            <v/>
          </cell>
          <cell r="AA30" t="str">
            <v/>
          </cell>
          <cell r="AB30" t="str">
            <v>PA_4425990-UA.7005-4</v>
          </cell>
          <cell r="AC30">
            <v>1</v>
          </cell>
          <cell r="AD30" t="str">
            <v/>
          </cell>
          <cell r="AE30">
            <v>0</v>
          </cell>
          <cell r="AF30" t="str">
            <v/>
          </cell>
          <cell r="AG30" t="str">
            <v>12502997</v>
          </cell>
          <cell r="AH30">
            <v>44588.902291666665</v>
          </cell>
          <cell r="AI30" t="str">
            <v>N52</v>
          </cell>
          <cell r="AJ30" t="str">
            <v>F</v>
          </cell>
          <cell r="AK30" t="str">
            <v/>
          </cell>
        </row>
        <row r="31">
          <cell r="A31" t="str">
            <v>12502997829054</v>
          </cell>
          <cell r="B31" t="e">
            <v>#N/A</v>
          </cell>
          <cell r="C31">
            <v>32</v>
          </cell>
          <cell r="D31" t="str">
            <v>EK65</v>
          </cell>
          <cell r="E31" t="str">
            <v>504183</v>
          </cell>
          <cell r="F31" t="str">
            <v>E</v>
          </cell>
          <cell r="G31" t="str">
            <v>12502997</v>
          </cell>
          <cell r="H31" t="str">
            <v>Klemmbuchse ID6,5 AD15 H3</v>
          </cell>
          <cell r="I31">
            <v>540</v>
          </cell>
          <cell r="J31" t="str">
            <v>Stk</v>
          </cell>
          <cell r="K31">
            <v>45232</v>
          </cell>
          <cell r="L31" t="str">
            <v>829054</v>
          </cell>
          <cell r="M31" t="str">
            <v/>
          </cell>
          <cell r="N31" t="str">
            <v/>
          </cell>
          <cell r="O31" t="str">
            <v/>
          </cell>
          <cell r="P31" t="str">
            <v/>
          </cell>
          <cell r="Q31" t="str">
            <v/>
          </cell>
          <cell r="R31" t="str">
            <v/>
          </cell>
          <cell r="S31" t="str">
            <v/>
          </cell>
          <cell r="T31" t="str">
            <v/>
          </cell>
          <cell r="U31" t="str">
            <v/>
          </cell>
          <cell r="V31" t="str">
            <v>N52</v>
          </cell>
          <cell r="W31" t="str">
            <v/>
          </cell>
          <cell r="X31" t="str">
            <v/>
          </cell>
          <cell r="Y31" t="str">
            <v/>
          </cell>
          <cell r="Z31" t="str">
            <v/>
          </cell>
          <cell r="AA31" t="str">
            <v/>
          </cell>
          <cell r="AB31" t="str">
            <v>PA_4425990-UA.7005-4</v>
          </cell>
          <cell r="AC31">
            <v>1</v>
          </cell>
          <cell r="AD31" t="str">
            <v/>
          </cell>
          <cell r="AE31">
            <v>0</v>
          </cell>
          <cell r="AF31" t="str">
            <v/>
          </cell>
          <cell r="AG31" t="str">
            <v>12502997</v>
          </cell>
          <cell r="AH31">
            <v>44588.902291666665</v>
          </cell>
          <cell r="AI31" t="str">
            <v>N52</v>
          </cell>
          <cell r="AJ31" t="str">
            <v>F</v>
          </cell>
          <cell r="AK31" t="str">
            <v/>
          </cell>
        </row>
        <row r="32">
          <cell r="A32" t="str">
            <v>12514031829053</v>
          </cell>
          <cell r="B32" t="e">
            <v>#N/A</v>
          </cell>
          <cell r="C32">
            <v>8</v>
          </cell>
          <cell r="D32" t="str">
            <v>EK65</v>
          </cell>
          <cell r="E32" t="str">
            <v>504191</v>
          </cell>
          <cell r="F32" t="str">
            <v>E</v>
          </cell>
          <cell r="G32" t="str">
            <v>12514031</v>
          </cell>
          <cell r="H32" t="str">
            <v>Schirmblech HAN 3</v>
          </cell>
          <cell r="I32">
            <v>49</v>
          </cell>
          <cell r="J32" t="str">
            <v>Stk</v>
          </cell>
          <cell r="K32">
            <v>45100</v>
          </cell>
          <cell r="L32" t="str">
            <v>829053</v>
          </cell>
          <cell r="M32" t="str">
            <v/>
          </cell>
          <cell r="N32" t="str">
            <v/>
          </cell>
          <cell r="O32" t="str">
            <v/>
          </cell>
          <cell r="P32" t="str">
            <v/>
          </cell>
          <cell r="Q32" t="str">
            <v/>
          </cell>
          <cell r="R32" t="str">
            <v/>
          </cell>
          <cell r="S32" t="str">
            <v/>
          </cell>
          <cell r="T32" t="str">
            <v/>
          </cell>
          <cell r="U32" t="str">
            <v/>
          </cell>
          <cell r="V32" t="str">
            <v>N52</v>
          </cell>
          <cell r="W32" t="str">
            <v/>
          </cell>
          <cell r="X32" t="str">
            <v/>
          </cell>
          <cell r="Y32" t="str">
            <v/>
          </cell>
          <cell r="Z32" t="str">
            <v/>
          </cell>
          <cell r="AA32" t="str">
            <v/>
          </cell>
          <cell r="AB32" t="str">
            <v>PA_4477567-UA.7005-3</v>
          </cell>
          <cell r="AC32">
            <v>1</v>
          </cell>
          <cell r="AD32" t="str">
            <v/>
          </cell>
          <cell r="AE32">
            <v>0</v>
          </cell>
          <cell r="AF32" t="str">
            <v/>
          </cell>
          <cell r="AG32" t="str">
            <v>12514031</v>
          </cell>
          <cell r="AH32">
            <v>44588.903067129628</v>
          </cell>
          <cell r="AI32" t="str">
            <v>N52</v>
          </cell>
          <cell r="AJ32" t="str">
            <v>F</v>
          </cell>
          <cell r="AK32" t="str">
            <v/>
          </cell>
        </row>
        <row r="33">
          <cell r="A33" t="str">
            <v>12518784829053</v>
          </cell>
          <cell r="B33" t="e">
            <v>#N/A</v>
          </cell>
          <cell r="C33">
            <v>8</v>
          </cell>
          <cell r="D33" t="str">
            <v>EK65</v>
          </cell>
          <cell r="E33" t="str">
            <v>504204</v>
          </cell>
          <cell r="F33" t="str">
            <v>E</v>
          </cell>
          <cell r="G33" t="str">
            <v>12518784</v>
          </cell>
          <cell r="H33" t="str">
            <v>Leitungshalter</v>
          </cell>
          <cell r="I33">
            <v>360</v>
          </cell>
          <cell r="J33" t="str">
            <v>Stk</v>
          </cell>
          <cell r="K33">
            <v>45195</v>
          </cell>
          <cell r="L33" t="str">
            <v>829053</v>
          </cell>
          <cell r="M33" t="str">
            <v/>
          </cell>
          <cell r="N33" t="str">
            <v/>
          </cell>
          <cell r="O33" t="str">
            <v/>
          </cell>
          <cell r="P33" t="str">
            <v/>
          </cell>
          <cell r="Q33" t="str">
            <v/>
          </cell>
          <cell r="R33" t="str">
            <v/>
          </cell>
          <cell r="S33" t="str">
            <v/>
          </cell>
          <cell r="T33" t="str">
            <v/>
          </cell>
          <cell r="U33" t="str">
            <v/>
          </cell>
          <cell r="V33" t="str">
            <v>N52</v>
          </cell>
          <cell r="W33" t="str">
            <v/>
          </cell>
          <cell r="X33" t="str">
            <v/>
          </cell>
          <cell r="Y33" t="str">
            <v/>
          </cell>
          <cell r="Z33" t="str">
            <v/>
          </cell>
          <cell r="AA33" t="str">
            <v/>
          </cell>
          <cell r="AB33" t="str">
            <v>PA_4373644-UA.7005-3</v>
          </cell>
          <cell r="AC33">
            <v>1</v>
          </cell>
          <cell r="AD33" t="str">
            <v/>
          </cell>
          <cell r="AE33">
            <v>0</v>
          </cell>
          <cell r="AF33" t="str">
            <v/>
          </cell>
          <cell r="AG33" t="str">
            <v>12518784</v>
          </cell>
          <cell r="AH33">
            <v>44588.903622685182</v>
          </cell>
          <cell r="AI33" t="str">
            <v>N52</v>
          </cell>
          <cell r="AJ33" t="str">
            <v>F</v>
          </cell>
          <cell r="AK33" t="str">
            <v/>
          </cell>
        </row>
        <row r="34">
          <cell r="A34" t="str">
            <v>12518784829054</v>
          </cell>
          <cell r="B34" t="e">
            <v>#N/A</v>
          </cell>
          <cell r="C34">
            <v>8</v>
          </cell>
          <cell r="D34" t="str">
            <v>EK65</v>
          </cell>
          <cell r="E34" t="str">
            <v>504205</v>
          </cell>
          <cell r="F34" t="str">
            <v>E</v>
          </cell>
          <cell r="G34" t="str">
            <v>12518784</v>
          </cell>
          <cell r="H34" t="str">
            <v>Leitungshalter</v>
          </cell>
          <cell r="I34">
            <v>134</v>
          </cell>
          <cell r="J34" t="str">
            <v>Stk</v>
          </cell>
          <cell r="K34">
            <v>45206</v>
          </cell>
          <cell r="L34" t="str">
            <v>829054</v>
          </cell>
          <cell r="M34" t="str">
            <v/>
          </cell>
          <cell r="N34" t="str">
            <v/>
          </cell>
          <cell r="O34" t="str">
            <v/>
          </cell>
          <cell r="P34" t="str">
            <v/>
          </cell>
          <cell r="Q34" t="str">
            <v/>
          </cell>
          <cell r="R34" t="str">
            <v/>
          </cell>
          <cell r="S34" t="str">
            <v/>
          </cell>
          <cell r="T34" t="str">
            <v/>
          </cell>
          <cell r="U34" t="str">
            <v/>
          </cell>
          <cell r="V34" t="str">
            <v>N52</v>
          </cell>
          <cell r="W34" t="str">
            <v/>
          </cell>
          <cell r="X34" t="str">
            <v/>
          </cell>
          <cell r="Y34" t="str">
            <v/>
          </cell>
          <cell r="Z34" t="str">
            <v/>
          </cell>
          <cell r="AA34" t="str">
            <v/>
          </cell>
          <cell r="AB34" t="str">
            <v>PA_4373644-UA.7005-3</v>
          </cell>
          <cell r="AC34">
            <v>1</v>
          </cell>
          <cell r="AD34" t="str">
            <v/>
          </cell>
          <cell r="AE34">
            <v>0</v>
          </cell>
          <cell r="AF34" t="str">
            <v/>
          </cell>
          <cell r="AG34" t="str">
            <v>12518784</v>
          </cell>
          <cell r="AH34">
            <v>44588.903622685182</v>
          </cell>
          <cell r="AI34" t="str">
            <v>N52</v>
          </cell>
          <cell r="AJ34" t="str">
            <v>F</v>
          </cell>
          <cell r="AK34" t="str">
            <v/>
          </cell>
        </row>
        <row r="35">
          <cell r="A35" t="str">
            <v>12519476829053</v>
          </cell>
          <cell r="B35" t="e">
            <v>#N/A</v>
          </cell>
          <cell r="C35">
            <v>12</v>
          </cell>
          <cell r="D35" t="str">
            <v>EK65</v>
          </cell>
          <cell r="E35" t="str">
            <v>504208</v>
          </cell>
          <cell r="F35" t="str">
            <v>E</v>
          </cell>
          <cell r="G35" t="str">
            <v>12519476</v>
          </cell>
          <cell r="H35" t="str">
            <v>Halter</v>
          </cell>
          <cell r="I35">
            <v>205</v>
          </cell>
          <cell r="J35" t="str">
            <v>Stk</v>
          </cell>
          <cell r="K35">
            <v>45195</v>
          </cell>
          <cell r="L35" t="str">
            <v>829053</v>
          </cell>
          <cell r="M35" t="str">
            <v/>
          </cell>
          <cell r="N35" t="str">
            <v/>
          </cell>
          <cell r="O35" t="str">
            <v/>
          </cell>
          <cell r="P35" t="str">
            <v/>
          </cell>
          <cell r="Q35" t="str">
            <v/>
          </cell>
          <cell r="R35" t="str">
            <v/>
          </cell>
          <cell r="S35" t="str">
            <v/>
          </cell>
          <cell r="T35" t="str">
            <v/>
          </cell>
          <cell r="U35" t="str">
            <v/>
          </cell>
          <cell r="V35" t="str">
            <v>N52</v>
          </cell>
          <cell r="W35" t="str">
            <v/>
          </cell>
          <cell r="X35" t="str">
            <v/>
          </cell>
          <cell r="Y35" t="str">
            <v/>
          </cell>
          <cell r="Z35" t="str">
            <v/>
          </cell>
          <cell r="AA35" t="str">
            <v/>
          </cell>
          <cell r="AB35" t="str">
            <v>PA_4350992-UA.7005-3</v>
          </cell>
          <cell r="AC35">
            <v>1</v>
          </cell>
          <cell r="AD35" t="str">
            <v/>
          </cell>
          <cell r="AE35">
            <v>0</v>
          </cell>
          <cell r="AF35" t="str">
            <v/>
          </cell>
          <cell r="AG35" t="str">
            <v>12519476</v>
          </cell>
          <cell r="AH35">
            <v>44588.903680555559</v>
          </cell>
          <cell r="AI35" t="str">
            <v>N52</v>
          </cell>
          <cell r="AJ35" t="str">
            <v>F</v>
          </cell>
          <cell r="AK35" t="str">
            <v/>
          </cell>
        </row>
        <row r="36">
          <cell r="A36" t="str">
            <v>12519476829054</v>
          </cell>
          <cell r="B36" t="e">
            <v>#N/A</v>
          </cell>
          <cell r="C36">
            <v>12</v>
          </cell>
          <cell r="D36" t="str">
            <v>EK65</v>
          </cell>
          <cell r="E36" t="str">
            <v>504209</v>
          </cell>
          <cell r="F36" t="str">
            <v>E</v>
          </cell>
          <cell r="G36" t="str">
            <v>12519476</v>
          </cell>
          <cell r="H36" t="str">
            <v>Halter</v>
          </cell>
          <cell r="I36">
            <v>67</v>
          </cell>
          <cell r="J36" t="str">
            <v>Stk</v>
          </cell>
          <cell r="K36">
            <v>45206</v>
          </cell>
          <cell r="L36" t="str">
            <v>829054</v>
          </cell>
          <cell r="M36" t="str">
            <v/>
          </cell>
          <cell r="N36" t="str">
            <v/>
          </cell>
          <cell r="O36" t="str">
            <v/>
          </cell>
          <cell r="P36" t="str">
            <v/>
          </cell>
          <cell r="Q36" t="str">
            <v/>
          </cell>
          <cell r="R36" t="str">
            <v/>
          </cell>
          <cell r="S36" t="str">
            <v/>
          </cell>
          <cell r="T36" t="str">
            <v/>
          </cell>
          <cell r="U36" t="str">
            <v/>
          </cell>
          <cell r="V36" t="str">
            <v>N52</v>
          </cell>
          <cell r="W36" t="str">
            <v/>
          </cell>
          <cell r="X36" t="str">
            <v/>
          </cell>
          <cell r="Y36" t="str">
            <v/>
          </cell>
          <cell r="Z36" t="str">
            <v/>
          </cell>
          <cell r="AA36" t="str">
            <v/>
          </cell>
          <cell r="AB36" t="str">
            <v>PA_4350992-UA.7005-3</v>
          </cell>
          <cell r="AC36">
            <v>1</v>
          </cell>
          <cell r="AD36" t="str">
            <v/>
          </cell>
          <cell r="AE36">
            <v>0</v>
          </cell>
          <cell r="AF36" t="str">
            <v/>
          </cell>
          <cell r="AG36" t="str">
            <v>12519476</v>
          </cell>
          <cell r="AH36">
            <v>44588.903680555559</v>
          </cell>
          <cell r="AI36" t="str">
            <v>N52</v>
          </cell>
          <cell r="AJ36" t="str">
            <v>F</v>
          </cell>
          <cell r="AK36" t="str">
            <v/>
          </cell>
        </row>
        <row r="37">
          <cell r="A37" t="str">
            <v>12519509829053</v>
          </cell>
          <cell r="B37" t="e">
            <v>#N/A</v>
          </cell>
          <cell r="C37">
            <v>10</v>
          </cell>
          <cell r="D37" t="str">
            <v>EK65</v>
          </cell>
          <cell r="E37" t="str">
            <v>504210</v>
          </cell>
          <cell r="F37" t="str">
            <v>E</v>
          </cell>
          <cell r="G37" t="str">
            <v>12519509</v>
          </cell>
          <cell r="H37" t="str">
            <v>Halter</v>
          </cell>
          <cell r="I37">
            <v>309</v>
          </cell>
          <cell r="J37" t="str">
            <v>Stk</v>
          </cell>
          <cell r="K37">
            <v>45195</v>
          </cell>
          <cell r="L37" t="str">
            <v>829053</v>
          </cell>
          <cell r="M37" t="str">
            <v/>
          </cell>
          <cell r="N37" t="str">
            <v/>
          </cell>
          <cell r="O37" t="str">
            <v/>
          </cell>
          <cell r="P37" t="str">
            <v/>
          </cell>
          <cell r="Q37" t="str">
            <v/>
          </cell>
          <cell r="R37" t="str">
            <v/>
          </cell>
          <cell r="S37" t="str">
            <v/>
          </cell>
          <cell r="T37" t="str">
            <v/>
          </cell>
          <cell r="U37" t="str">
            <v/>
          </cell>
          <cell r="V37" t="str">
            <v>N52</v>
          </cell>
          <cell r="W37" t="str">
            <v/>
          </cell>
          <cell r="X37" t="str">
            <v/>
          </cell>
          <cell r="Y37" t="str">
            <v/>
          </cell>
          <cell r="Z37" t="str">
            <v/>
          </cell>
          <cell r="AA37" t="str">
            <v/>
          </cell>
          <cell r="AB37" t="str">
            <v>PA_4350683-UA.7005-4</v>
          </cell>
          <cell r="AC37">
            <v>1</v>
          </cell>
          <cell r="AD37" t="str">
            <v/>
          </cell>
          <cell r="AE37">
            <v>0</v>
          </cell>
          <cell r="AF37" t="str">
            <v/>
          </cell>
          <cell r="AG37" t="str">
            <v>12519509</v>
          </cell>
          <cell r="AH37">
            <v>44588.903703703705</v>
          </cell>
          <cell r="AI37" t="str">
            <v>N52</v>
          </cell>
          <cell r="AJ37" t="str">
            <v>F</v>
          </cell>
          <cell r="AK37" t="str">
            <v/>
          </cell>
        </row>
        <row r="38">
          <cell r="A38" t="str">
            <v>12519509829054</v>
          </cell>
          <cell r="B38" t="e">
            <v>#N/A</v>
          </cell>
          <cell r="C38">
            <v>10</v>
          </cell>
          <cell r="D38" t="str">
            <v>EK65</v>
          </cell>
          <cell r="E38" t="str">
            <v>504211</v>
          </cell>
          <cell r="F38" t="str">
            <v>E</v>
          </cell>
          <cell r="G38" t="str">
            <v>12519509</v>
          </cell>
          <cell r="H38" t="str">
            <v>Halter</v>
          </cell>
          <cell r="I38">
            <v>100</v>
          </cell>
          <cell r="J38" t="str">
            <v>Stk</v>
          </cell>
          <cell r="K38">
            <v>45209</v>
          </cell>
          <cell r="L38" t="str">
            <v>829054</v>
          </cell>
          <cell r="M38" t="str">
            <v/>
          </cell>
          <cell r="N38" t="str">
            <v/>
          </cell>
          <cell r="O38" t="str">
            <v/>
          </cell>
          <cell r="P38" t="str">
            <v/>
          </cell>
          <cell r="Q38" t="str">
            <v/>
          </cell>
          <cell r="R38" t="str">
            <v/>
          </cell>
          <cell r="S38" t="str">
            <v/>
          </cell>
          <cell r="T38" t="str">
            <v/>
          </cell>
          <cell r="U38" t="str">
            <v/>
          </cell>
          <cell r="V38" t="str">
            <v>N52</v>
          </cell>
          <cell r="W38" t="str">
            <v/>
          </cell>
          <cell r="X38" t="str">
            <v/>
          </cell>
          <cell r="Y38" t="str">
            <v/>
          </cell>
          <cell r="Z38" t="str">
            <v/>
          </cell>
          <cell r="AA38" t="str">
            <v/>
          </cell>
          <cell r="AB38" t="str">
            <v>PA_4350683-UA.7005-4</v>
          </cell>
          <cell r="AC38">
            <v>1</v>
          </cell>
          <cell r="AD38" t="str">
            <v/>
          </cell>
          <cell r="AE38">
            <v>0</v>
          </cell>
          <cell r="AF38" t="str">
            <v/>
          </cell>
          <cell r="AG38" t="str">
            <v>12519509</v>
          </cell>
          <cell r="AH38">
            <v>44588.903703703705</v>
          </cell>
          <cell r="AI38" t="str">
            <v>N52</v>
          </cell>
          <cell r="AJ38" t="str">
            <v>F</v>
          </cell>
          <cell r="AK38" t="str">
            <v/>
          </cell>
        </row>
        <row r="39">
          <cell r="A39" t="str">
            <v>12527051829053</v>
          </cell>
          <cell r="B39" t="e">
            <v>#N/A</v>
          </cell>
          <cell r="C39">
            <v>12</v>
          </cell>
          <cell r="D39" t="str">
            <v>EK65</v>
          </cell>
          <cell r="E39" t="str">
            <v>504214</v>
          </cell>
          <cell r="F39" t="str">
            <v>E</v>
          </cell>
          <cell r="G39" t="str">
            <v>12527051</v>
          </cell>
          <cell r="H39" t="str">
            <v>Halteblech</v>
          </cell>
          <cell r="I39">
            <v>75</v>
          </cell>
          <cell r="J39" t="str">
            <v>Stk</v>
          </cell>
          <cell r="K39">
            <v>45206</v>
          </cell>
          <cell r="L39" t="str">
            <v>829053</v>
          </cell>
          <cell r="M39" t="str">
            <v/>
          </cell>
          <cell r="N39" t="str">
            <v/>
          </cell>
          <cell r="O39" t="str">
            <v/>
          </cell>
          <cell r="P39" t="str">
            <v/>
          </cell>
          <cell r="Q39" t="str">
            <v/>
          </cell>
          <cell r="R39" t="str">
            <v/>
          </cell>
          <cell r="S39" t="str">
            <v/>
          </cell>
          <cell r="T39" t="str">
            <v/>
          </cell>
          <cell r="U39" t="str">
            <v/>
          </cell>
          <cell r="V39" t="str">
            <v>N52</v>
          </cell>
          <cell r="W39" t="str">
            <v/>
          </cell>
          <cell r="X39" t="str">
            <v/>
          </cell>
          <cell r="Y39" t="str">
            <v/>
          </cell>
          <cell r="Z39" t="str">
            <v/>
          </cell>
          <cell r="AA39" t="str">
            <v/>
          </cell>
          <cell r="AB39" t="str">
            <v>PA_4564260-UA.7005-4</v>
          </cell>
          <cell r="AC39">
            <v>1</v>
          </cell>
          <cell r="AD39" t="str">
            <v/>
          </cell>
          <cell r="AE39">
            <v>0</v>
          </cell>
          <cell r="AF39" t="str">
            <v/>
          </cell>
          <cell r="AG39" t="str">
            <v>12527051</v>
          </cell>
          <cell r="AH39">
            <v>44588.903877314813</v>
          </cell>
          <cell r="AI39" t="str">
            <v>N52</v>
          </cell>
          <cell r="AJ39" t="str">
            <v>F</v>
          </cell>
          <cell r="AK39" t="str">
            <v/>
          </cell>
        </row>
        <row r="40">
          <cell r="A40" t="str">
            <v>12527051829054</v>
          </cell>
          <cell r="B40" t="e">
            <v>#N/A</v>
          </cell>
          <cell r="C40">
            <v>12</v>
          </cell>
          <cell r="D40" t="str">
            <v>EK65</v>
          </cell>
          <cell r="E40" t="str">
            <v>504215</v>
          </cell>
          <cell r="F40" t="str">
            <v>E</v>
          </cell>
          <cell r="G40" t="str">
            <v>12527051</v>
          </cell>
          <cell r="H40" t="str">
            <v>Halteblech</v>
          </cell>
          <cell r="I40">
            <v>12</v>
          </cell>
          <cell r="J40" t="str">
            <v>Stk</v>
          </cell>
          <cell r="K40">
            <v>45273</v>
          </cell>
          <cell r="L40" t="str">
            <v>829054</v>
          </cell>
          <cell r="M40" t="str">
            <v/>
          </cell>
          <cell r="N40" t="str">
            <v/>
          </cell>
          <cell r="O40" t="str">
            <v/>
          </cell>
          <cell r="P40" t="str">
            <v/>
          </cell>
          <cell r="Q40" t="str">
            <v/>
          </cell>
          <cell r="R40" t="str">
            <v/>
          </cell>
          <cell r="S40" t="str">
            <v/>
          </cell>
          <cell r="T40" t="str">
            <v/>
          </cell>
          <cell r="U40" t="str">
            <v/>
          </cell>
          <cell r="V40" t="str">
            <v>N52</v>
          </cell>
          <cell r="W40" t="str">
            <v/>
          </cell>
          <cell r="X40" t="str">
            <v/>
          </cell>
          <cell r="Y40" t="str">
            <v/>
          </cell>
          <cell r="Z40" t="str">
            <v/>
          </cell>
          <cell r="AA40" t="str">
            <v/>
          </cell>
          <cell r="AB40" t="str">
            <v>PA_4564260-UA.7005-4</v>
          </cell>
          <cell r="AC40">
            <v>1</v>
          </cell>
          <cell r="AD40" t="str">
            <v/>
          </cell>
          <cell r="AE40">
            <v>0</v>
          </cell>
          <cell r="AF40" t="str">
            <v/>
          </cell>
          <cell r="AG40" t="str">
            <v>12527051</v>
          </cell>
          <cell r="AH40">
            <v>44588.903877314813</v>
          </cell>
          <cell r="AI40" t="str">
            <v>N52</v>
          </cell>
          <cell r="AJ40" t="str">
            <v>F</v>
          </cell>
          <cell r="AK40" t="str">
            <v/>
          </cell>
        </row>
        <row r="41">
          <cell r="A41" t="str">
            <v>12527058829053</v>
          </cell>
          <cell r="B41" t="e">
            <v>#N/A</v>
          </cell>
          <cell r="C41">
            <v>11</v>
          </cell>
          <cell r="D41" t="str">
            <v>EK65</v>
          </cell>
          <cell r="E41" t="str">
            <v>504216</v>
          </cell>
          <cell r="F41" t="str">
            <v>E</v>
          </cell>
          <cell r="G41" t="str">
            <v>12527058</v>
          </cell>
          <cell r="H41" t="str">
            <v>Fuehrungsblech</v>
          </cell>
          <cell r="I41">
            <v>75</v>
          </cell>
          <cell r="J41" t="str">
            <v>Stk</v>
          </cell>
          <cell r="K41">
            <v>45206</v>
          </cell>
          <cell r="L41" t="str">
            <v>829053</v>
          </cell>
          <cell r="M41" t="str">
            <v/>
          </cell>
          <cell r="N41" t="str">
            <v/>
          </cell>
          <cell r="O41" t="str">
            <v/>
          </cell>
          <cell r="P41" t="str">
            <v/>
          </cell>
          <cell r="Q41" t="str">
            <v/>
          </cell>
          <cell r="R41" t="str">
            <v/>
          </cell>
          <cell r="S41" t="str">
            <v/>
          </cell>
          <cell r="T41" t="str">
            <v/>
          </cell>
          <cell r="U41" t="str">
            <v/>
          </cell>
          <cell r="V41" t="str">
            <v>N52</v>
          </cell>
          <cell r="W41" t="str">
            <v/>
          </cell>
          <cell r="X41" t="str">
            <v/>
          </cell>
          <cell r="Y41" t="str">
            <v/>
          </cell>
          <cell r="Z41" t="str">
            <v/>
          </cell>
          <cell r="AA41" t="str">
            <v/>
          </cell>
          <cell r="AB41" t="str">
            <v>PA_4564261-UA.7005-4</v>
          </cell>
          <cell r="AC41">
            <v>1</v>
          </cell>
          <cell r="AD41" t="str">
            <v/>
          </cell>
          <cell r="AE41">
            <v>0</v>
          </cell>
          <cell r="AF41" t="str">
            <v/>
          </cell>
          <cell r="AG41" t="str">
            <v>12527058</v>
          </cell>
          <cell r="AH41">
            <v>44588.90388888889</v>
          </cell>
          <cell r="AI41" t="str">
            <v>N52</v>
          </cell>
          <cell r="AJ41" t="str">
            <v>F</v>
          </cell>
          <cell r="AK41" t="str">
            <v/>
          </cell>
        </row>
        <row r="42">
          <cell r="A42" t="str">
            <v>12527058829054</v>
          </cell>
          <cell r="B42" t="e">
            <v>#N/A</v>
          </cell>
          <cell r="C42">
            <v>11</v>
          </cell>
          <cell r="D42" t="str">
            <v>EK65</v>
          </cell>
          <cell r="E42" t="str">
            <v>504217</v>
          </cell>
          <cell r="F42" t="str">
            <v>E</v>
          </cell>
          <cell r="G42" t="str">
            <v>12527058</v>
          </cell>
          <cell r="H42" t="str">
            <v>Fuehrungsblech</v>
          </cell>
          <cell r="I42">
            <v>13</v>
          </cell>
          <cell r="J42" t="str">
            <v>Stk</v>
          </cell>
          <cell r="K42">
            <v>45254</v>
          </cell>
          <cell r="L42" t="str">
            <v>829054</v>
          </cell>
          <cell r="M42" t="str">
            <v/>
          </cell>
          <cell r="N42" t="str">
            <v/>
          </cell>
          <cell r="O42" t="str">
            <v/>
          </cell>
          <cell r="P42" t="str">
            <v/>
          </cell>
          <cell r="Q42" t="str">
            <v/>
          </cell>
          <cell r="R42" t="str">
            <v/>
          </cell>
          <cell r="S42" t="str">
            <v/>
          </cell>
          <cell r="T42" t="str">
            <v/>
          </cell>
          <cell r="U42" t="str">
            <v/>
          </cell>
          <cell r="V42" t="str">
            <v>N52</v>
          </cell>
          <cell r="W42" t="str">
            <v/>
          </cell>
          <cell r="X42" t="str">
            <v/>
          </cell>
          <cell r="Y42" t="str">
            <v/>
          </cell>
          <cell r="Z42" t="str">
            <v/>
          </cell>
          <cell r="AA42" t="str">
            <v/>
          </cell>
          <cell r="AB42" t="str">
            <v>PA_4564261-UA.7005-4</v>
          </cell>
          <cell r="AC42">
            <v>1</v>
          </cell>
          <cell r="AD42" t="str">
            <v/>
          </cell>
          <cell r="AE42">
            <v>0</v>
          </cell>
          <cell r="AF42" t="str">
            <v/>
          </cell>
          <cell r="AG42" t="str">
            <v>12527058</v>
          </cell>
          <cell r="AH42">
            <v>44588.903900462959</v>
          </cell>
          <cell r="AI42" t="str">
            <v>N52</v>
          </cell>
          <cell r="AJ42" t="str">
            <v>F</v>
          </cell>
          <cell r="AK42" t="str">
            <v/>
          </cell>
        </row>
        <row r="43">
          <cell r="A43" t="str">
            <v>12533064829054</v>
          </cell>
          <cell r="B43" t="e">
            <v>#N/A</v>
          </cell>
          <cell r="C43">
            <v>10</v>
          </cell>
          <cell r="D43" t="str">
            <v>EK65</v>
          </cell>
          <cell r="E43" t="str">
            <v>504255</v>
          </cell>
          <cell r="F43" t="str">
            <v>E</v>
          </cell>
          <cell r="G43" t="str">
            <v>12533064</v>
          </cell>
          <cell r="H43" t="str">
            <v>Halter</v>
          </cell>
          <cell r="I43">
            <v>19</v>
          </cell>
          <cell r="J43" t="str">
            <v>Stk</v>
          </cell>
          <cell r="K43">
            <v>45185</v>
          </cell>
          <cell r="L43" t="str">
            <v>829054</v>
          </cell>
          <cell r="M43" t="str">
            <v/>
          </cell>
          <cell r="N43" t="str">
            <v/>
          </cell>
          <cell r="O43" t="str">
            <v/>
          </cell>
          <cell r="P43" t="str">
            <v/>
          </cell>
          <cell r="Q43" t="str">
            <v/>
          </cell>
          <cell r="R43" t="str">
            <v/>
          </cell>
          <cell r="S43" t="str">
            <v/>
          </cell>
          <cell r="T43" t="str">
            <v/>
          </cell>
          <cell r="U43" t="str">
            <v/>
          </cell>
          <cell r="V43" t="str">
            <v>N52</v>
          </cell>
          <cell r="W43" t="str">
            <v/>
          </cell>
          <cell r="X43" t="str">
            <v/>
          </cell>
          <cell r="Y43" t="str">
            <v/>
          </cell>
          <cell r="Z43" t="str">
            <v/>
          </cell>
          <cell r="AA43" t="str">
            <v/>
          </cell>
          <cell r="AB43" t="str">
            <v>PA_4452484-UA.7005-3</v>
          </cell>
          <cell r="AC43">
            <v>1</v>
          </cell>
          <cell r="AD43" t="str">
            <v/>
          </cell>
          <cell r="AE43">
            <v>0</v>
          </cell>
          <cell r="AF43" t="str">
            <v/>
          </cell>
          <cell r="AG43" t="str">
            <v>12533064</v>
          </cell>
          <cell r="AH43">
            <v>44588.904768518521</v>
          </cell>
          <cell r="AI43" t="str">
            <v>N52</v>
          </cell>
          <cell r="AJ43" t="str">
            <v>F</v>
          </cell>
          <cell r="AK43" t="str">
            <v/>
          </cell>
        </row>
        <row r="44">
          <cell r="A44" t="str">
            <v>12533064829053</v>
          </cell>
          <cell r="B44" t="e">
            <v>#N/A</v>
          </cell>
          <cell r="C44">
            <v>10</v>
          </cell>
          <cell r="D44" t="str">
            <v>EK65</v>
          </cell>
          <cell r="E44" t="str">
            <v>504256</v>
          </cell>
          <cell r="F44" t="str">
            <v>E</v>
          </cell>
          <cell r="G44" t="str">
            <v>12533064</v>
          </cell>
          <cell r="H44" t="str">
            <v>Halter</v>
          </cell>
          <cell r="I44">
            <v>45</v>
          </cell>
          <cell r="J44" t="str">
            <v>Stk</v>
          </cell>
          <cell r="K44">
            <v>45218</v>
          </cell>
          <cell r="L44" t="str">
            <v>829053</v>
          </cell>
          <cell r="M44" t="str">
            <v/>
          </cell>
          <cell r="N44" t="str">
            <v/>
          </cell>
          <cell r="O44" t="str">
            <v/>
          </cell>
          <cell r="P44" t="str">
            <v/>
          </cell>
          <cell r="Q44" t="str">
            <v/>
          </cell>
          <cell r="R44" t="str">
            <v/>
          </cell>
          <cell r="S44" t="str">
            <v/>
          </cell>
          <cell r="T44" t="str">
            <v/>
          </cell>
          <cell r="U44" t="str">
            <v/>
          </cell>
          <cell r="V44" t="str">
            <v>N52</v>
          </cell>
          <cell r="W44" t="str">
            <v/>
          </cell>
          <cell r="X44" t="str">
            <v/>
          </cell>
          <cell r="Y44" t="str">
            <v/>
          </cell>
          <cell r="Z44" t="str">
            <v/>
          </cell>
          <cell r="AA44" t="str">
            <v/>
          </cell>
          <cell r="AB44" t="str">
            <v>PA_4452484-UA.7005-3</v>
          </cell>
          <cell r="AC44">
            <v>1</v>
          </cell>
          <cell r="AD44" t="str">
            <v/>
          </cell>
          <cell r="AE44">
            <v>0</v>
          </cell>
          <cell r="AF44" t="str">
            <v/>
          </cell>
          <cell r="AG44" t="str">
            <v>12533064</v>
          </cell>
          <cell r="AH44">
            <v>44588.904768518521</v>
          </cell>
          <cell r="AI44" t="str">
            <v>N52</v>
          </cell>
          <cell r="AJ44" t="str">
            <v>F</v>
          </cell>
          <cell r="AK44" t="str">
            <v/>
          </cell>
        </row>
        <row r="45">
          <cell r="A45" t="str">
            <v>12533159829053</v>
          </cell>
          <cell r="B45" t="e">
            <v>#N/A</v>
          </cell>
          <cell r="C45">
            <v>20</v>
          </cell>
          <cell r="D45" t="str">
            <v>EK65</v>
          </cell>
          <cell r="E45" t="str">
            <v>504257</v>
          </cell>
          <cell r="F45" t="str">
            <v>E</v>
          </cell>
          <cell r="G45" t="str">
            <v>12533159</v>
          </cell>
          <cell r="H45" t="str">
            <v>Halter</v>
          </cell>
          <cell r="I45">
            <v>51</v>
          </cell>
          <cell r="J45" t="str">
            <v>Stk</v>
          </cell>
          <cell r="K45">
            <v>45198</v>
          </cell>
          <cell r="L45" t="str">
            <v>829053</v>
          </cell>
          <cell r="M45" t="str">
            <v/>
          </cell>
          <cell r="N45" t="str">
            <v/>
          </cell>
          <cell r="O45" t="str">
            <v/>
          </cell>
          <cell r="P45" t="str">
            <v/>
          </cell>
          <cell r="Q45" t="str">
            <v/>
          </cell>
          <cell r="R45" t="str">
            <v/>
          </cell>
          <cell r="S45" t="str">
            <v/>
          </cell>
          <cell r="T45" t="str">
            <v/>
          </cell>
          <cell r="U45" t="str">
            <v/>
          </cell>
          <cell r="V45" t="str">
            <v>N52</v>
          </cell>
          <cell r="W45" t="str">
            <v/>
          </cell>
          <cell r="X45" t="str">
            <v/>
          </cell>
          <cell r="Y45" t="str">
            <v/>
          </cell>
          <cell r="Z45" t="str">
            <v/>
          </cell>
          <cell r="AA45" t="str">
            <v/>
          </cell>
          <cell r="AB45" t="str">
            <v>PA_4423730-UA.7005-3</v>
          </cell>
          <cell r="AC45">
            <v>1</v>
          </cell>
          <cell r="AD45" t="str">
            <v/>
          </cell>
          <cell r="AE45">
            <v>0</v>
          </cell>
          <cell r="AF45" t="str">
            <v/>
          </cell>
          <cell r="AG45" t="str">
            <v>12533159</v>
          </cell>
          <cell r="AH45">
            <v>44588.904780092591</v>
          </cell>
          <cell r="AI45" t="str">
            <v>N52</v>
          </cell>
          <cell r="AJ45" t="str">
            <v>F</v>
          </cell>
          <cell r="AK45" t="str">
            <v/>
          </cell>
        </row>
        <row r="46">
          <cell r="A46" t="str">
            <v>12533159829054</v>
          </cell>
          <cell r="B46" t="e">
            <v>#N/A</v>
          </cell>
          <cell r="C46">
            <v>20</v>
          </cell>
          <cell r="D46" t="str">
            <v>EK65</v>
          </cell>
          <cell r="E46" t="str">
            <v>504258</v>
          </cell>
          <cell r="F46" t="str">
            <v>E</v>
          </cell>
          <cell r="G46" t="str">
            <v>12533159</v>
          </cell>
          <cell r="H46" t="str">
            <v>Halter</v>
          </cell>
          <cell r="I46">
            <v>13</v>
          </cell>
          <cell r="J46" t="str">
            <v>Stk</v>
          </cell>
          <cell r="K46">
            <v>45254</v>
          </cell>
          <cell r="L46" t="str">
            <v>829054</v>
          </cell>
          <cell r="M46" t="str">
            <v/>
          </cell>
          <cell r="N46" t="str">
            <v/>
          </cell>
          <cell r="O46" t="str">
            <v/>
          </cell>
          <cell r="P46" t="str">
            <v/>
          </cell>
          <cell r="Q46" t="str">
            <v/>
          </cell>
          <cell r="R46" t="str">
            <v/>
          </cell>
          <cell r="S46" t="str">
            <v/>
          </cell>
          <cell r="T46" t="str">
            <v/>
          </cell>
          <cell r="U46" t="str">
            <v/>
          </cell>
          <cell r="V46" t="str">
            <v>N52</v>
          </cell>
          <cell r="W46" t="str">
            <v/>
          </cell>
          <cell r="X46" t="str">
            <v/>
          </cell>
          <cell r="Y46" t="str">
            <v/>
          </cell>
          <cell r="Z46" t="str">
            <v/>
          </cell>
          <cell r="AA46" t="str">
            <v/>
          </cell>
          <cell r="AB46" t="str">
            <v>PA_4423730-UA.7005-3</v>
          </cell>
          <cell r="AC46">
            <v>1</v>
          </cell>
          <cell r="AD46" t="str">
            <v/>
          </cell>
          <cell r="AE46">
            <v>0</v>
          </cell>
          <cell r="AF46" t="str">
            <v/>
          </cell>
          <cell r="AG46" t="str">
            <v>12533159</v>
          </cell>
          <cell r="AH46">
            <v>44588.904780092591</v>
          </cell>
          <cell r="AI46" t="str">
            <v>N52</v>
          </cell>
          <cell r="AJ46" t="str">
            <v>F</v>
          </cell>
          <cell r="AK46" t="str">
            <v/>
          </cell>
        </row>
        <row r="47">
          <cell r="A47" t="str">
            <v>12533365829053</v>
          </cell>
          <cell r="B47" t="e">
            <v>#N/A</v>
          </cell>
          <cell r="C47">
            <v>20</v>
          </cell>
          <cell r="D47" t="str">
            <v>EK65</v>
          </cell>
          <cell r="E47" t="str">
            <v>504261</v>
          </cell>
          <cell r="F47" t="str">
            <v>E</v>
          </cell>
          <cell r="G47" t="str">
            <v>12533365</v>
          </cell>
          <cell r="H47" t="str">
            <v>Halter</v>
          </cell>
          <cell r="I47">
            <v>51</v>
          </cell>
          <cell r="J47" t="str">
            <v>Stk</v>
          </cell>
          <cell r="K47">
            <v>45196</v>
          </cell>
          <cell r="L47" t="str">
            <v>829053</v>
          </cell>
          <cell r="M47" t="str">
            <v/>
          </cell>
          <cell r="N47" t="str">
            <v/>
          </cell>
          <cell r="O47" t="str">
            <v/>
          </cell>
          <cell r="P47" t="str">
            <v/>
          </cell>
          <cell r="Q47" t="str">
            <v/>
          </cell>
          <cell r="R47" t="str">
            <v/>
          </cell>
          <cell r="S47" t="str">
            <v/>
          </cell>
          <cell r="T47" t="str">
            <v/>
          </cell>
          <cell r="U47" t="str">
            <v/>
          </cell>
          <cell r="V47" t="str">
            <v>N52</v>
          </cell>
          <cell r="W47" t="str">
            <v/>
          </cell>
          <cell r="X47" t="str">
            <v/>
          </cell>
          <cell r="Y47" t="str">
            <v/>
          </cell>
          <cell r="Z47" t="str">
            <v/>
          </cell>
          <cell r="AA47" t="str">
            <v/>
          </cell>
          <cell r="AB47" t="str">
            <v>PA_4387248-UA.7005-3</v>
          </cell>
          <cell r="AC47">
            <v>1</v>
          </cell>
          <cell r="AD47" t="str">
            <v/>
          </cell>
          <cell r="AE47">
            <v>0</v>
          </cell>
          <cell r="AF47" t="str">
            <v/>
          </cell>
          <cell r="AG47" t="str">
            <v>12533365</v>
          </cell>
          <cell r="AH47">
            <v>44588.904814814814</v>
          </cell>
          <cell r="AI47" t="str">
            <v>N52</v>
          </cell>
          <cell r="AJ47" t="str">
            <v>F</v>
          </cell>
          <cell r="AK47" t="str">
            <v/>
          </cell>
        </row>
        <row r="48">
          <cell r="A48" t="str">
            <v>12533365829054</v>
          </cell>
          <cell r="B48" t="e">
            <v>#N/A</v>
          </cell>
          <cell r="C48">
            <v>20</v>
          </cell>
          <cell r="D48" t="str">
            <v>EK65</v>
          </cell>
          <cell r="E48" t="str">
            <v>504262</v>
          </cell>
          <cell r="F48" t="str">
            <v>E</v>
          </cell>
          <cell r="G48" t="str">
            <v>12533365</v>
          </cell>
          <cell r="H48" t="str">
            <v>Halter</v>
          </cell>
          <cell r="I48">
            <v>13</v>
          </cell>
          <cell r="J48" t="str">
            <v>Stk</v>
          </cell>
          <cell r="K48">
            <v>45252</v>
          </cell>
          <cell r="L48" t="str">
            <v>829054</v>
          </cell>
          <cell r="M48" t="str">
            <v/>
          </cell>
          <cell r="N48" t="str">
            <v/>
          </cell>
          <cell r="O48" t="str">
            <v/>
          </cell>
          <cell r="P48" t="str">
            <v/>
          </cell>
          <cell r="Q48" t="str">
            <v/>
          </cell>
          <cell r="R48" t="str">
            <v/>
          </cell>
          <cell r="S48" t="str">
            <v/>
          </cell>
          <cell r="T48" t="str">
            <v/>
          </cell>
          <cell r="U48" t="str">
            <v/>
          </cell>
          <cell r="V48" t="str">
            <v>N52</v>
          </cell>
          <cell r="W48" t="str">
            <v/>
          </cell>
          <cell r="X48" t="str">
            <v/>
          </cell>
          <cell r="Y48" t="str">
            <v/>
          </cell>
          <cell r="Z48" t="str">
            <v/>
          </cell>
          <cell r="AA48" t="str">
            <v/>
          </cell>
          <cell r="AB48" t="str">
            <v>PA_4387248-UA.7005-3</v>
          </cell>
          <cell r="AC48">
            <v>1</v>
          </cell>
          <cell r="AD48" t="str">
            <v/>
          </cell>
          <cell r="AE48">
            <v>0</v>
          </cell>
          <cell r="AF48" t="str">
            <v/>
          </cell>
          <cell r="AG48" t="str">
            <v>12533365</v>
          </cell>
          <cell r="AH48">
            <v>44588.904814814814</v>
          </cell>
          <cell r="AI48" t="str">
            <v>N52</v>
          </cell>
          <cell r="AJ48" t="str">
            <v>F</v>
          </cell>
          <cell r="AK48" t="str">
            <v/>
          </cell>
        </row>
        <row r="49">
          <cell r="A49" t="str">
            <v>12533378829053</v>
          </cell>
          <cell r="B49" t="e">
            <v>#N/A</v>
          </cell>
          <cell r="C49">
            <v>20</v>
          </cell>
          <cell r="D49" t="str">
            <v>EK65</v>
          </cell>
          <cell r="E49" t="str">
            <v>504263</v>
          </cell>
          <cell r="F49" t="str">
            <v>E</v>
          </cell>
          <cell r="G49" t="str">
            <v>12533378</v>
          </cell>
          <cell r="H49" t="str">
            <v>Blech</v>
          </cell>
          <cell r="I49">
            <v>51</v>
          </cell>
          <cell r="J49" t="str">
            <v>Stk</v>
          </cell>
          <cell r="K49">
            <v>45196</v>
          </cell>
          <cell r="L49" t="str">
            <v>829053</v>
          </cell>
          <cell r="M49" t="str">
            <v/>
          </cell>
          <cell r="N49" t="str">
            <v/>
          </cell>
          <cell r="O49" t="str">
            <v/>
          </cell>
          <cell r="P49" t="str">
            <v/>
          </cell>
          <cell r="Q49" t="str">
            <v/>
          </cell>
          <cell r="R49" t="str">
            <v/>
          </cell>
          <cell r="S49" t="str">
            <v/>
          </cell>
          <cell r="T49" t="str">
            <v/>
          </cell>
          <cell r="U49" t="str">
            <v/>
          </cell>
          <cell r="V49" t="str">
            <v>N52</v>
          </cell>
          <cell r="W49" t="str">
            <v/>
          </cell>
          <cell r="X49" t="str">
            <v/>
          </cell>
          <cell r="Y49" t="str">
            <v/>
          </cell>
          <cell r="Z49" t="str">
            <v/>
          </cell>
          <cell r="AA49" t="str">
            <v/>
          </cell>
          <cell r="AB49" t="str">
            <v>PA_4470705-UA.7005-4</v>
          </cell>
          <cell r="AC49">
            <v>1</v>
          </cell>
          <cell r="AD49" t="str">
            <v/>
          </cell>
          <cell r="AE49">
            <v>0</v>
          </cell>
          <cell r="AF49" t="str">
            <v/>
          </cell>
          <cell r="AG49" t="str">
            <v>12533378</v>
          </cell>
          <cell r="AH49">
            <v>44588.90483796296</v>
          </cell>
          <cell r="AI49" t="str">
            <v>N52</v>
          </cell>
          <cell r="AJ49" t="str">
            <v>F</v>
          </cell>
          <cell r="AK49" t="str">
            <v/>
          </cell>
        </row>
        <row r="50">
          <cell r="A50" t="str">
            <v>12533378829054</v>
          </cell>
          <cell r="B50" t="e">
            <v>#N/A</v>
          </cell>
          <cell r="C50">
            <v>20</v>
          </cell>
          <cell r="D50" t="str">
            <v>EK65</v>
          </cell>
          <cell r="E50" t="str">
            <v>504264</v>
          </cell>
          <cell r="F50" t="str">
            <v>E</v>
          </cell>
          <cell r="G50" t="str">
            <v>12533378</v>
          </cell>
          <cell r="H50" t="str">
            <v>Blech</v>
          </cell>
          <cell r="I50">
            <v>13</v>
          </cell>
          <cell r="J50" t="str">
            <v>Stk</v>
          </cell>
          <cell r="K50">
            <v>45252</v>
          </cell>
          <cell r="L50" t="str">
            <v>829054</v>
          </cell>
          <cell r="M50" t="str">
            <v/>
          </cell>
          <cell r="N50" t="str">
            <v/>
          </cell>
          <cell r="O50" t="str">
            <v/>
          </cell>
          <cell r="P50" t="str">
            <v/>
          </cell>
          <cell r="Q50" t="str">
            <v/>
          </cell>
          <cell r="R50" t="str">
            <v/>
          </cell>
          <cell r="S50" t="str">
            <v/>
          </cell>
          <cell r="T50" t="str">
            <v/>
          </cell>
          <cell r="U50" t="str">
            <v/>
          </cell>
          <cell r="V50" t="str">
            <v>N52</v>
          </cell>
          <cell r="W50" t="str">
            <v/>
          </cell>
          <cell r="X50" t="str">
            <v/>
          </cell>
          <cell r="Y50" t="str">
            <v/>
          </cell>
          <cell r="Z50" t="str">
            <v/>
          </cell>
          <cell r="AA50" t="str">
            <v/>
          </cell>
          <cell r="AB50" t="str">
            <v>PA_4470705-UA.7005-4</v>
          </cell>
          <cell r="AC50">
            <v>1</v>
          </cell>
          <cell r="AD50" t="str">
            <v/>
          </cell>
          <cell r="AE50">
            <v>0</v>
          </cell>
          <cell r="AF50" t="str">
            <v/>
          </cell>
          <cell r="AG50" t="str">
            <v>12533378</v>
          </cell>
          <cell r="AH50">
            <v>44588.90483796296</v>
          </cell>
          <cell r="AI50" t="str">
            <v>N52</v>
          </cell>
          <cell r="AJ50" t="str">
            <v>F</v>
          </cell>
          <cell r="AK50" t="str">
            <v/>
          </cell>
        </row>
        <row r="51">
          <cell r="A51" t="str">
            <v>12535600829053</v>
          </cell>
          <cell r="B51" t="e">
            <v>#N/A</v>
          </cell>
          <cell r="C51">
            <v>15</v>
          </cell>
          <cell r="D51" t="str">
            <v>EK65</v>
          </cell>
          <cell r="E51" t="str">
            <v>504274</v>
          </cell>
          <cell r="F51" t="str">
            <v>E</v>
          </cell>
          <cell r="G51" t="str">
            <v>12535600</v>
          </cell>
          <cell r="H51" t="str">
            <v>Halter</v>
          </cell>
          <cell r="I51">
            <v>102</v>
          </cell>
          <cell r="J51" t="str">
            <v>Stk</v>
          </cell>
          <cell r="K51">
            <v>45196</v>
          </cell>
          <cell r="L51" t="str">
            <v>829053</v>
          </cell>
          <cell r="M51" t="str">
            <v/>
          </cell>
          <cell r="N51" t="str">
            <v/>
          </cell>
          <cell r="O51" t="str">
            <v/>
          </cell>
          <cell r="P51" t="str">
            <v/>
          </cell>
          <cell r="Q51" t="str">
            <v/>
          </cell>
          <cell r="R51" t="str">
            <v/>
          </cell>
          <cell r="S51" t="str">
            <v/>
          </cell>
          <cell r="T51" t="str">
            <v/>
          </cell>
          <cell r="U51" t="str">
            <v/>
          </cell>
          <cell r="V51" t="str">
            <v>N52</v>
          </cell>
          <cell r="W51" t="str">
            <v/>
          </cell>
          <cell r="X51" t="str">
            <v/>
          </cell>
          <cell r="Y51" t="str">
            <v/>
          </cell>
          <cell r="Z51" t="str">
            <v/>
          </cell>
          <cell r="AA51" t="str">
            <v/>
          </cell>
          <cell r="AB51" t="str">
            <v>PA_4625439-UA.7005-4</v>
          </cell>
          <cell r="AC51">
            <v>1</v>
          </cell>
          <cell r="AD51" t="str">
            <v/>
          </cell>
          <cell r="AE51">
            <v>0</v>
          </cell>
          <cell r="AF51" t="str">
            <v/>
          </cell>
          <cell r="AG51" t="str">
            <v>12535600</v>
          </cell>
          <cell r="AH51">
            <v>44588.905370370368</v>
          </cell>
          <cell r="AI51" t="str">
            <v>N52</v>
          </cell>
          <cell r="AJ51" t="str">
            <v>F</v>
          </cell>
          <cell r="AK51" t="str">
            <v/>
          </cell>
        </row>
        <row r="52">
          <cell r="A52" t="str">
            <v>12535600829054</v>
          </cell>
          <cell r="B52" t="e">
            <v>#N/A</v>
          </cell>
          <cell r="C52">
            <v>15</v>
          </cell>
          <cell r="D52" t="str">
            <v>EK65</v>
          </cell>
          <cell r="E52" t="str">
            <v>504275</v>
          </cell>
          <cell r="F52" t="str">
            <v>E</v>
          </cell>
          <cell r="G52" t="str">
            <v>12535600</v>
          </cell>
          <cell r="H52" t="str">
            <v>Halter</v>
          </cell>
          <cell r="I52">
            <v>33</v>
          </cell>
          <cell r="J52" t="str">
            <v>Stk</v>
          </cell>
          <cell r="K52">
            <v>45206</v>
          </cell>
          <cell r="L52" t="str">
            <v>829054</v>
          </cell>
          <cell r="M52" t="str">
            <v/>
          </cell>
          <cell r="N52" t="str">
            <v/>
          </cell>
          <cell r="O52" t="str">
            <v/>
          </cell>
          <cell r="P52" t="str">
            <v/>
          </cell>
          <cell r="Q52" t="str">
            <v/>
          </cell>
          <cell r="R52" t="str">
            <v/>
          </cell>
          <cell r="S52" t="str">
            <v/>
          </cell>
          <cell r="T52" t="str">
            <v/>
          </cell>
          <cell r="U52" t="str">
            <v/>
          </cell>
          <cell r="V52" t="str">
            <v>N52</v>
          </cell>
          <cell r="W52" t="str">
            <v/>
          </cell>
          <cell r="X52" t="str">
            <v/>
          </cell>
          <cell r="Y52" t="str">
            <v/>
          </cell>
          <cell r="Z52" t="str">
            <v/>
          </cell>
          <cell r="AA52" t="str">
            <v/>
          </cell>
          <cell r="AB52" t="str">
            <v>PA_4625439-UA.7005-4</v>
          </cell>
          <cell r="AC52">
            <v>1</v>
          </cell>
          <cell r="AD52" t="str">
            <v/>
          </cell>
          <cell r="AE52">
            <v>0</v>
          </cell>
          <cell r="AF52" t="str">
            <v/>
          </cell>
          <cell r="AG52" t="str">
            <v>12535600</v>
          </cell>
          <cell r="AH52">
            <v>44588.905370370368</v>
          </cell>
          <cell r="AI52" t="str">
            <v>N52</v>
          </cell>
          <cell r="AJ52" t="str">
            <v>F</v>
          </cell>
          <cell r="AK52" t="str">
            <v/>
          </cell>
        </row>
        <row r="53">
          <cell r="A53" t="str">
            <v>12479828829053</v>
          </cell>
          <cell r="B53" t="e">
            <v>#N/A</v>
          </cell>
          <cell r="C53">
            <v>24</v>
          </cell>
          <cell r="D53" t="str">
            <v>EK65</v>
          </cell>
          <cell r="E53" t="str">
            <v>505298</v>
          </cell>
          <cell r="F53" t="str">
            <v>E</v>
          </cell>
          <cell r="G53" t="str">
            <v>12479828</v>
          </cell>
          <cell r="H53" t="str">
            <v>Auflageblech</v>
          </cell>
          <cell r="I53">
            <v>309</v>
          </cell>
          <cell r="J53" t="str">
            <v>Stk</v>
          </cell>
          <cell r="K53">
            <v>45212</v>
          </cell>
          <cell r="L53" t="str">
            <v>829053</v>
          </cell>
          <cell r="M53" t="str">
            <v/>
          </cell>
          <cell r="N53" t="str">
            <v/>
          </cell>
          <cell r="O53" t="str">
            <v/>
          </cell>
          <cell r="P53" t="str">
            <v/>
          </cell>
          <cell r="Q53" t="str">
            <v/>
          </cell>
          <cell r="R53" t="str">
            <v/>
          </cell>
          <cell r="S53" t="str">
            <v/>
          </cell>
          <cell r="T53" t="str">
            <v/>
          </cell>
          <cell r="U53" t="str">
            <v/>
          </cell>
          <cell r="V53" t="str">
            <v>N52</v>
          </cell>
          <cell r="W53" t="str">
            <v/>
          </cell>
          <cell r="X53" t="str">
            <v/>
          </cell>
          <cell r="Y53" t="str">
            <v/>
          </cell>
          <cell r="Z53" t="str">
            <v/>
          </cell>
          <cell r="AA53" t="str">
            <v/>
          </cell>
          <cell r="AB53" t="str">
            <v>PA_2309990-CF.7005-3</v>
          </cell>
          <cell r="AC53">
            <v>1</v>
          </cell>
          <cell r="AD53" t="str">
            <v/>
          </cell>
          <cell r="AE53">
            <v>0</v>
          </cell>
          <cell r="AF53" t="str">
            <v/>
          </cell>
          <cell r="AG53" t="str">
            <v>12479828</v>
          </cell>
          <cell r="AH53">
            <v>44592.955289351848</v>
          </cell>
          <cell r="AI53" t="str">
            <v>N52</v>
          </cell>
          <cell r="AJ53" t="str">
            <v>F</v>
          </cell>
          <cell r="AK53" t="str">
            <v>A</v>
          </cell>
        </row>
        <row r="54">
          <cell r="A54" t="str">
            <v>12479828829054</v>
          </cell>
          <cell r="B54" t="e">
            <v>#N/A</v>
          </cell>
          <cell r="C54">
            <v>24</v>
          </cell>
          <cell r="D54" t="str">
            <v>EK65</v>
          </cell>
          <cell r="E54" t="str">
            <v>505299</v>
          </cell>
          <cell r="F54" t="str">
            <v>E</v>
          </cell>
          <cell r="G54" t="str">
            <v>12479828</v>
          </cell>
          <cell r="H54" t="str">
            <v>Auflageblech</v>
          </cell>
          <cell r="I54">
            <v>104</v>
          </cell>
          <cell r="J54" t="str">
            <v>Stk</v>
          </cell>
          <cell r="K54">
            <v>45216</v>
          </cell>
          <cell r="L54" t="str">
            <v>829054</v>
          </cell>
          <cell r="M54" t="str">
            <v/>
          </cell>
          <cell r="N54" t="str">
            <v/>
          </cell>
          <cell r="O54" t="str">
            <v/>
          </cell>
          <cell r="P54" t="str">
            <v/>
          </cell>
          <cell r="Q54" t="str">
            <v/>
          </cell>
          <cell r="R54" t="str">
            <v/>
          </cell>
          <cell r="S54" t="str">
            <v/>
          </cell>
          <cell r="T54" t="str">
            <v/>
          </cell>
          <cell r="U54" t="str">
            <v/>
          </cell>
          <cell r="V54" t="str">
            <v>N52</v>
          </cell>
          <cell r="W54" t="str">
            <v/>
          </cell>
          <cell r="X54" t="str">
            <v/>
          </cell>
          <cell r="Y54" t="str">
            <v/>
          </cell>
          <cell r="Z54" t="str">
            <v/>
          </cell>
          <cell r="AA54" t="str">
            <v/>
          </cell>
          <cell r="AB54" t="str">
            <v>PA_2309990-CF.7005-3</v>
          </cell>
          <cell r="AC54">
            <v>1</v>
          </cell>
          <cell r="AD54" t="str">
            <v/>
          </cell>
          <cell r="AE54">
            <v>0</v>
          </cell>
          <cell r="AF54" t="str">
            <v/>
          </cell>
          <cell r="AG54" t="str">
            <v>12479828</v>
          </cell>
          <cell r="AH54">
            <v>44592.955289351848</v>
          </cell>
          <cell r="AI54" t="str">
            <v>N52</v>
          </cell>
          <cell r="AJ54" t="str">
            <v>F</v>
          </cell>
          <cell r="AK54" t="str">
            <v>A</v>
          </cell>
        </row>
        <row r="55">
          <cell r="A55" t="str">
            <v>12479828829051</v>
          </cell>
          <cell r="B55" t="e">
            <v>#N/A</v>
          </cell>
          <cell r="C55">
            <v>24</v>
          </cell>
          <cell r="D55" t="str">
            <v>EK65</v>
          </cell>
          <cell r="E55" t="str">
            <v>505300</v>
          </cell>
          <cell r="F55" t="str">
            <v>E</v>
          </cell>
          <cell r="G55" t="str">
            <v>12479828</v>
          </cell>
          <cell r="H55" t="str">
            <v>Auflageblech</v>
          </cell>
          <cell r="I55">
            <v>543</v>
          </cell>
          <cell r="J55" t="str">
            <v>Stk</v>
          </cell>
          <cell r="K55">
            <v>45323</v>
          </cell>
          <cell r="L55" t="str">
            <v>829051</v>
          </cell>
          <cell r="M55" t="str">
            <v/>
          </cell>
          <cell r="N55" t="str">
            <v/>
          </cell>
          <cell r="O55" t="str">
            <v/>
          </cell>
          <cell r="P55" t="str">
            <v/>
          </cell>
          <cell r="Q55" t="str">
            <v/>
          </cell>
          <cell r="R55" t="str">
            <v/>
          </cell>
          <cell r="S55" t="str">
            <v/>
          </cell>
          <cell r="T55" t="str">
            <v/>
          </cell>
          <cell r="U55" t="str">
            <v/>
          </cell>
          <cell r="V55" t="str">
            <v>N52</v>
          </cell>
          <cell r="W55" t="str">
            <v/>
          </cell>
          <cell r="X55" t="str">
            <v/>
          </cell>
          <cell r="Y55" t="str">
            <v/>
          </cell>
          <cell r="Z55" t="str">
            <v/>
          </cell>
          <cell r="AA55" t="str">
            <v/>
          </cell>
          <cell r="AB55" t="str">
            <v>PA_2309990-CF.7005-3</v>
          </cell>
          <cell r="AC55">
            <v>1</v>
          </cell>
          <cell r="AD55" t="str">
            <v/>
          </cell>
          <cell r="AE55">
            <v>0</v>
          </cell>
          <cell r="AF55" t="str">
            <v/>
          </cell>
          <cell r="AG55" t="str">
            <v>12479828</v>
          </cell>
          <cell r="AH55">
            <v>44592.955289351848</v>
          </cell>
          <cell r="AI55" t="str">
            <v>N52</v>
          </cell>
          <cell r="AJ55" t="str">
            <v>F</v>
          </cell>
          <cell r="AK55" t="str">
            <v>A</v>
          </cell>
        </row>
        <row r="56">
          <cell r="A56" t="str">
            <v>12479828829052</v>
          </cell>
          <cell r="B56" t="e">
            <v>#N/A</v>
          </cell>
          <cell r="C56">
            <v>24</v>
          </cell>
          <cell r="D56" t="str">
            <v>EK65</v>
          </cell>
          <cell r="E56" t="str">
            <v>505301</v>
          </cell>
          <cell r="F56" t="str">
            <v>E</v>
          </cell>
          <cell r="G56" t="str">
            <v>12479828</v>
          </cell>
          <cell r="H56" t="str">
            <v>Auflageblech</v>
          </cell>
          <cell r="I56">
            <v>185</v>
          </cell>
          <cell r="J56" t="str">
            <v>Stk</v>
          </cell>
          <cell r="K56">
            <v>45352</v>
          </cell>
          <cell r="L56" t="str">
            <v>829052</v>
          </cell>
          <cell r="M56" t="str">
            <v/>
          </cell>
          <cell r="N56" t="str">
            <v/>
          </cell>
          <cell r="O56" t="str">
            <v/>
          </cell>
          <cell r="P56" t="str">
            <v/>
          </cell>
          <cell r="Q56" t="str">
            <v/>
          </cell>
          <cell r="R56" t="str">
            <v/>
          </cell>
          <cell r="S56" t="str">
            <v/>
          </cell>
          <cell r="T56" t="str">
            <v/>
          </cell>
          <cell r="U56" t="str">
            <v/>
          </cell>
          <cell r="V56" t="str">
            <v>N52</v>
          </cell>
          <cell r="W56" t="str">
            <v/>
          </cell>
          <cell r="X56" t="str">
            <v/>
          </cell>
          <cell r="Y56" t="str">
            <v/>
          </cell>
          <cell r="Z56" t="str">
            <v/>
          </cell>
          <cell r="AA56" t="str">
            <v/>
          </cell>
          <cell r="AB56" t="str">
            <v>PA_2309990-CF.7005-3</v>
          </cell>
          <cell r="AC56">
            <v>1</v>
          </cell>
          <cell r="AD56" t="str">
            <v/>
          </cell>
          <cell r="AE56">
            <v>0</v>
          </cell>
          <cell r="AF56" t="str">
            <v/>
          </cell>
          <cell r="AG56" t="str">
            <v>12479828</v>
          </cell>
          <cell r="AH56">
            <v>44592.955289351848</v>
          </cell>
          <cell r="AI56" t="str">
            <v>N52</v>
          </cell>
          <cell r="AJ56" t="str">
            <v>F</v>
          </cell>
          <cell r="AK56" t="str">
            <v>A</v>
          </cell>
        </row>
        <row r="57">
          <cell r="A57" t="str">
            <v>12479833829053</v>
          </cell>
          <cell r="B57" t="e">
            <v>#N/A</v>
          </cell>
          <cell r="C57">
            <v>24</v>
          </cell>
          <cell r="D57" t="str">
            <v>EK65</v>
          </cell>
          <cell r="E57" t="str">
            <v>505302</v>
          </cell>
          <cell r="F57" t="str">
            <v>E</v>
          </cell>
          <cell r="G57" t="str">
            <v>12479833</v>
          </cell>
          <cell r="H57" t="str">
            <v>Auflageblech 2</v>
          </cell>
          <cell r="I57">
            <v>103</v>
          </cell>
          <cell r="J57" t="str">
            <v>Stk</v>
          </cell>
          <cell r="K57">
            <v>45212</v>
          </cell>
          <cell r="L57" t="str">
            <v>829053</v>
          </cell>
          <cell r="M57" t="str">
            <v/>
          </cell>
          <cell r="N57" t="str">
            <v/>
          </cell>
          <cell r="O57" t="str">
            <v/>
          </cell>
          <cell r="P57" t="str">
            <v/>
          </cell>
          <cell r="Q57" t="str">
            <v/>
          </cell>
          <cell r="R57" t="str">
            <v/>
          </cell>
          <cell r="S57" t="str">
            <v/>
          </cell>
          <cell r="T57" t="str">
            <v/>
          </cell>
          <cell r="U57" t="str">
            <v/>
          </cell>
          <cell r="V57" t="str">
            <v>N52</v>
          </cell>
          <cell r="W57" t="str">
            <v/>
          </cell>
          <cell r="X57" t="str">
            <v/>
          </cell>
          <cell r="Y57" t="str">
            <v/>
          </cell>
          <cell r="Z57" t="str">
            <v/>
          </cell>
          <cell r="AA57" t="str">
            <v/>
          </cell>
          <cell r="AB57" t="str">
            <v>PA_2333010-CF.7005-3</v>
          </cell>
          <cell r="AC57">
            <v>1</v>
          </cell>
          <cell r="AD57" t="str">
            <v/>
          </cell>
          <cell r="AE57">
            <v>0</v>
          </cell>
          <cell r="AF57" t="str">
            <v/>
          </cell>
          <cell r="AG57" t="str">
            <v>12479833</v>
          </cell>
          <cell r="AH57">
            <v>44592.955335648148</v>
          </cell>
          <cell r="AI57" t="str">
            <v>N52</v>
          </cell>
          <cell r="AJ57" t="str">
            <v>F</v>
          </cell>
          <cell r="AK57" t="str">
            <v>A</v>
          </cell>
        </row>
        <row r="58">
          <cell r="A58" t="str">
            <v>12479833829054</v>
          </cell>
          <cell r="B58" t="e">
            <v>#N/A</v>
          </cell>
          <cell r="C58">
            <v>24</v>
          </cell>
          <cell r="D58" t="str">
            <v>EK65</v>
          </cell>
          <cell r="E58" t="str">
            <v>505303</v>
          </cell>
          <cell r="F58" t="str">
            <v>E</v>
          </cell>
          <cell r="G58" t="str">
            <v>12479833</v>
          </cell>
          <cell r="H58" t="str">
            <v>Auflageblech 2</v>
          </cell>
          <cell r="I58">
            <v>31</v>
          </cell>
          <cell r="J58" t="str">
            <v>Stk</v>
          </cell>
          <cell r="K58">
            <v>45238</v>
          </cell>
          <cell r="L58" t="str">
            <v>829054</v>
          </cell>
          <cell r="M58" t="str">
            <v/>
          </cell>
          <cell r="N58" t="str">
            <v/>
          </cell>
          <cell r="O58" t="str">
            <v/>
          </cell>
          <cell r="P58" t="str">
            <v/>
          </cell>
          <cell r="Q58" t="str">
            <v/>
          </cell>
          <cell r="R58" t="str">
            <v/>
          </cell>
          <cell r="S58" t="str">
            <v/>
          </cell>
          <cell r="T58" t="str">
            <v/>
          </cell>
          <cell r="U58" t="str">
            <v/>
          </cell>
          <cell r="V58" t="str">
            <v>N52</v>
          </cell>
          <cell r="W58" t="str">
            <v/>
          </cell>
          <cell r="X58" t="str">
            <v/>
          </cell>
          <cell r="Y58" t="str">
            <v/>
          </cell>
          <cell r="Z58" t="str">
            <v/>
          </cell>
          <cell r="AA58" t="str">
            <v/>
          </cell>
          <cell r="AB58" t="str">
            <v>PA_2333010-CF.7005-3</v>
          </cell>
          <cell r="AC58">
            <v>1</v>
          </cell>
          <cell r="AD58" t="str">
            <v/>
          </cell>
          <cell r="AE58">
            <v>0</v>
          </cell>
          <cell r="AF58" t="str">
            <v/>
          </cell>
          <cell r="AG58" t="str">
            <v>12479833</v>
          </cell>
          <cell r="AH58">
            <v>44592.955335648148</v>
          </cell>
          <cell r="AI58" t="str">
            <v>N52</v>
          </cell>
          <cell r="AJ58" t="str">
            <v>F</v>
          </cell>
          <cell r="AK58" t="str">
            <v>A</v>
          </cell>
        </row>
        <row r="59">
          <cell r="A59" t="str">
            <v>12479833829051</v>
          </cell>
          <cell r="B59" t="e">
            <v>#N/A</v>
          </cell>
          <cell r="C59">
            <v>24</v>
          </cell>
          <cell r="D59" t="str">
            <v>EK65</v>
          </cell>
          <cell r="E59" t="str">
            <v>505304</v>
          </cell>
          <cell r="F59" t="str">
            <v>E</v>
          </cell>
          <cell r="G59" t="str">
            <v>12479833</v>
          </cell>
          <cell r="H59" t="str">
            <v>Auflageblech 2</v>
          </cell>
          <cell r="I59">
            <v>181</v>
          </cell>
          <cell r="J59" t="str">
            <v>Stk</v>
          </cell>
          <cell r="K59">
            <v>45323</v>
          </cell>
          <cell r="L59" t="str">
            <v>829051</v>
          </cell>
          <cell r="M59" t="str">
            <v/>
          </cell>
          <cell r="N59" t="str">
            <v/>
          </cell>
          <cell r="O59" t="str">
            <v/>
          </cell>
          <cell r="P59" t="str">
            <v/>
          </cell>
          <cell r="Q59" t="str">
            <v/>
          </cell>
          <cell r="R59" t="str">
            <v/>
          </cell>
          <cell r="S59" t="str">
            <v/>
          </cell>
          <cell r="T59" t="str">
            <v/>
          </cell>
          <cell r="U59" t="str">
            <v/>
          </cell>
          <cell r="V59" t="str">
            <v>N52</v>
          </cell>
          <cell r="W59" t="str">
            <v/>
          </cell>
          <cell r="X59" t="str">
            <v/>
          </cell>
          <cell r="Y59" t="str">
            <v/>
          </cell>
          <cell r="Z59" t="str">
            <v/>
          </cell>
          <cell r="AA59" t="str">
            <v/>
          </cell>
          <cell r="AB59" t="str">
            <v>PA_2333010-CF.7005-3</v>
          </cell>
          <cell r="AC59">
            <v>1</v>
          </cell>
          <cell r="AD59" t="str">
            <v/>
          </cell>
          <cell r="AE59">
            <v>0</v>
          </cell>
          <cell r="AF59" t="str">
            <v/>
          </cell>
          <cell r="AG59" t="str">
            <v>12479833</v>
          </cell>
          <cell r="AH59">
            <v>44592.955335648148</v>
          </cell>
          <cell r="AI59" t="str">
            <v>N52</v>
          </cell>
          <cell r="AJ59" t="str">
            <v>F</v>
          </cell>
          <cell r="AK59" t="str">
            <v>A</v>
          </cell>
        </row>
        <row r="60">
          <cell r="A60" t="str">
            <v>12479833829052</v>
          </cell>
          <cell r="B60" t="e">
            <v>#N/A</v>
          </cell>
          <cell r="C60">
            <v>24</v>
          </cell>
          <cell r="D60" t="str">
            <v>EK65</v>
          </cell>
          <cell r="E60" t="str">
            <v>505305</v>
          </cell>
          <cell r="F60" t="str">
            <v>E</v>
          </cell>
          <cell r="G60" t="str">
            <v>12479833</v>
          </cell>
          <cell r="H60" t="str">
            <v>Auflageblech 2</v>
          </cell>
          <cell r="I60">
            <v>62</v>
          </cell>
          <cell r="J60" t="str">
            <v>Stk</v>
          </cell>
          <cell r="K60">
            <v>45352</v>
          </cell>
          <cell r="L60" t="str">
            <v>829052</v>
          </cell>
          <cell r="M60" t="str">
            <v/>
          </cell>
          <cell r="N60" t="str">
            <v/>
          </cell>
          <cell r="O60" t="str">
            <v/>
          </cell>
          <cell r="P60" t="str">
            <v/>
          </cell>
          <cell r="Q60" t="str">
            <v/>
          </cell>
          <cell r="R60" t="str">
            <v/>
          </cell>
          <cell r="S60" t="str">
            <v/>
          </cell>
          <cell r="T60" t="str">
            <v/>
          </cell>
          <cell r="U60" t="str">
            <v/>
          </cell>
          <cell r="V60" t="str">
            <v>N52</v>
          </cell>
          <cell r="W60" t="str">
            <v/>
          </cell>
          <cell r="X60" t="str">
            <v/>
          </cell>
          <cell r="Y60" t="str">
            <v/>
          </cell>
          <cell r="Z60" t="str">
            <v/>
          </cell>
          <cell r="AA60" t="str">
            <v/>
          </cell>
          <cell r="AB60" t="str">
            <v>PA_2333010-CF.7005-3</v>
          </cell>
          <cell r="AC60">
            <v>1</v>
          </cell>
          <cell r="AD60" t="str">
            <v/>
          </cell>
          <cell r="AE60">
            <v>0</v>
          </cell>
          <cell r="AF60" t="str">
            <v/>
          </cell>
          <cell r="AG60" t="str">
            <v>12479833</v>
          </cell>
          <cell r="AH60">
            <v>44592.955335648148</v>
          </cell>
          <cell r="AI60" t="str">
            <v>N52</v>
          </cell>
          <cell r="AJ60" t="str">
            <v>F</v>
          </cell>
          <cell r="AK60" t="str">
            <v>A</v>
          </cell>
        </row>
        <row r="61">
          <cell r="A61" t="str">
            <v>12479836829053</v>
          </cell>
          <cell r="B61" t="e">
            <v>#N/A</v>
          </cell>
          <cell r="C61">
            <v>24</v>
          </cell>
          <cell r="D61" t="str">
            <v>EK65</v>
          </cell>
          <cell r="E61" t="str">
            <v>505306</v>
          </cell>
          <cell r="F61" t="str">
            <v>E</v>
          </cell>
          <cell r="G61" t="str">
            <v>12479836</v>
          </cell>
          <cell r="H61" t="str">
            <v>Auflageblech2 M20</v>
          </cell>
          <cell r="I61">
            <v>103</v>
          </cell>
          <cell r="J61" t="str">
            <v>Stk</v>
          </cell>
          <cell r="K61">
            <v>45212</v>
          </cell>
          <cell r="L61" t="str">
            <v>829053</v>
          </cell>
          <cell r="M61" t="str">
            <v/>
          </cell>
          <cell r="N61" t="str">
            <v/>
          </cell>
          <cell r="O61" t="str">
            <v/>
          </cell>
          <cell r="P61" t="str">
            <v/>
          </cell>
          <cell r="Q61" t="str">
            <v/>
          </cell>
          <cell r="R61" t="str">
            <v/>
          </cell>
          <cell r="S61" t="str">
            <v/>
          </cell>
          <cell r="T61" t="str">
            <v/>
          </cell>
          <cell r="U61" t="str">
            <v/>
          </cell>
          <cell r="V61" t="str">
            <v>N52</v>
          </cell>
          <cell r="W61" t="str">
            <v/>
          </cell>
          <cell r="X61" t="str">
            <v/>
          </cell>
          <cell r="Y61" t="str">
            <v/>
          </cell>
          <cell r="Z61" t="str">
            <v/>
          </cell>
          <cell r="AA61" t="str">
            <v/>
          </cell>
          <cell r="AB61" t="str">
            <v>PA_4306801-CF.7005-3</v>
          </cell>
          <cell r="AC61">
            <v>1</v>
          </cell>
          <cell r="AD61" t="str">
            <v/>
          </cell>
          <cell r="AE61">
            <v>0</v>
          </cell>
          <cell r="AF61" t="str">
            <v/>
          </cell>
          <cell r="AG61" t="str">
            <v>12479836</v>
          </cell>
          <cell r="AH61">
            <v>44592.955381944441</v>
          </cell>
          <cell r="AI61" t="str">
            <v>N52</v>
          </cell>
          <cell r="AJ61" t="str">
            <v>F</v>
          </cell>
          <cell r="AK61" t="str">
            <v>A</v>
          </cell>
        </row>
        <row r="62">
          <cell r="A62" t="str">
            <v>12479836829054</v>
          </cell>
          <cell r="B62" t="e">
            <v>#N/A</v>
          </cell>
          <cell r="C62">
            <v>24</v>
          </cell>
          <cell r="D62" t="str">
            <v>EK65</v>
          </cell>
          <cell r="E62" t="str">
            <v>505307</v>
          </cell>
          <cell r="F62" t="str">
            <v>E</v>
          </cell>
          <cell r="G62" t="str">
            <v>12479836</v>
          </cell>
          <cell r="H62" t="str">
            <v>Auflageblech2 M20</v>
          </cell>
          <cell r="I62">
            <v>30</v>
          </cell>
          <cell r="J62" t="str">
            <v>Stk</v>
          </cell>
          <cell r="K62">
            <v>45239</v>
          </cell>
          <cell r="L62" t="str">
            <v>829054</v>
          </cell>
          <cell r="M62" t="str">
            <v/>
          </cell>
          <cell r="N62" t="str">
            <v/>
          </cell>
          <cell r="O62" t="str">
            <v/>
          </cell>
          <cell r="P62" t="str">
            <v/>
          </cell>
          <cell r="Q62" t="str">
            <v/>
          </cell>
          <cell r="R62" t="str">
            <v/>
          </cell>
          <cell r="S62" t="str">
            <v/>
          </cell>
          <cell r="T62" t="str">
            <v/>
          </cell>
          <cell r="U62" t="str">
            <v/>
          </cell>
          <cell r="V62" t="str">
            <v>N52</v>
          </cell>
          <cell r="W62" t="str">
            <v/>
          </cell>
          <cell r="X62" t="str">
            <v/>
          </cell>
          <cell r="Y62" t="str">
            <v/>
          </cell>
          <cell r="Z62" t="str">
            <v/>
          </cell>
          <cell r="AA62" t="str">
            <v/>
          </cell>
          <cell r="AB62" t="str">
            <v>PA_4306801-CF.7005-3</v>
          </cell>
          <cell r="AC62">
            <v>1</v>
          </cell>
          <cell r="AD62" t="str">
            <v/>
          </cell>
          <cell r="AE62">
            <v>0</v>
          </cell>
          <cell r="AF62" t="str">
            <v/>
          </cell>
          <cell r="AG62" t="str">
            <v>12479836</v>
          </cell>
          <cell r="AH62">
            <v>44592.955381944441</v>
          </cell>
          <cell r="AI62" t="str">
            <v>N52</v>
          </cell>
          <cell r="AJ62" t="str">
            <v>F</v>
          </cell>
          <cell r="AK62" t="str">
            <v>A</v>
          </cell>
        </row>
        <row r="63">
          <cell r="A63" t="str">
            <v>12479836829051</v>
          </cell>
          <cell r="B63" t="e">
            <v>#N/A</v>
          </cell>
          <cell r="C63">
            <v>24</v>
          </cell>
          <cell r="D63" t="str">
            <v>EK65</v>
          </cell>
          <cell r="E63" t="str">
            <v>505308</v>
          </cell>
          <cell r="F63" t="str">
            <v>E</v>
          </cell>
          <cell r="G63" t="str">
            <v>12479836</v>
          </cell>
          <cell r="H63" t="str">
            <v>Auflageblech2 M20</v>
          </cell>
          <cell r="I63">
            <v>183</v>
          </cell>
          <cell r="J63" t="str">
            <v>Stk</v>
          </cell>
          <cell r="K63">
            <v>45317</v>
          </cell>
          <cell r="L63" t="str">
            <v>829051</v>
          </cell>
          <cell r="M63" t="str">
            <v/>
          </cell>
          <cell r="N63" t="str">
            <v/>
          </cell>
          <cell r="O63" t="str">
            <v/>
          </cell>
          <cell r="P63" t="str">
            <v/>
          </cell>
          <cell r="Q63" t="str">
            <v/>
          </cell>
          <cell r="R63" t="str">
            <v/>
          </cell>
          <cell r="S63" t="str">
            <v/>
          </cell>
          <cell r="T63" t="str">
            <v/>
          </cell>
          <cell r="U63" t="str">
            <v/>
          </cell>
          <cell r="V63" t="str">
            <v>N52</v>
          </cell>
          <cell r="W63" t="str">
            <v/>
          </cell>
          <cell r="X63" t="str">
            <v/>
          </cell>
          <cell r="Y63" t="str">
            <v/>
          </cell>
          <cell r="Z63" t="str">
            <v/>
          </cell>
          <cell r="AA63" t="str">
            <v/>
          </cell>
          <cell r="AB63" t="str">
            <v>PA_4306801-CF.7005-3</v>
          </cell>
          <cell r="AC63">
            <v>1</v>
          </cell>
          <cell r="AD63" t="str">
            <v/>
          </cell>
          <cell r="AE63">
            <v>0</v>
          </cell>
          <cell r="AF63" t="str">
            <v/>
          </cell>
          <cell r="AG63" t="str">
            <v>12479836</v>
          </cell>
          <cell r="AH63">
            <v>44592.955381944441</v>
          </cell>
          <cell r="AI63" t="str">
            <v>N52</v>
          </cell>
          <cell r="AJ63" t="str">
            <v>F</v>
          </cell>
          <cell r="AK63" t="str">
            <v>A</v>
          </cell>
        </row>
        <row r="64">
          <cell r="A64" t="str">
            <v>12479836829052</v>
          </cell>
          <cell r="B64" t="e">
            <v>#N/A</v>
          </cell>
          <cell r="C64">
            <v>24</v>
          </cell>
          <cell r="D64" t="str">
            <v>EK65</v>
          </cell>
          <cell r="E64" t="str">
            <v>505309</v>
          </cell>
          <cell r="F64" t="str">
            <v>E</v>
          </cell>
          <cell r="G64" t="str">
            <v>12479836</v>
          </cell>
          <cell r="H64" t="str">
            <v>Auflageblech2 M20</v>
          </cell>
          <cell r="I64">
            <v>60</v>
          </cell>
          <cell r="J64" t="str">
            <v>Stk</v>
          </cell>
          <cell r="K64">
            <v>45365</v>
          </cell>
          <cell r="L64" t="str">
            <v>829052</v>
          </cell>
          <cell r="M64" t="str">
            <v/>
          </cell>
          <cell r="N64" t="str">
            <v/>
          </cell>
          <cell r="O64" t="str">
            <v/>
          </cell>
          <cell r="P64" t="str">
            <v/>
          </cell>
          <cell r="Q64" t="str">
            <v/>
          </cell>
          <cell r="R64" t="str">
            <v/>
          </cell>
          <cell r="S64" t="str">
            <v/>
          </cell>
          <cell r="T64" t="str">
            <v/>
          </cell>
          <cell r="U64" t="str">
            <v/>
          </cell>
          <cell r="V64" t="str">
            <v>N52</v>
          </cell>
          <cell r="W64" t="str">
            <v/>
          </cell>
          <cell r="X64" t="str">
            <v/>
          </cell>
          <cell r="Y64" t="str">
            <v/>
          </cell>
          <cell r="Z64" t="str">
            <v/>
          </cell>
          <cell r="AA64" t="str">
            <v/>
          </cell>
          <cell r="AB64" t="str">
            <v>PA_4306801-CF.7005-3</v>
          </cell>
          <cell r="AC64">
            <v>1</v>
          </cell>
          <cell r="AD64" t="str">
            <v/>
          </cell>
          <cell r="AE64">
            <v>0</v>
          </cell>
          <cell r="AF64" t="str">
            <v/>
          </cell>
          <cell r="AG64" t="str">
            <v>12479836</v>
          </cell>
          <cell r="AH64">
            <v>44592.955381944441</v>
          </cell>
          <cell r="AI64" t="str">
            <v>N52</v>
          </cell>
          <cell r="AJ64" t="str">
            <v>F</v>
          </cell>
          <cell r="AK64" t="str">
            <v>A</v>
          </cell>
        </row>
        <row r="65">
          <cell r="A65" t="str">
            <v>12479838829053</v>
          </cell>
          <cell r="B65" t="e">
            <v>#N/A</v>
          </cell>
          <cell r="C65">
            <v>24</v>
          </cell>
          <cell r="D65" t="str">
            <v>EK65</v>
          </cell>
          <cell r="E65" t="str">
            <v>505310</v>
          </cell>
          <cell r="F65" t="str">
            <v>E</v>
          </cell>
          <cell r="G65" t="str">
            <v>12479838</v>
          </cell>
          <cell r="H65" t="str">
            <v>Auflageblech M20</v>
          </cell>
          <cell r="I65">
            <v>101</v>
          </cell>
          <cell r="J65" t="str">
            <v>Stk</v>
          </cell>
          <cell r="K65">
            <v>45212</v>
          </cell>
          <cell r="L65" t="str">
            <v>829053</v>
          </cell>
          <cell r="M65" t="str">
            <v/>
          </cell>
          <cell r="N65" t="str">
            <v/>
          </cell>
          <cell r="O65" t="str">
            <v/>
          </cell>
          <cell r="P65" t="str">
            <v/>
          </cell>
          <cell r="Q65" t="str">
            <v/>
          </cell>
          <cell r="R65" t="str">
            <v/>
          </cell>
          <cell r="S65" t="str">
            <v/>
          </cell>
          <cell r="T65" t="str">
            <v/>
          </cell>
          <cell r="U65" t="str">
            <v/>
          </cell>
          <cell r="V65" t="str">
            <v>N52</v>
          </cell>
          <cell r="W65" t="str">
            <v/>
          </cell>
          <cell r="X65" t="str">
            <v/>
          </cell>
          <cell r="Y65" t="str">
            <v/>
          </cell>
          <cell r="Z65" t="str">
            <v/>
          </cell>
          <cell r="AA65" t="str">
            <v/>
          </cell>
          <cell r="AB65" t="str">
            <v>PA_4306782-CF.7005-3</v>
          </cell>
          <cell r="AC65">
            <v>1</v>
          </cell>
          <cell r="AD65" t="str">
            <v/>
          </cell>
          <cell r="AE65">
            <v>0</v>
          </cell>
          <cell r="AF65" t="str">
            <v/>
          </cell>
          <cell r="AG65" t="str">
            <v>12479838</v>
          </cell>
          <cell r="AH65">
            <v>44592.955416666664</v>
          </cell>
          <cell r="AI65" t="str">
            <v>N52</v>
          </cell>
          <cell r="AJ65" t="str">
            <v>F</v>
          </cell>
          <cell r="AK65" t="str">
            <v>A</v>
          </cell>
        </row>
        <row r="66">
          <cell r="A66" t="str">
            <v>12479838829054</v>
          </cell>
          <cell r="B66" t="e">
            <v>#N/A</v>
          </cell>
          <cell r="C66">
            <v>24</v>
          </cell>
          <cell r="D66" t="str">
            <v>EK65</v>
          </cell>
          <cell r="E66" t="str">
            <v>505311</v>
          </cell>
          <cell r="F66" t="str">
            <v>E</v>
          </cell>
          <cell r="G66" t="str">
            <v>12479838</v>
          </cell>
          <cell r="H66" t="str">
            <v>Auflageblech M20</v>
          </cell>
          <cell r="I66">
            <v>32</v>
          </cell>
          <cell r="J66" t="str">
            <v>Stk</v>
          </cell>
          <cell r="K66">
            <v>45238</v>
          </cell>
          <cell r="L66" t="str">
            <v>829054</v>
          </cell>
          <cell r="M66" t="str">
            <v/>
          </cell>
          <cell r="N66" t="str">
            <v/>
          </cell>
          <cell r="O66" t="str">
            <v/>
          </cell>
          <cell r="P66" t="str">
            <v/>
          </cell>
          <cell r="Q66" t="str">
            <v/>
          </cell>
          <cell r="R66" t="str">
            <v/>
          </cell>
          <cell r="S66" t="str">
            <v/>
          </cell>
          <cell r="T66" t="str">
            <v/>
          </cell>
          <cell r="U66" t="str">
            <v/>
          </cell>
          <cell r="V66" t="str">
            <v>N52</v>
          </cell>
          <cell r="W66" t="str">
            <v/>
          </cell>
          <cell r="X66" t="str">
            <v/>
          </cell>
          <cell r="Y66" t="str">
            <v/>
          </cell>
          <cell r="Z66" t="str">
            <v/>
          </cell>
          <cell r="AA66" t="str">
            <v/>
          </cell>
          <cell r="AB66" t="str">
            <v>PA_4306782-CF.7005-3</v>
          </cell>
          <cell r="AC66">
            <v>1</v>
          </cell>
          <cell r="AD66" t="str">
            <v/>
          </cell>
          <cell r="AE66">
            <v>0</v>
          </cell>
          <cell r="AF66" t="str">
            <v/>
          </cell>
          <cell r="AG66" t="str">
            <v>12479838</v>
          </cell>
          <cell r="AH66">
            <v>44592.955428240741</v>
          </cell>
          <cell r="AI66" t="str">
            <v>N52</v>
          </cell>
          <cell r="AJ66" t="str">
            <v>F</v>
          </cell>
          <cell r="AK66" t="str">
            <v>A</v>
          </cell>
        </row>
        <row r="67">
          <cell r="A67" t="str">
            <v>12479838829051</v>
          </cell>
          <cell r="B67" t="e">
            <v>#N/A</v>
          </cell>
          <cell r="C67">
            <v>24</v>
          </cell>
          <cell r="D67" t="str">
            <v>EK65</v>
          </cell>
          <cell r="E67" t="str">
            <v>505312</v>
          </cell>
          <cell r="F67" t="str">
            <v>E</v>
          </cell>
          <cell r="G67" t="str">
            <v>12479838</v>
          </cell>
          <cell r="H67" t="str">
            <v>Auflageblech M20</v>
          </cell>
          <cell r="I67">
            <v>183</v>
          </cell>
          <cell r="J67" t="str">
            <v>Stk</v>
          </cell>
          <cell r="K67">
            <v>45317</v>
          </cell>
          <cell r="L67" t="str">
            <v>829051</v>
          </cell>
          <cell r="M67" t="str">
            <v/>
          </cell>
          <cell r="N67" t="str">
            <v/>
          </cell>
          <cell r="O67" t="str">
            <v/>
          </cell>
          <cell r="P67" t="str">
            <v/>
          </cell>
          <cell r="Q67" t="str">
            <v/>
          </cell>
          <cell r="R67" t="str">
            <v/>
          </cell>
          <cell r="S67" t="str">
            <v/>
          </cell>
          <cell r="T67" t="str">
            <v/>
          </cell>
          <cell r="U67" t="str">
            <v/>
          </cell>
          <cell r="V67" t="str">
            <v>N52</v>
          </cell>
          <cell r="W67" t="str">
            <v/>
          </cell>
          <cell r="X67" t="str">
            <v/>
          </cell>
          <cell r="Y67" t="str">
            <v/>
          </cell>
          <cell r="Z67" t="str">
            <v/>
          </cell>
          <cell r="AA67" t="str">
            <v/>
          </cell>
          <cell r="AB67" t="str">
            <v>PA_4306782-CF.7005-3</v>
          </cell>
          <cell r="AC67">
            <v>1</v>
          </cell>
          <cell r="AD67" t="str">
            <v/>
          </cell>
          <cell r="AE67">
            <v>0</v>
          </cell>
          <cell r="AF67" t="str">
            <v/>
          </cell>
          <cell r="AG67" t="str">
            <v>12479838</v>
          </cell>
          <cell r="AH67">
            <v>44592.955428240741</v>
          </cell>
          <cell r="AI67" t="str">
            <v>N52</v>
          </cell>
          <cell r="AJ67" t="str">
            <v>F</v>
          </cell>
          <cell r="AK67" t="str">
            <v>A</v>
          </cell>
        </row>
        <row r="68">
          <cell r="A68" t="str">
            <v>12479838829052</v>
          </cell>
          <cell r="B68" t="e">
            <v>#N/A</v>
          </cell>
          <cell r="C68">
            <v>24</v>
          </cell>
          <cell r="D68" t="str">
            <v>EK65</v>
          </cell>
          <cell r="E68" t="str">
            <v>505313</v>
          </cell>
          <cell r="F68" t="str">
            <v>E</v>
          </cell>
          <cell r="G68" t="str">
            <v>12479838</v>
          </cell>
          <cell r="H68" t="str">
            <v>Auflageblech M20</v>
          </cell>
          <cell r="I68">
            <v>62</v>
          </cell>
          <cell r="J68" t="str">
            <v>Stk</v>
          </cell>
          <cell r="K68">
            <v>45352</v>
          </cell>
          <cell r="L68" t="str">
            <v>829052</v>
          </cell>
          <cell r="M68" t="str">
            <v/>
          </cell>
          <cell r="N68" t="str">
            <v/>
          </cell>
          <cell r="O68" t="str">
            <v/>
          </cell>
          <cell r="P68" t="str">
            <v/>
          </cell>
          <cell r="Q68" t="str">
            <v/>
          </cell>
          <cell r="R68" t="str">
            <v/>
          </cell>
          <cell r="S68" t="str">
            <v/>
          </cell>
          <cell r="T68" t="str">
            <v/>
          </cell>
          <cell r="U68" t="str">
            <v/>
          </cell>
          <cell r="V68" t="str">
            <v>N52</v>
          </cell>
          <cell r="W68" t="str">
            <v/>
          </cell>
          <cell r="X68" t="str">
            <v/>
          </cell>
          <cell r="Y68" t="str">
            <v/>
          </cell>
          <cell r="Z68" t="str">
            <v/>
          </cell>
          <cell r="AA68" t="str">
            <v/>
          </cell>
          <cell r="AB68" t="str">
            <v>PA_4306782-CF.7005-3</v>
          </cell>
          <cell r="AC68">
            <v>1</v>
          </cell>
          <cell r="AD68" t="str">
            <v/>
          </cell>
          <cell r="AE68">
            <v>0</v>
          </cell>
          <cell r="AF68" t="str">
            <v/>
          </cell>
          <cell r="AG68" t="str">
            <v>12479838</v>
          </cell>
          <cell r="AH68">
            <v>44592.955428240741</v>
          </cell>
          <cell r="AI68" t="str">
            <v>N52</v>
          </cell>
          <cell r="AJ68" t="str">
            <v>F</v>
          </cell>
          <cell r="AK68" t="str">
            <v>A</v>
          </cell>
        </row>
        <row r="69">
          <cell r="A69" t="str">
            <v>12510682829051</v>
          </cell>
          <cell r="B69" t="str">
            <v>BL20230413-2</v>
          </cell>
          <cell r="C69">
            <v>16</v>
          </cell>
          <cell r="D69" t="str">
            <v>EK65</v>
          </cell>
          <cell r="E69" t="str">
            <v>505831</v>
          </cell>
          <cell r="F69" t="str">
            <v>E</v>
          </cell>
          <cell r="G69" t="str">
            <v>12510682</v>
          </cell>
          <cell r="H69" t="str">
            <v>Klemmbuchse ID10,5 AD25 H10</v>
          </cell>
          <cell r="I69">
            <v>358</v>
          </cell>
          <cell r="J69" t="str">
            <v>Stk</v>
          </cell>
          <cell r="K69">
            <v>45335</v>
          </cell>
          <cell r="L69" t="str">
            <v>829051</v>
          </cell>
          <cell r="M69" t="str">
            <v/>
          </cell>
          <cell r="N69" t="str">
            <v/>
          </cell>
          <cell r="O69" t="str">
            <v/>
          </cell>
          <cell r="P69" t="str">
            <v/>
          </cell>
          <cell r="Q69" t="str">
            <v/>
          </cell>
          <cell r="R69" t="str">
            <v/>
          </cell>
          <cell r="S69" t="str">
            <v/>
          </cell>
          <cell r="T69" t="str">
            <v/>
          </cell>
          <cell r="U69" t="str">
            <v/>
          </cell>
          <cell r="V69" t="str">
            <v>N52</v>
          </cell>
          <cell r="W69" t="str">
            <v/>
          </cell>
          <cell r="X69" t="str">
            <v/>
          </cell>
          <cell r="Y69" t="str">
            <v/>
          </cell>
          <cell r="Z69" t="str">
            <v/>
          </cell>
          <cell r="AA69" t="str">
            <v/>
          </cell>
          <cell r="AB69" t="str">
            <v>PA_2344721-QE.7005-4</v>
          </cell>
          <cell r="AC69">
            <v>1</v>
          </cell>
          <cell r="AD69" t="str">
            <v/>
          </cell>
          <cell r="AE69">
            <v>0</v>
          </cell>
          <cell r="AF69" t="str">
            <v/>
          </cell>
          <cell r="AG69" t="str">
            <v>12510682</v>
          </cell>
          <cell r="AH69">
            <v>44593.940451388888</v>
          </cell>
          <cell r="AI69" t="str">
            <v>N52</v>
          </cell>
          <cell r="AJ69" t="str">
            <v>F</v>
          </cell>
          <cell r="AK69" t="str">
            <v/>
          </cell>
        </row>
        <row r="70">
          <cell r="A70" t="str">
            <v>12510682829052</v>
          </cell>
          <cell r="B70" t="e">
            <v>#N/A</v>
          </cell>
          <cell r="C70">
            <v>16</v>
          </cell>
          <cell r="D70" t="str">
            <v>EK65</v>
          </cell>
          <cell r="E70" t="str">
            <v>505832</v>
          </cell>
          <cell r="F70" t="str">
            <v>E</v>
          </cell>
          <cell r="G70" t="str">
            <v>12510682</v>
          </cell>
          <cell r="H70" t="str">
            <v>Klemmbuchse ID10,5 AD25 H10</v>
          </cell>
          <cell r="I70">
            <v>124</v>
          </cell>
          <cell r="J70" t="str">
            <v>Stk</v>
          </cell>
          <cell r="K70">
            <v>45352</v>
          </cell>
          <cell r="L70" t="str">
            <v>829052</v>
          </cell>
          <cell r="M70" t="str">
            <v/>
          </cell>
          <cell r="N70" t="str">
            <v/>
          </cell>
          <cell r="O70" t="str">
            <v/>
          </cell>
          <cell r="P70" t="str">
            <v/>
          </cell>
          <cell r="Q70" t="str">
            <v/>
          </cell>
          <cell r="R70" t="str">
            <v/>
          </cell>
          <cell r="S70" t="str">
            <v/>
          </cell>
          <cell r="T70" t="str">
            <v/>
          </cell>
          <cell r="U70" t="str">
            <v/>
          </cell>
          <cell r="V70" t="str">
            <v>N52</v>
          </cell>
          <cell r="W70" t="str">
            <v/>
          </cell>
          <cell r="X70" t="str">
            <v/>
          </cell>
          <cell r="Y70" t="str">
            <v/>
          </cell>
          <cell r="Z70" t="str">
            <v/>
          </cell>
          <cell r="AA70" t="str">
            <v/>
          </cell>
          <cell r="AB70" t="str">
            <v>PA_2344721-QE.7005-4</v>
          </cell>
          <cell r="AC70">
            <v>1</v>
          </cell>
          <cell r="AD70" t="str">
            <v/>
          </cell>
          <cell r="AE70">
            <v>0</v>
          </cell>
          <cell r="AF70" t="str">
            <v/>
          </cell>
          <cell r="AG70" t="str">
            <v>12510682</v>
          </cell>
          <cell r="AH70">
            <v>44593.940451388888</v>
          </cell>
          <cell r="AI70" t="str">
            <v>N52</v>
          </cell>
          <cell r="AJ70" t="str">
            <v>F</v>
          </cell>
          <cell r="AK70" t="str">
            <v/>
          </cell>
        </row>
        <row r="71">
          <cell r="A71" t="str">
            <v>12510683829051</v>
          </cell>
          <cell r="B71" t="str">
            <v>BL20230413-2</v>
          </cell>
          <cell r="C71">
            <v>24</v>
          </cell>
          <cell r="D71" t="str">
            <v>EK65</v>
          </cell>
          <cell r="E71" t="str">
            <v>505833</v>
          </cell>
          <cell r="F71" t="str">
            <v>E</v>
          </cell>
          <cell r="G71" t="str">
            <v>12510683</v>
          </cell>
          <cell r="H71" t="str">
            <v>Halteblech</v>
          </cell>
          <cell r="I71">
            <v>179</v>
          </cell>
          <cell r="J71" t="str">
            <v>Stk</v>
          </cell>
          <cell r="K71">
            <v>45335</v>
          </cell>
          <cell r="L71" t="str">
            <v>829051</v>
          </cell>
          <cell r="M71" t="str">
            <v/>
          </cell>
          <cell r="N71" t="str">
            <v/>
          </cell>
          <cell r="O71" t="str">
            <v/>
          </cell>
          <cell r="P71" t="str">
            <v/>
          </cell>
          <cell r="Q71" t="str">
            <v/>
          </cell>
          <cell r="R71" t="str">
            <v/>
          </cell>
          <cell r="S71" t="str">
            <v/>
          </cell>
          <cell r="T71" t="str">
            <v/>
          </cell>
          <cell r="U71" t="str">
            <v/>
          </cell>
          <cell r="V71" t="str">
            <v>N52</v>
          </cell>
          <cell r="W71" t="str">
            <v/>
          </cell>
          <cell r="X71" t="str">
            <v/>
          </cell>
          <cell r="Y71" t="str">
            <v/>
          </cell>
          <cell r="Z71" t="str">
            <v/>
          </cell>
          <cell r="AA71" t="str">
            <v/>
          </cell>
          <cell r="AB71" t="str">
            <v>PA_2344576-QE.7005-4</v>
          </cell>
          <cell r="AC71">
            <v>1</v>
          </cell>
          <cell r="AD71" t="str">
            <v/>
          </cell>
          <cell r="AE71">
            <v>0</v>
          </cell>
          <cell r="AF71" t="str">
            <v/>
          </cell>
          <cell r="AG71" t="str">
            <v>12510683</v>
          </cell>
          <cell r="AH71">
            <v>44593.940474537034</v>
          </cell>
          <cell r="AI71" t="str">
            <v>N52</v>
          </cell>
          <cell r="AJ71" t="str">
            <v>F</v>
          </cell>
          <cell r="AK71" t="str">
            <v/>
          </cell>
        </row>
        <row r="72">
          <cell r="A72" t="str">
            <v>12510683829052</v>
          </cell>
          <cell r="B72" t="e">
            <v>#N/A</v>
          </cell>
          <cell r="C72">
            <v>24</v>
          </cell>
          <cell r="D72" t="str">
            <v>EK65</v>
          </cell>
          <cell r="E72" t="str">
            <v>505834</v>
          </cell>
          <cell r="F72" t="str">
            <v>E</v>
          </cell>
          <cell r="G72" t="str">
            <v>12510683</v>
          </cell>
          <cell r="H72" t="str">
            <v>Halteblech</v>
          </cell>
          <cell r="I72">
            <v>62</v>
          </cell>
          <cell r="J72" t="str">
            <v>Stk</v>
          </cell>
          <cell r="K72">
            <v>45352</v>
          </cell>
          <cell r="L72" t="str">
            <v>829052</v>
          </cell>
          <cell r="M72" t="str">
            <v/>
          </cell>
          <cell r="N72" t="str">
            <v/>
          </cell>
          <cell r="O72" t="str">
            <v/>
          </cell>
          <cell r="P72" t="str">
            <v/>
          </cell>
          <cell r="Q72" t="str">
            <v/>
          </cell>
          <cell r="R72" t="str">
            <v/>
          </cell>
          <cell r="S72" t="str">
            <v/>
          </cell>
          <cell r="T72" t="str">
            <v/>
          </cell>
          <cell r="U72" t="str">
            <v/>
          </cell>
          <cell r="V72" t="str">
            <v>N52</v>
          </cell>
          <cell r="W72" t="str">
            <v/>
          </cell>
          <cell r="X72" t="str">
            <v/>
          </cell>
          <cell r="Y72" t="str">
            <v/>
          </cell>
          <cell r="Z72" t="str">
            <v/>
          </cell>
          <cell r="AA72" t="str">
            <v/>
          </cell>
          <cell r="AB72" t="str">
            <v>PA_2344576-QE.7005-4</v>
          </cell>
          <cell r="AC72">
            <v>1</v>
          </cell>
          <cell r="AD72" t="str">
            <v/>
          </cell>
          <cell r="AE72">
            <v>0</v>
          </cell>
          <cell r="AF72" t="str">
            <v/>
          </cell>
          <cell r="AG72" t="str">
            <v>12510683</v>
          </cell>
          <cell r="AH72">
            <v>44593.940474537034</v>
          </cell>
          <cell r="AI72" t="str">
            <v>N52</v>
          </cell>
          <cell r="AJ72" t="str">
            <v>F</v>
          </cell>
          <cell r="AK72" t="str">
            <v/>
          </cell>
        </row>
        <row r="73">
          <cell r="A73" t="str">
            <v>12486230829053</v>
          </cell>
          <cell r="B73" t="e">
            <v>#N/A</v>
          </cell>
          <cell r="C73">
            <v>6</v>
          </cell>
          <cell r="D73" t="str">
            <v>EK65</v>
          </cell>
          <cell r="E73" t="str">
            <v>506318</v>
          </cell>
          <cell r="F73" t="str">
            <v>E</v>
          </cell>
          <cell r="G73" t="str">
            <v>12486230</v>
          </cell>
          <cell r="H73" t="str">
            <v>Haltewinkel</v>
          </cell>
          <cell r="I73">
            <v>24</v>
          </cell>
          <cell r="J73" t="str">
            <v>Stk</v>
          </cell>
          <cell r="K73">
            <v>45216</v>
          </cell>
          <cell r="L73" t="str">
            <v>829053</v>
          </cell>
          <cell r="M73" t="str">
            <v/>
          </cell>
          <cell r="N73" t="str">
            <v/>
          </cell>
          <cell r="O73" t="str">
            <v/>
          </cell>
          <cell r="P73" t="str">
            <v/>
          </cell>
          <cell r="Q73" t="str">
            <v/>
          </cell>
          <cell r="R73" t="str">
            <v/>
          </cell>
          <cell r="S73" t="str">
            <v/>
          </cell>
          <cell r="T73" t="str">
            <v/>
          </cell>
          <cell r="U73" t="str">
            <v/>
          </cell>
          <cell r="V73" t="str">
            <v>N52</v>
          </cell>
          <cell r="W73" t="str">
            <v/>
          </cell>
          <cell r="X73" t="str">
            <v/>
          </cell>
          <cell r="Y73" t="str">
            <v/>
          </cell>
          <cell r="Z73" t="str">
            <v/>
          </cell>
          <cell r="AA73" t="str">
            <v/>
          </cell>
          <cell r="AB73" t="str">
            <v>PA_4292601-QE.7005-3</v>
          </cell>
          <cell r="AC73">
            <v>1</v>
          </cell>
          <cell r="AD73" t="str">
            <v/>
          </cell>
          <cell r="AE73">
            <v>0</v>
          </cell>
          <cell r="AF73" t="str">
            <v/>
          </cell>
          <cell r="AG73" t="str">
            <v>12486230</v>
          </cell>
          <cell r="AH73">
            <v>44594.91201388889</v>
          </cell>
          <cell r="AI73" t="str">
            <v>N52</v>
          </cell>
          <cell r="AJ73" t="str">
            <v>F</v>
          </cell>
          <cell r="AK73" t="str">
            <v/>
          </cell>
        </row>
        <row r="74">
          <cell r="A74" t="str">
            <v>12486349829053</v>
          </cell>
          <cell r="B74" t="e">
            <v>#N/A</v>
          </cell>
          <cell r="C74">
            <v>6</v>
          </cell>
          <cell r="D74" t="str">
            <v>EK65</v>
          </cell>
          <cell r="E74" t="str">
            <v>506319</v>
          </cell>
          <cell r="F74" t="str">
            <v>E</v>
          </cell>
          <cell r="G74" t="str">
            <v>12486349</v>
          </cell>
          <cell r="H74" t="str">
            <v>Haltewinkel</v>
          </cell>
          <cell r="I74">
            <v>24</v>
          </cell>
          <cell r="J74" t="str">
            <v>Stk</v>
          </cell>
          <cell r="K74">
            <v>45216</v>
          </cell>
          <cell r="L74" t="str">
            <v>829053</v>
          </cell>
          <cell r="M74" t="str">
            <v/>
          </cell>
          <cell r="N74" t="str">
            <v/>
          </cell>
          <cell r="O74" t="str">
            <v/>
          </cell>
          <cell r="P74" t="str">
            <v/>
          </cell>
          <cell r="Q74" t="str">
            <v/>
          </cell>
          <cell r="R74" t="str">
            <v/>
          </cell>
          <cell r="S74" t="str">
            <v/>
          </cell>
          <cell r="T74" t="str">
            <v/>
          </cell>
          <cell r="U74" t="str">
            <v/>
          </cell>
          <cell r="V74" t="str">
            <v>N52</v>
          </cell>
          <cell r="W74" t="str">
            <v/>
          </cell>
          <cell r="X74" t="str">
            <v/>
          </cell>
          <cell r="Y74" t="str">
            <v/>
          </cell>
          <cell r="Z74" t="str">
            <v/>
          </cell>
          <cell r="AA74" t="str">
            <v/>
          </cell>
          <cell r="AB74" t="str">
            <v>PA_4328359-QE.7005-3</v>
          </cell>
          <cell r="AC74">
            <v>1</v>
          </cell>
          <cell r="AD74" t="str">
            <v/>
          </cell>
          <cell r="AE74">
            <v>0</v>
          </cell>
          <cell r="AF74" t="str">
            <v/>
          </cell>
          <cell r="AG74" t="str">
            <v>12486349</v>
          </cell>
          <cell r="AH74">
            <v>44594.912037037036</v>
          </cell>
          <cell r="AI74" t="str">
            <v>N52</v>
          </cell>
          <cell r="AJ74" t="str">
            <v>F</v>
          </cell>
          <cell r="AK74" t="str">
            <v/>
          </cell>
        </row>
        <row r="75">
          <cell r="A75" t="str">
            <v>12486393829053</v>
          </cell>
          <cell r="B75" t="e">
            <v>#N/A</v>
          </cell>
          <cell r="C75">
            <v>6</v>
          </cell>
          <cell r="D75" t="str">
            <v>EK65</v>
          </cell>
          <cell r="E75" t="str">
            <v>506320</v>
          </cell>
          <cell r="F75" t="str">
            <v>E</v>
          </cell>
          <cell r="G75" t="str">
            <v>12486393</v>
          </cell>
          <cell r="H75" t="str">
            <v>Haltewinkel</v>
          </cell>
          <cell r="I75">
            <v>24</v>
          </cell>
          <cell r="J75" t="str">
            <v>Stk</v>
          </cell>
          <cell r="K75">
            <v>45216</v>
          </cell>
          <cell r="L75" t="str">
            <v>829053</v>
          </cell>
          <cell r="M75" t="str">
            <v/>
          </cell>
          <cell r="N75" t="str">
            <v/>
          </cell>
          <cell r="O75" t="str">
            <v/>
          </cell>
          <cell r="P75" t="str">
            <v/>
          </cell>
          <cell r="Q75" t="str">
            <v/>
          </cell>
          <cell r="R75" t="str">
            <v/>
          </cell>
          <cell r="S75" t="str">
            <v/>
          </cell>
          <cell r="T75" t="str">
            <v/>
          </cell>
          <cell r="U75" t="str">
            <v/>
          </cell>
          <cell r="V75" t="str">
            <v>N52</v>
          </cell>
          <cell r="W75" t="str">
            <v/>
          </cell>
          <cell r="X75" t="str">
            <v/>
          </cell>
          <cell r="Y75" t="str">
            <v/>
          </cell>
          <cell r="Z75" t="str">
            <v/>
          </cell>
          <cell r="AA75" t="str">
            <v/>
          </cell>
          <cell r="AB75" t="str">
            <v>PA_4306636-QE.7005-3</v>
          </cell>
          <cell r="AC75">
            <v>1</v>
          </cell>
          <cell r="AD75" t="str">
            <v/>
          </cell>
          <cell r="AE75">
            <v>0</v>
          </cell>
          <cell r="AF75" t="str">
            <v/>
          </cell>
          <cell r="AG75" t="str">
            <v>12486393</v>
          </cell>
          <cell r="AH75">
            <v>44594.912094907406</v>
          </cell>
          <cell r="AI75" t="str">
            <v>N52</v>
          </cell>
          <cell r="AJ75" t="str">
            <v>F</v>
          </cell>
          <cell r="AK75" t="str">
            <v/>
          </cell>
        </row>
        <row r="76">
          <cell r="A76" t="str">
            <v>12508224829053</v>
          </cell>
          <cell r="B76" t="e">
            <v>#N/A</v>
          </cell>
          <cell r="C76">
            <v>6</v>
          </cell>
          <cell r="D76" t="str">
            <v>EK65</v>
          </cell>
          <cell r="E76" t="str">
            <v>506337</v>
          </cell>
          <cell r="F76" t="str">
            <v>E</v>
          </cell>
          <cell r="G76" t="str">
            <v>12508224</v>
          </cell>
          <cell r="H76" t="str">
            <v>Halter</v>
          </cell>
          <cell r="I76">
            <v>51</v>
          </cell>
          <cell r="J76" t="str">
            <v>Stk</v>
          </cell>
          <cell r="K76">
            <v>45198</v>
          </cell>
          <cell r="L76" t="str">
            <v>829053</v>
          </cell>
          <cell r="M76" t="str">
            <v/>
          </cell>
          <cell r="N76" t="str">
            <v/>
          </cell>
          <cell r="O76" t="str">
            <v/>
          </cell>
          <cell r="P76" t="str">
            <v/>
          </cell>
          <cell r="Q76" t="str">
            <v/>
          </cell>
          <cell r="R76" t="str">
            <v/>
          </cell>
          <cell r="S76" t="str">
            <v/>
          </cell>
          <cell r="T76" t="str">
            <v/>
          </cell>
          <cell r="U76" t="str">
            <v/>
          </cell>
          <cell r="V76" t="str">
            <v>N52</v>
          </cell>
          <cell r="W76" t="str">
            <v/>
          </cell>
          <cell r="X76" t="str">
            <v/>
          </cell>
          <cell r="Y76" t="str">
            <v/>
          </cell>
          <cell r="Z76" t="str">
            <v/>
          </cell>
          <cell r="AA76" t="str">
            <v/>
          </cell>
          <cell r="AB76" t="str">
            <v>PA_4517014-UA.7005-4</v>
          </cell>
          <cell r="AC76">
            <v>1</v>
          </cell>
          <cell r="AD76" t="str">
            <v/>
          </cell>
          <cell r="AE76">
            <v>0</v>
          </cell>
          <cell r="AF76" t="str">
            <v/>
          </cell>
          <cell r="AG76" t="str">
            <v>12508224</v>
          </cell>
          <cell r="AH76">
            <v>44594.916412037041</v>
          </cell>
          <cell r="AI76" t="str">
            <v>N52</v>
          </cell>
          <cell r="AJ76" t="str">
            <v>F</v>
          </cell>
          <cell r="AK76" t="str">
            <v/>
          </cell>
        </row>
        <row r="77">
          <cell r="A77" t="str">
            <v>12508738829053</v>
          </cell>
          <cell r="B77" t="e">
            <v>#N/A</v>
          </cell>
          <cell r="C77">
            <v>28</v>
          </cell>
          <cell r="D77" t="str">
            <v>EK65</v>
          </cell>
          <cell r="E77" t="str">
            <v>506338</v>
          </cell>
          <cell r="F77" t="str">
            <v>E</v>
          </cell>
          <cell r="G77" t="str">
            <v>12508738</v>
          </cell>
          <cell r="H77" t="str">
            <v>Halter Ueberstroemventil</v>
          </cell>
          <cell r="I77">
            <v>103</v>
          </cell>
          <cell r="J77" t="str">
            <v>Stk</v>
          </cell>
          <cell r="K77">
            <v>45196</v>
          </cell>
          <cell r="L77" t="str">
            <v>829053</v>
          </cell>
          <cell r="M77" t="str">
            <v/>
          </cell>
          <cell r="N77" t="str">
            <v/>
          </cell>
          <cell r="O77" t="str">
            <v/>
          </cell>
          <cell r="P77" t="str">
            <v/>
          </cell>
          <cell r="Q77" t="str">
            <v/>
          </cell>
          <cell r="R77" t="str">
            <v/>
          </cell>
          <cell r="S77" t="str">
            <v/>
          </cell>
          <cell r="T77" t="str">
            <v/>
          </cell>
          <cell r="U77" t="str">
            <v/>
          </cell>
          <cell r="V77" t="str">
            <v>N52</v>
          </cell>
          <cell r="W77" t="str">
            <v/>
          </cell>
          <cell r="X77" t="str">
            <v/>
          </cell>
          <cell r="Y77" t="str">
            <v/>
          </cell>
          <cell r="Z77" t="str">
            <v/>
          </cell>
          <cell r="AA77" t="str">
            <v/>
          </cell>
          <cell r="AB77" t="str">
            <v>PA_2343520-QE.7005-3</v>
          </cell>
          <cell r="AC77">
            <v>1</v>
          </cell>
          <cell r="AD77" t="str">
            <v/>
          </cell>
          <cell r="AE77">
            <v>0</v>
          </cell>
          <cell r="AF77" t="str">
            <v/>
          </cell>
          <cell r="AG77" t="str">
            <v>12508738</v>
          </cell>
          <cell r="AH77">
            <v>44594.916516203702</v>
          </cell>
          <cell r="AI77" t="str">
            <v>N52</v>
          </cell>
          <cell r="AJ77" t="str">
            <v>F</v>
          </cell>
          <cell r="AK77" t="str">
            <v/>
          </cell>
        </row>
        <row r="78">
          <cell r="A78" t="str">
            <v>12508738829054</v>
          </cell>
          <cell r="B78" t="e">
            <v>#N/A</v>
          </cell>
          <cell r="C78">
            <v>28</v>
          </cell>
          <cell r="D78" t="str">
            <v>EK65</v>
          </cell>
          <cell r="E78" t="str">
            <v>506339</v>
          </cell>
          <cell r="F78" t="str">
            <v>E</v>
          </cell>
          <cell r="G78" t="str">
            <v>12508738</v>
          </cell>
          <cell r="H78" t="str">
            <v>Halter Ueberstroemventil</v>
          </cell>
          <cell r="I78">
            <v>36</v>
          </cell>
          <cell r="J78" t="str">
            <v>Stk</v>
          </cell>
          <cell r="K78">
            <v>45205</v>
          </cell>
          <cell r="L78" t="str">
            <v>829054</v>
          </cell>
          <cell r="M78" t="str">
            <v/>
          </cell>
          <cell r="N78" t="str">
            <v/>
          </cell>
          <cell r="O78" t="str">
            <v/>
          </cell>
          <cell r="P78" t="str">
            <v/>
          </cell>
          <cell r="Q78" t="str">
            <v/>
          </cell>
          <cell r="R78" t="str">
            <v/>
          </cell>
          <cell r="S78" t="str">
            <v/>
          </cell>
          <cell r="T78" t="str">
            <v/>
          </cell>
          <cell r="U78" t="str">
            <v/>
          </cell>
          <cell r="V78" t="str">
            <v>N52</v>
          </cell>
          <cell r="W78" t="str">
            <v/>
          </cell>
          <cell r="X78" t="str">
            <v/>
          </cell>
          <cell r="Y78" t="str">
            <v/>
          </cell>
          <cell r="Z78" t="str">
            <v/>
          </cell>
          <cell r="AA78" t="str">
            <v/>
          </cell>
          <cell r="AB78" t="str">
            <v>PA_2343520-QE.7005-3</v>
          </cell>
          <cell r="AC78">
            <v>1</v>
          </cell>
          <cell r="AD78" t="str">
            <v/>
          </cell>
          <cell r="AE78">
            <v>0</v>
          </cell>
          <cell r="AF78" t="str">
            <v/>
          </cell>
          <cell r="AG78" t="str">
            <v>12508738</v>
          </cell>
          <cell r="AH78">
            <v>44594.916516203702</v>
          </cell>
          <cell r="AI78" t="str">
            <v>N52</v>
          </cell>
          <cell r="AJ78" t="str">
            <v>F</v>
          </cell>
          <cell r="AK78" t="str">
            <v/>
          </cell>
        </row>
        <row r="79">
          <cell r="A79" t="str">
            <v>12508779829053</v>
          </cell>
          <cell r="B79" t="e">
            <v>#N/A</v>
          </cell>
          <cell r="C79">
            <v>14</v>
          </cell>
          <cell r="D79" t="str">
            <v>EK65</v>
          </cell>
          <cell r="E79" t="str">
            <v>506340</v>
          </cell>
          <cell r="F79" t="str">
            <v>E</v>
          </cell>
          <cell r="G79" t="str">
            <v>12508779</v>
          </cell>
          <cell r="H79" t="str">
            <v>Halter fuer Schottverschraubungen</v>
          </cell>
          <cell r="I79">
            <v>51</v>
          </cell>
          <cell r="J79" t="str">
            <v>Stk</v>
          </cell>
          <cell r="K79">
            <v>45205</v>
          </cell>
          <cell r="L79" t="str">
            <v>829053</v>
          </cell>
          <cell r="M79" t="str">
            <v/>
          </cell>
          <cell r="N79" t="str">
            <v/>
          </cell>
          <cell r="O79" t="str">
            <v/>
          </cell>
          <cell r="P79" t="str">
            <v/>
          </cell>
          <cell r="Q79" t="str">
            <v/>
          </cell>
          <cell r="R79" t="str">
            <v/>
          </cell>
          <cell r="S79" t="str">
            <v/>
          </cell>
          <cell r="T79" t="str">
            <v/>
          </cell>
          <cell r="U79" t="str">
            <v/>
          </cell>
          <cell r="V79" t="str">
            <v>N52</v>
          </cell>
          <cell r="W79" t="str">
            <v/>
          </cell>
          <cell r="X79" t="str">
            <v/>
          </cell>
          <cell r="Y79" t="str">
            <v/>
          </cell>
          <cell r="Z79" t="str">
            <v/>
          </cell>
          <cell r="AA79" t="str">
            <v/>
          </cell>
          <cell r="AB79" t="str">
            <v>PA_4310493-QE.7005-3</v>
          </cell>
          <cell r="AC79">
            <v>1</v>
          </cell>
          <cell r="AD79" t="str">
            <v/>
          </cell>
          <cell r="AE79">
            <v>0</v>
          </cell>
          <cell r="AF79" t="str">
            <v/>
          </cell>
          <cell r="AG79" t="str">
            <v>12508779</v>
          </cell>
          <cell r="AH79">
            <v>44594.916539351849</v>
          </cell>
          <cell r="AI79" t="str">
            <v>N52</v>
          </cell>
          <cell r="AJ79" t="str">
            <v>F</v>
          </cell>
          <cell r="AK79" t="str">
            <v/>
          </cell>
        </row>
        <row r="80">
          <cell r="A80" t="str">
            <v>12508779829054</v>
          </cell>
          <cell r="B80" t="e">
            <v>#N/A</v>
          </cell>
          <cell r="C80">
            <v>14</v>
          </cell>
          <cell r="D80" t="str">
            <v>EK65</v>
          </cell>
          <cell r="E80" t="str">
            <v>506341</v>
          </cell>
          <cell r="F80" t="str">
            <v>E</v>
          </cell>
          <cell r="G80" t="str">
            <v>12508779</v>
          </cell>
          <cell r="H80" t="str">
            <v>Halter fuer Schottverschraubungen</v>
          </cell>
          <cell r="I80">
            <v>18</v>
          </cell>
          <cell r="J80" t="str">
            <v>Stk</v>
          </cell>
          <cell r="K80">
            <v>45213</v>
          </cell>
          <cell r="L80" t="str">
            <v>829054</v>
          </cell>
          <cell r="M80" t="str">
            <v/>
          </cell>
          <cell r="N80" t="str">
            <v/>
          </cell>
          <cell r="O80" t="str">
            <v/>
          </cell>
          <cell r="P80" t="str">
            <v/>
          </cell>
          <cell r="Q80" t="str">
            <v/>
          </cell>
          <cell r="R80" t="str">
            <v/>
          </cell>
          <cell r="S80" t="str">
            <v/>
          </cell>
          <cell r="T80" t="str">
            <v/>
          </cell>
          <cell r="U80" t="str">
            <v/>
          </cell>
          <cell r="V80" t="str">
            <v>N52</v>
          </cell>
          <cell r="W80" t="str">
            <v/>
          </cell>
          <cell r="X80" t="str">
            <v/>
          </cell>
          <cell r="Y80" t="str">
            <v/>
          </cell>
          <cell r="Z80" t="str">
            <v/>
          </cell>
          <cell r="AA80" t="str">
            <v/>
          </cell>
          <cell r="AB80" t="str">
            <v>PA_4310493-QE.7005-3</v>
          </cell>
          <cell r="AC80">
            <v>1</v>
          </cell>
          <cell r="AD80" t="str">
            <v/>
          </cell>
          <cell r="AE80">
            <v>0</v>
          </cell>
          <cell r="AF80" t="str">
            <v/>
          </cell>
          <cell r="AG80" t="str">
            <v>12508779</v>
          </cell>
          <cell r="AH80">
            <v>44594.916539351849</v>
          </cell>
          <cell r="AI80" t="str">
            <v>N52</v>
          </cell>
          <cell r="AJ80" t="str">
            <v>F</v>
          </cell>
          <cell r="AK80" t="str">
            <v/>
          </cell>
        </row>
        <row r="81">
          <cell r="A81" t="str">
            <v>12509520829053</v>
          </cell>
          <cell r="B81" t="e">
            <v>#N/A</v>
          </cell>
          <cell r="C81">
            <v>3</v>
          </cell>
          <cell r="D81" t="str">
            <v>EK65</v>
          </cell>
          <cell r="E81" t="str">
            <v>506342</v>
          </cell>
          <cell r="F81" t="str">
            <v>E</v>
          </cell>
          <cell r="G81" t="str">
            <v>12509520</v>
          </cell>
          <cell r="H81" t="str">
            <v>Distanzhalter Rohrschelle</v>
          </cell>
          <cell r="I81">
            <v>101</v>
          </cell>
          <cell r="J81" t="str">
            <v>Stk</v>
          </cell>
          <cell r="K81">
            <v>45204</v>
          </cell>
          <cell r="L81" t="str">
            <v>829053</v>
          </cell>
          <cell r="M81" t="str">
            <v/>
          </cell>
          <cell r="N81" t="str">
            <v/>
          </cell>
          <cell r="O81" t="str">
            <v/>
          </cell>
          <cell r="P81" t="str">
            <v/>
          </cell>
          <cell r="Q81" t="str">
            <v/>
          </cell>
          <cell r="R81" t="str">
            <v/>
          </cell>
          <cell r="S81" t="str">
            <v/>
          </cell>
          <cell r="T81" t="str">
            <v/>
          </cell>
          <cell r="U81" t="str">
            <v/>
          </cell>
          <cell r="V81" t="str">
            <v>N52</v>
          </cell>
          <cell r="W81" t="str">
            <v/>
          </cell>
          <cell r="X81" t="str">
            <v/>
          </cell>
          <cell r="Y81" t="str">
            <v/>
          </cell>
          <cell r="Z81" t="str">
            <v/>
          </cell>
          <cell r="AA81" t="str">
            <v/>
          </cell>
          <cell r="AB81" t="str">
            <v>PA_4374873-QE.7005-4</v>
          </cell>
          <cell r="AC81">
            <v>1</v>
          </cell>
          <cell r="AD81" t="str">
            <v/>
          </cell>
          <cell r="AE81">
            <v>0</v>
          </cell>
          <cell r="AF81" t="str">
            <v/>
          </cell>
          <cell r="AG81" t="str">
            <v>12509520</v>
          </cell>
          <cell r="AH81">
            <v>44594.916643518518</v>
          </cell>
          <cell r="AI81" t="str">
            <v>N52</v>
          </cell>
          <cell r="AJ81" t="str">
            <v>F</v>
          </cell>
          <cell r="AK81" t="str">
            <v/>
          </cell>
        </row>
        <row r="82">
          <cell r="A82" t="str">
            <v>12510020829053</v>
          </cell>
          <cell r="B82" t="e">
            <v>#N/A</v>
          </cell>
          <cell r="C82">
            <v>6</v>
          </cell>
          <cell r="D82" t="str">
            <v>EK65</v>
          </cell>
          <cell r="E82" t="str">
            <v>506345</v>
          </cell>
          <cell r="F82" t="str">
            <v>E</v>
          </cell>
          <cell r="G82" t="str">
            <v>12510020</v>
          </cell>
          <cell r="H82" t="str">
            <v>Halter</v>
          </cell>
          <cell r="I82">
            <v>51</v>
          </cell>
          <cell r="J82" t="str">
            <v>Stk</v>
          </cell>
          <cell r="K82">
            <v>45211</v>
          </cell>
          <cell r="L82" t="str">
            <v>829053</v>
          </cell>
          <cell r="M82" t="str">
            <v/>
          </cell>
          <cell r="N82" t="str">
            <v/>
          </cell>
          <cell r="O82" t="str">
            <v/>
          </cell>
          <cell r="P82" t="str">
            <v/>
          </cell>
          <cell r="Q82" t="str">
            <v/>
          </cell>
          <cell r="R82" t="str">
            <v/>
          </cell>
          <cell r="S82" t="str">
            <v/>
          </cell>
          <cell r="T82" t="str">
            <v/>
          </cell>
          <cell r="U82" t="str">
            <v/>
          </cell>
          <cell r="V82" t="str">
            <v>N52</v>
          </cell>
          <cell r="W82" t="str">
            <v/>
          </cell>
          <cell r="X82" t="str">
            <v/>
          </cell>
          <cell r="Y82" t="str">
            <v/>
          </cell>
          <cell r="Z82" t="str">
            <v/>
          </cell>
          <cell r="AA82" t="str">
            <v/>
          </cell>
          <cell r="AB82" t="str">
            <v>PA_4411296-DC.7005-3</v>
          </cell>
          <cell r="AC82">
            <v>1</v>
          </cell>
          <cell r="AD82" t="str">
            <v/>
          </cell>
          <cell r="AE82">
            <v>0</v>
          </cell>
          <cell r="AF82" t="str">
            <v/>
          </cell>
          <cell r="AG82" t="str">
            <v>12510020</v>
          </cell>
          <cell r="AH82">
            <v>44594.917291666665</v>
          </cell>
          <cell r="AI82" t="str">
            <v>N52</v>
          </cell>
          <cell r="AJ82" t="str">
            <v>F</v>
          </cell>
          <cell r="AK82" t="str">
            <v/>
          </cell>
        </row>
        <row r="83">
          <cell r="A83" t="str">
            <v>12510046829053</v>
          </cell>
          <cell r="B83" t="e">
            <v>#N/A</v>
          </cell>
          <cell r="C83">
            <v>6</v>
          </cell>
          <cell r="D83" t="str">
            <v>EK65</v>
          </cell>
          <cell r="E83" t="str">
            <v>506346</v>
          </cell>
          <cell r="F83" t="str">
            <v>E</v>
          </cell>
          <cell r="G83" t="str">
            <v>12510046</v>
          </cell>
          <cell r="H83" t="str">
            <v>Halter</v>
          </cell>
          <cell r="I83">
            <v>51</v>
          </cell>
          <cell r="J83" t="str">
            <v>Stk</v>
          </cell>
          <cell r="K83">
            <v>45211</v>
          </cell>
          <cell r="L83" t="str">
            <v>829053</v>
          </cell>
          <cell r="M83" t="str">
            <v/>
          </cell>
          <cell r="N83" t="str">
            <v/>
          </cell>
          <cell r="O83" t="str">
            <v/>
          </cell>
          <cell r="P83" t="str">
            <v/>
          </cell>
          <cell r="Q83" t="str">
            <v/>
          </cell>
          <cell r="R83" t="str">
            <v/>
          </cell>
          <cell r="S83" t="str">
            <v/>
          </cell>
          <cell r="T83" t="str">
            <v/>
          </cell>
          <cell r="U83" t="str">
            <v/>
          </cell>
          <cell r="V83" t="str">
            <v>N52</v>
          </cell>
          <cell r="W83" t="str">
            <v/>
          </cell>
          <cell r="X83" t="str">
            <v/>
          </cell>
          <cell r="Y83" t="str">
            <v/>
          </cell>
          <cell r="Z83" t="str">
            <v/>
          </cell>
          <cell r="AA83" t="str">
            <v/>
          </cell>
          <cell r="AB83" t="str">
            <v>PA_4366336-DC.7005-3</v>
          </cell>
          <cell r="AC83">
            <v>1</v>
          </cell>
          <cell r="AD83" t="str">
            <v/>
          </cell>
          <cell r="AE83">
            <v>0</v>
          </cell>
          <cell r="AF83" t="str">
            <v/>
          </cell>
          <cell r="AG83" t="str">
            <v>12510046</v>
          </cell>
          <cell r="AH83">
            <v>44594.917314814818</v>
          </cell>
          <cell r="AI83" t="str">
            <v>N52</v>
          </cell>
          <cell r="AJ83" t="str">
            <v>F</v>
          </cell>
          <cell r="AK83" t="str">
            <v/>
          </cell>
        </row>
        <row r="84">
          <cell r="A84" t="str">
            <v>12512023829053</v>
          </cell>
          <cell r="B84" t="e">
            <v>#N/A</v>
          </cell>
          <cell r="C84">
            <v>6</v>
          </cell>
          <cell r="D84" t="str">
            <v>EK65</v>
          </cell>
          <cell r="E84" t="str">
            <v>506348</v>
          </cell>
          <cell r="F84" t="str">
            <v>E</v>
          </cell>
          <cell r="G84" t="str">
            <v>12512023</v>
          </cell>
          <cell r="H84" t="str">
            <v>Haltewinkel</v>
          </cell>
          <cell r="I84">
            <v>103</v>
          </cell>
          <cell r="J84" t="str">
            <v>Stk</v>
          </cell>
          <cell r="K84">
            <v>45195</v>
          </cell>
          <cell r="L84" t="str">
            <v>829053</v>
          </cell>
          <cell r="M84" t="str">
            <v/>
          </cell>
          <cell r="N84" t="str">
            <v/>
          </cell>
          <cell r="O84" t="str">
            <v/>
          </cell>
          <cell r="P84" t="str">
            <v/>
          </cell>
          <cell r="Q84" t="str">
            <v/>
          </cell>
          <cell r="R84" t="str">
            <v/>
          </cell>
          <cell r="S84" t="str">
            <v/>
          </cell>
          <cell r="T84" t="str">
            <v/>
          </cell>
          <cell r="U84" t="str">
            <v/>
          </cell>
          <cell r="V84" t="str">
            <v>N52</v>
          </cell>
          <cell r="W84" t="str">
            <v/>
          </cell>
          <cell r="X84" t="str">
            <v/>
          </cell>
          <cell r="Y84" t="str">
            <v/>
          </cell>
          <cell r="Z84" t="str">
            <v/>
          </cell>
          <cell r="AA84" t="str">
            <v/>
          </cell>
          <cell r="AB84" t="str">
            <v>PA_4391855-UA.7005-3</v>
          </cell>
          <cell r="AC84">
            <v>1</v>
          </cell>
          <cell r="AD84" t="str">
            <v/>
          </cell>
          <cell r="AE84">
            <v>0</v>
          </cell>
          <cell r="AF84" t="str">
            <v/>
          </cell>
          <cell r="AG84" t="str">
            <v>12512023</v>
          </cell>
          <cell r="AH84">
            <v>44594.919768518521</v>
          </cell>
          <cell r="AI84" t="str">
            <v>N52</v>
          </cell>
          <cell r="AJ84" t="str">
            <v>F</v>
          </cell>
          <cell r="AK84" t="str">
            <v/>
          </cell>
        </row>
        <row r="85">
          <cell r="A85" t="str">
            <v>12512024829053</v>
          </cell>
          <cell r="B85" t="e">
            <v>#N/A</v>
          </cell>
          <cell r="C85">
            <v>6</v>
          </cell>
          <cell r="D85" t="str">
            <v>EK65</v>
          </cell>
          <cell r="E85" t="str">
            <v>506349</v>
          </cell>
          <cell r="F85" t="str">
            <v>E</v>
          </cell>
          <cell r="G85" t="str">
            <v>12512024</v>
          </cell>
          <cell r="H85" t="str">
            <v>Haltewinkel</v>
          </cell>
          <cell r="I85">
            <v>51</v>
          </cell>
          <cell r="J85" t="str">
            <v>Stk</v>
          </cell>
          <cell r="K85">
            <v>45196</v>
          </cell>
          <cell r="L85" t="str">
            <v>829053</v>
          </cell>
          <cell r="M85" t="str">
            <v/>
          </cell>
          <cell r="N85" t="str">
            <v/>
          </cell>
          <cell r="O85" t="str">
            <v/>
          </cell>
          <cell r="P85" t="str">
            <v/>
          </cell>
          <cell r="Q85" t="str">
            <v/>
          </cell>
          <cell r="R85" t="str">
            <v/>
          </cell>
          <cell r="S85" t="str">
            <v/>
          </cell>
          <cell r="T85" t="str">
            <v/>
          </cell>
          <cell r="U85" t="str">
            <v/>
          </cell>
          <cell r="V85" t="str">
            <v>N52</v>
          </cell>
          <cell r="W85" t="str">
            <v/>
          </cell>
          <cell r="X85" t="str">
            <v/>
          </cell>
          <cell r="Y85" t="str">
            <v/>
          </cell>
          <cell r="Z85" t="str">
            <v/>
          </cell>
          <cell r="AA85" t="str">
            <v/>
          </cell>
          <cell r="AB85" t="str">
            <v>PA_4373770-UA.7005-3</v>
          </cell>
          <cell r="AC85">
            <v>1</v>
          </cell>
          <cell r="AD85" t="str">
            <v/>
          </cell>
          <cell r="AE85">
            <v>0</v>
          </cell>
          <cell r="AF85" t="str">
            <v/>
          </cell>
          <cell r="AG85" t="str">
            <v>12512024</v>
          </cell>
          <cell r="AH85">
            <v>44594.91978009259</v>
          </cell>
          <cell r="AI85" t="str">
            <v>N52</v>
          </cell>
          <cell r="AJ85" t="str">
            <v>F</v>
          </cell>
          <cell r="AK85" t="str">
            <v/>
          </cell>
        </row>
        <row r="86">
          <cell r="A86" t="str">
            <v>12512029829053</v>
          </cell>
          <cell r="B86" t="e">
            <v>#N/A</v>
          </cell>
          <cell r="C86">
            <v>6</v>
          </cell>
          <cell r="D86" t="str">
            <v>EK65</v>
          </cell>
          <cell r="E86" t="str">
            <v>506350</v>
          </cell>
          <cell r="F86" t="str">
            <v>E</v>
          </cell>
          <cell r="G86" t="str">
            <v>12512029</v>
          </cell>
          <cell r="H86" t="str">
            <v>Haltewinkel</v>
          </cell>
          <cell r="I86">
            <v>51</v>
          </cell>
          <cell r="J86" t="str">
            <v>Stk</v>
          </cell>
          <cell r="K86">
            <v>45196</v>
          </cell>
          <cell r="L86" t="str">
            <v>829053</v>
          </cell>
          <cell r="M86" t="str">
            <v/>
          </cell>
          <cell r="N86" t="str">
            <v/>
          </cell>
          <cell r="O86" t="str">
            <v/>
          </cell>
          <cell r="P86" t="str">
            <v/>
          </cell>
          <cell r="Q86" t="str">
            <v/>
          </cell>
          <cell r="R86" t="str">
            <v/>
          </cell>
          <cell r="S86" t="str">
            <v/>
          </cell>
          <cell r="T86" t="str">
            <v/>
          </cell>
          <cell r="U86" t="str">
            <v/>
          </cell>
          <cell r="V86" t="str">
            <v>N52</v>
          </cell>
          <cell r="W86" t="str">
            <v/>
          </cell>
          <cell r="X86" t="str">
            <v/>
          </cell>
          <cell r="Y86" t="str">
            <v/>
          </cell>
          <cell r="Z86" t="str">
            <v/>
          </cell>
          <cell r="AA86" t="str">
            <v/>
          </cell>
          <cell r="AB86" t="str">
            <v>PA_4367869-UA.7005-3</v>
          </cell>
          <cell r="AC86">
            <v>1</v>
          </cell>
          <cell r="AD86" t="str">
            <v/>
          </cell>
          <cell r="AE86">
            <v>0</v>
          </cell>
          <cell r="AF86" t="str">
            <v/>
          </cell>
          <cell r="AG86" t="str">
            <v>12512029</v>
          </cell>
          <cell r="AH86">
            <v>44594.919803240744</v>
          </cell>
          <cell r="AI86" t="str">
            <v>N52</v>
          </cell>
          <cell r="AJ86" t="str">
            <v>F</v>
          </cell>
          <cell r="AK86" t="str">
            <v/>
          </cell>
        </row>
        <row r="87">
          <cell r="A87" t="str">
            <v>12513765829053</v>
          </cell>
          <cell r="B87" t="e">
            <v>#N/A</v>
          </cell>
          <cell r="C87">
            <v>6</v>
          </cell>
          <cell r="D87" t="str">
            <v>EK65</v>
          </cell>
          <cell r="E87" t="str">
            <v>506351</v>
          </cell>
          <cell r="F87" t="str">
            <v>E</v>
          </cell>
          <cell r="G87" t="str">
            <v>12513765</v>
          </cell>
          <cell r="H87" t="str">
            <v>Winkel</v>
          </cell>
          <cell r="I87">
            <v>103</v>
          </cell>
          <cell r="J87" t="str">
            <v>Stk</v>
          </cell>
          <cell r="K87">
            <v>45210</v>
          </cell>
          <cell r="L87" t="str">
            <v>829053</v>
          </cell>
          <cell r="M87" t="str">
            <v/>
          </cell>
          <cell r="N87" t="str">
            <v/>
          </cell>
          <cell r="O87" t="str">
            <v/>
          </cell>
          <cell r="P87" t="str">
            <v/>
          </cell>
          <cell r="Q87" t="str">
            <v/>
          </cell>
          <cell r="R87" t="str">
            <v/>
          </cell>
          <cell r="S87" t="str">
            <v/>
          </cell>
          <cell r="T87" t="str">
            <v/>
          </cell>
          <cell r="U87" t="str">
            <v/>
          </cell>
          <cell r="V87" t="str">
            <v>N52</v>
          </cell>
          <cell r="W87" t="str">
            <v/>
          </cell>
          <cell r="X87" t="str">
            <v/>
          </cell>
          <cell r="Y87" t="str">
            <v/>
          </cell>
          <cell r="Z87" t="str">
            <v/>
          </cell>
          <cell r="AA87" t="str">
            <v/>
          </cell>
          <cell r="AB87" t="str">
            <v>PA_4544280-DC.7005-4</v>
          </cell>
          <cell r="AC87">
            <v>1</v>
          </cell>
          <cell r="AD87" t="str">
            <v/>
          </cell>
          <cell r="AE87">
            <v>0</v>
          </cell>
          <cell r="AF87" t="str">
            <v/>
          </cell>
          <cell r="AG87" t="str">
            <v>12513765</v>
          </cell>
          <cell r="AH87">
            <v>44594.92015046296</v>
          </cell>
          <cell r="AI87" t="str">
            <v>N52</v>
          </cell>
          <cell r="AJ87" t="str">
            <v>F</v>
          </cell>
          <cell r="AK87" t="str">
            <v>A</v>
          </cell>
        </row>
        <row r="88">
          <cell r="A88" t="str">
            <v>12517799829053</v>
          </cell>
          <cell r="B88" t="e">
            <v>#N/A</v>
          </cell>
          <cell r="C88">
            <v>6</v>
          </cell>
          <cell r="D88" t="str">
            <v>EK65</v>
          </cell>
          <cell r="E88" t="str">
            <v>506377</v>
          </cell>
          <cell r="F88" t="str">
            <v>E</v>
          </cell>
          <cell r="G88" t="str">
            <v>12517799</v>
          </cell>
          <cell r="H88" t="str">
            <v>Halter</v>
          </cell>
          <cell r="I88">
            <v>51</v>
          </cell>
          <cell r="J88" t="str">
            <v>Stk</v>
          </cell>
          <cell r="K88">
            <v>45196</v>
          </cell>
          <cell r="L88" t="str">
            <v>829053</v>
          </cell>
          <cell r="M88" t="str">
            <v/>
          </cell>
          <cell r="N88" t="str">
            <v/>
          </cell>
          <cell r="O88" t="str">
            <v/>
          </cell>
          <cell r="P88" t="str">
            <v/>
          </cell>
          <cell r="Q88" t="str">
            <v/>
          </cell>
          <cell r="R88" t="str">
            <v/>
          </cell>
          <cell r="S88" t="str">
            <v/>
          </cell>
          <cell r="T88" t="str">
            <v/>
          </cell>
          <cell r="U88" t="str">
            <v/>
          </cell>
          <cell r="V88" t="str">
            <v>N52</v>
          </cell>
          <cell r="W88" t="str">
            <v/>
          </cell>
          <cell r="X88" t="str">
            <v/>
          </cell>
          <cell r="Y88" t="str">
            <v/>
          </cell>
          <cell r="Z88" t="str">
            <v/>
          </cell>
          <cell r="AA88" t="str">
            <v/>
          </cell>
          <cell r="AB88" t="str">
            <v>PA_4455668-UA.7005-3</v>
          </cell>
          <cell r="AC88">
            <v>1</v>
          </cell>
          <cell r="AD88" t="str">
            <v/>
          </cell>
          <cell r="AE88">
            <v>0</v>
          </cell>
          <cell r="AF88" t="str">
            <v/>
          </cell>
          <cell r="AG88" t="str">
            <v>12517799</v>
          </cell>
          <cell r="AH88">
            <v>44594.921840277777</v>
          </cell>
          <cell r="AI88" t="str">
            <v>N52</v>
          </cell>
          <cell r="AJ88" t="str">
            <v>F</v>
          </cell>
          <cell r="AK88" t="str">
            <v/>
          </cell>
        </row>
        <row r="89">
          <cell r="A89" t="str">
            <v>12518358829053</v>
          </cell>
          <cell r="B89" t="e">
            <v>#N/A</v>
          </cell>
          <cell r="C89">
            <v>12</v>
          </cell>
          <cell r="D89" t="str">
            <v>EK65</v>
          </cell>
          <cell r="E89" t="str">
            <v>506382</v>
          </cell>
          <cell r="F89" t="str">
            <v>E</v>
          </cell>
          <cell r="G89" t="str">
            <v>12518358</v>
          </cell>
          <cell r="H89" t="str">
            <v>Halter</v>
          </cell>
          <cell r="I89">
            <v>2</v>
          </cell>
          <cell r="J89" t="str">
            <v>Stk</v>
          </cell>
          <cell r="K89">
            <v>45387</v>
          </cell>
          <cell r="L89" t="str">
            <v>829053</v>
          </cell>
          <cell r="M89" t="str">
            <v/>
          </cell>
          <cell r="N89" t="str">
            <v/>
          </cell>
          <cell r="O89" t="str">
            <v/>
          </cell>
          <cell r="P89" t="str">
            <v/>
          </cell>
          <cell r="Q89" t="str">
            <v/>
          </cell>
          <cell r="R89" t="str">
            <v/>
          </cell>
          <cell r="S89" t="str">
            <v/>
          </cell>
          <cell r="T89" t="str">
            <v/>
          </cell>
          <cell r="U89" t="str">
            <v/>
          </cell>
          <cell r="V89" t="str">
            <v>N52</v>
          </cell>
          <cell r="W89" t="str">
            <v/>
          </cell>
          <cell r="X89" t="str">
            <v/>
          </cell>
          <cell r="Y89" t="str">
            <v/>
          </cell>
          <cell r="Z89" t="str">
            <v/>
          </cell>
          <cell r="AA89" t="str">
            <v/>
          </cell>
          <cell r="AB89" t="str">
            <v>PA_4339594-UA.7005-3</v>
          </cell>
          <cell r="AC89">
            <v>1</v>
          </cell>
          <cell r="AD89" t="str">
            <v/>
          </cell>
          <cell r="AE89">
            <v>0</v>
          </cell>
          <cell r="AF89" t="str">
            <v/>
          </cell>
          <cell r="AG89" t="str">
            <v>12518358</v>
          </cell>
          <cell r="AH89">
            <v>44594.922395833331</v>
          </cell>
          <cell r="AI89" t="str">
            <v>N52</v>
          </cell>
          <cell r="AJ89" t="str">
            <v>F</v>
          </cell>
          <cell r="AK89" t="str">
            <v/>
          </cell>
        </row>
        <row r="90">
          <cell r="A90" t="str">
            <v>12518579829053</v>
          </cell>
          <cell r="B90" t="e">
            <v>#N/A</v>
          </cell>
          <cell r="C90">
            <v>11</v>
          </cell>
          <cell r="D90" t="str">
            <v>EK65</v>
          </cell>
          <cell r="E90" t="str">
            <v>506384</v>
          </cell>
          <cell r="F90" t="str">
            <v>E</v>
          </cell>
          <cell r="G90" t="str">
            <v>12518579</v>
          </cell>
          <cell r="H90" t="str">
            <v>Halter</v>
          </cell>
          <cell r="I90">
            <v>51</v>
          </cell>
          <cell r="J90" t="str">
            <v>Stk</v>
          </cell>
          <cell r="K90">
            <v>45196</v>
          </cell>
          <cell r="L90" t="str">
            <v>829053</v>
          </cell>
          <cell r="M90" t="str">
            <v/>
          </cell>
          <cell r="N90" t="str">
            <v/>
          </cell>
          <cell r="O90" t="str">
            <v/>
          </cell>
          <cell r="P90" t="str">
            <v/>
          </cell>
          <cell r="Q90" t="str">
            <v/>
          </cell>
          <cell r="R90" t="str">
            <v/>
          </cell>
          <cell r="S90" t="str">
            <v/>
          </cell>
          <cell r="T90" t="str">
            <v/>
          </cell>
          <cell r="U90" t="str">
            <v/>
          </cell>
          <cell r="V90" t="str">
            <v>N52</v>
          </cell>
          <cell r="W90" t="str">
            <v/>
          </cell>
          <cell r="X90" t="str">
            <v/>
          </cell>
          <cell r="Y90" t="str">
            <v/>
          </cell>
          <cell r="Z90" t="str">
            <v/>
          </cell>
          <cell r="AA90" t="str">
            <v/>
          </cell>
          <cell r="AB90" t="str">
            <v>PA_2343302-UA.7005-3</v>
          </cell>
          <cell r="AC90">
            <v>1</v>
          </cell>
          <cell r="AD90" t="str">
            <v/>
          </cell>
          <cell r="AE90">
            <v>0</v>
          </cell>
          <cell r="AF90" t="str">
            <v/>
          </cell>
          <cell r="AG90" t="str">
            <v>12518579</v>
          </cell>
          <cell r="AH90">
            <v>44594.922650462962</v>
          </cell>
          <cell r="AI90" t="str">
            <v>N52</v>
          </cell>
          <cell r="AJ90" t="str">
            <v>F</v>
          </cell>
          <cell r="AK90" t="str">
            <v/>
          </cell>
        </row>
        <row r="91">
          <cell r="A91" t="str">
            <v>12521030829053</v>
          </cell>
          <cell r="B91" t="e">
            <v>#N/A</v>
          </cell>
          <cell r="C91">
            <v>10</v>
          </cell>
          <cell r="D91" t="str">
            <v>EK65</v>
          </cell>
          <cell r="E91" t="str">
            <v>506387</v>
          </cell>
          <cell r="F91" t="str">
            <v>E</v>
          </cell>
          <cell r="G91" t="str">
            <v>12521030</v>
          </cell>
          <cell r="H91" t="str">
            <v>Halter</v>
          </cell>
          <cell r="I91">
            <v>51</v>
          </cell>
          <cell r="J91" t="str">
            <v>Stk</v>
          </cell>
          <cell r="K91">
            <v>45198</v>
          </cell>
          <cell r="L91" t="str">
            <v>829053</v>
          </cell>
          <cell r="M91" t="str">
            <v/>
          </cell>
          <cell r="N91" t="str">
            <v/>
          </cell>
          <cell r="O91" t="str">
            <v/>
          </cell>
          <cell r="P91" t="str">
            <v/>
          </cell>
          <cell r="Q91" t="str">
            <v/>
          </cell>
          <cell r="R91" t="str">
            <v/>
          </cell>
          <cell r="S91" t="str">
            <v/>
          </cell>
          <cell r="T91" t="str">
            <v/>
          </cell>
          <cell r="U91" t="str">
            <v/>
          </cell>
          <cell r="V91" t="str">
            <v>N52</v>
          </cell>
          <cell r="W91" t="str">
            <v/>
          </cell>
          <cell r="X91" t="str">
            <v/>
          </cell>
          <cell r="Y91" t="str">
            <v/>
          </cell>
          <cell r="Z91" t="str">
            <v/>
          </cell>
          <cell r="AA91" t="str">
            <v/>
          </cell>
          <cell r="AB91" t="str">
            <v>PA_4373264-UA.7005-3</v>
          </cell>
          <cell r="AC91">
            <v>1</v>
          </cell>
          <cell r="AD91" t="str">
            <v/>
          </cell>
          <cell r="AE91">
            <v>0</v>
          </cell>
          <cell r="AF91" t="str">
            <v/>
          </cell>
          <cell r="AG91" t="str">
            <v>12521030</v>
          </cell>
          <cell r="AH91">
            <v>44594.923576388886</v>
          </cell>
          <cell r="AI91" t="str">
            <v>N52</v>
          </cell>
          <cell r="AJ91" t="str">
            <v>F</v>
          </cell>
          <cell r="AK91" t="str">
            <v/>
          </cell>
        </row>
        <row r="92">
          <cell r="A92" t="str">
            <v>12527036829053</v>
          </cell>
          <cell r="B92" t="e">
            <v>#N/A</v>
          </cell>
          <cell r="C92">
            <v>28</v>
          </cell>
          <cell r="D92" t="str">
            <v>EK65</v>
          </cell>
          <cell r="E92" t="str">
            <v>506390</v>
          </cell>
          <cell r="F92" t="str">
            <v>E</v>
          </cell>
          <cell r="G92" t="str">
            <v>12527036</v>
          </cell>
          <cell r="H92" t="str">
            <v>Halter</v>
          </cell>
          <cell r="I92">
            <v>51</v>
          </cell>
          <cell r="J92" t="str">
            <v>Stk</v>
          </cell>
          <cell r="K92">
            <v>45198</v>
          </cell>
          <cell r="L92" t="str">
            <v>829053</v>
          </cell>
          <cell r="M92" t="str">
            <v/>
          </cell>
          <cell r="N92" t="str">
            <v/>
          </cell>
          <cell r="O92" t="str">
            <v/>
          </cell>
          <cell r="P92" t="str">
            <v/>
          </cell>
          <cell r="Q92" t="str">
            <v/>
          </cell>
          <cell r="R92" t="str">
            <v/>
          </cell>
          <cell r="S92" t="str">
            <v/>
          </cell>
          <cell r="T92" t="str">
            <v/>
          </cell>
          <cell r="U92" t="str">
            <v/>
          </cell>
          <cell r="V92" t="str">
            <v>N52</v>
          </cell>
          <cell r="W92" t="str">
            <v/>
          </cell>
          <cell r="X92" t="str">
            <v/>
          </cell>
          <cell r="Y92" t="str">
            <v/>
          </cell>
          <cell r="Z92" t="str">
            <v/>
          </cell>
          <cell r="AA92" t="str">
            <v/>
          </cell>
          <cell r="AB92" t="str">
            <v>PA_4411442-UA.7005-2</v>
          </cell>
          <cell r="AC92">
            <v>1</v>
          </cell>
          <cell r="AD92" t="str">
            <v/>
          </cell>
          <cell r="AE92">
            <v>0</v>
          </cell>
          <cell r="AF92" t="str">
            <v/>
          </cell>
          <cell r="AG92" t="str">
            <v>12527036</v>
          </cell>
          <cell r="AH92">
            <v>44594.923831018517</v>
          </cell>
          <cell r="AI92" t="str">
            <v>N52</v>
          </cell>
          <cell r="AJ92" t="str">
            <v>F</v>
          </cell>
          <cell r="AK92" t="str">
            <v/>
          </cell>
        </row>
        <row r="93">
          <cell r="A93" t="str">
            <v>12529621829053</v>
          </cell>
          <cell r="B93" t="e">
            <v>#N/A</v>
          </cell>
          <cell r="C93">
            <v>10</v>
          </cell>
          <cell r="D93" t="str">
            <v>EK65</v>
          </cell>
          <cell r="E93" t="str">
            <v>506415</v>
          </cell>
          <cell r="F93" t="str">
            <v>E</v>
          </cell>
          <cell r="G93" t="str">
            <v>12529621</v>
          </cell>
          <cell r="H93" t="str">
            <v>Halter</v>
          </cell>
          <cell r="I93">
            <v>25</v>
          </cell>
          <cell r="J93" t="str">
            <v>Stk</v>
          </cell>
          <cell r="K93">
            <v>45223</v>
          </cell>
          <cell r="L93" t="str">
            <v>829053</v>
          </cell>
          <cell r="M93" t="str">
            <v/>
          </cell>
          <cell r="N93" t="str">
            <v/>
          </cell>
          <cell r="O93" t="str">
            <v/>
          </cell>
          <cell r="P93" t="str">
            <v/>
          </cell>
          <cell r="Q93" t="str">
            <v/>
          </cell>
          <cell r="R93" t="str">
            <v/>
          </cell>
          <cell r="S93" t="str">
            <v/>
          </cell>
          <cell r="T93" t="str">
            <v/>
          </cell>
          <cell r="U93" t="str">
            <v/>
          </cell>
          <cell r="V93" t="str">
            <v>N52</v>
          </cell>
          <cell r="W93" t="str">
            <v/>
          </cell>
          <cell r="X93" t="str">
            <v/>
          </cell>
          <cell r="Y93" t="str">
            <v/>
          </cell>
          <cell r="Z93" t="str">
            <v/>
          </cell>
          <cell r="AA93" t="str">
            <v/>
          </cell>
          <cell r="AB93" t="str">
            <v>PA_4399022-UA.7005-3</v>
          </cell>
          <cell r="AC93">
            <v>1</v>
          </cell>
          <cell r="AD93" t="str">
            <v/>
          </cell>
          <cell r="AE93">
            <v>0</v>
          </cell>
          <cell r="AF93" t="str">
            <v/>
          </cell>
          <cell r="AG93" t="str">
            <v>12529621</v>
          </cell>
          <cell r="AH93">
            <v>44594.925254629627</v>
          </cell>
          <cell r="AI93" t="str">
            <v>N52</v>
          </cell>
          <cell r="AJ93" t="str">
            <v>F</v>
          </cell>
          <cell r="AK93" t="str">
            <v/>
          </cell>
        </row>
        <row r="94">
          <cell r="A94" t="str">
            <v>12529738829053</v>
          </cell>
          <cell r="B94" t="e">
            <v>#N/A</v>
          </cell>
          <cell r="C94">
            <v>28</v>
          </cell>
          <cell r="D94" t="str">
            <v>EK65</v>
          </cell>
          <cell r="E94" t="str">
            <v>506416</v>
          </cell>
          <cell r="F94" t="str">
            <v>E</v>
          </cell>
          <cell r="G94" t="str">
            <v>12529738</v>
          </cell>
          <cell r="H94" t="str">
            <v>Halteblech</v>
          </cell>
          <cell r="I94">
            <v>23</v>
          </cell>
          <cell r="J94" t="str">
            <v>Stk</v>
          </cell>
          <cell r="K94">
            <v>45217</v>
          </cell>
          <cell r="L94" t="str">
            <v>829053</v>
          </cell>
          <cell r="M94" t="str">
            <v/>
          </cell>
          <cell r="N94" t="str">
            <v/>
          </cell>
          <cell r="O94" t="str">
            <v/>
          </cell>
          <cell r="P94" t="str">
            <v/>
          </cell>
          <cell r="Q94" t="str">
            <v/>
          </cell>
          <cell r="R94" t="str">
            <v/>
          </cell>
          <cell r="S94" t="str">
            <v/>
          </cell>
          <cell r="T94" t="str">
            <v/>
          </cell>
          <cell r="U94" t="str">
            <v/>
          </cell>
          <cell r="V94" t="str">
            <v>N52</v>
          </cell>
          <cell r="W94" t="str">
            <v/>
          </cell>
          <cell r="X94" t="str">
            <v/>
          </cell>
          <cell r="Y94" t="str">
            <v/>
          </cell>
          <cell r="Z94" t="str">
            <v/>
          </cell>
          <cell r="AA94" t="str">
            <v/>
          </cell>
          <cell r="AB94" t="str">
            <v>PA_2032949-UA.7005-4</v>
          </cell>
          <cell r="AC94">
            <v>1</v>
          </cell>
          <cell r="AD94" t="str">
            <v/>
          </cell>
          <cell r="AE94">
            <v>0</v>
          </cell>
          <cell r="AF94" t="str">
            <v/>
          </cell>
          <cell r="AG94" t="str">
            <v>12529738</v>
          </cell>
          <cell r="AH94">
            <v>44594.92528935185</v>
          </cell>
          <cell r="AI94" t="str">
            <v>N52</v>
          </cell>
          <cell r="AJ94" t="str">
            <v>F</v>
          </cell>
          <cell r="AK94" t="str">
            <v/>
          </cell>
        </row>
        <row r="95">
          <cell r="A95" t="str">
            <v>12529739829053</v>
          </cell>
          <cell r="B95" t="e">
            <v>#N/A</v>
          </cell>
          <cell r="C95">
            <v>23</v>
          </cell>
          <cell r="D95" t="str">
            <v>EK65</v>
          </cell>
          <cell r="E95" t="str">
            <v>506418</v>
          </cell>
          <cell r="F95" t="str">
            <v>E</v>
          </cell>
          <cell r="G95" t="str">
            <v>12529739</v>
          </cell>
          <cell r="H95" t="str">
            <v>Fuehrungsblech</v>
          </cell>
          <cell r="I95">
            <v>25</v>
          </cell>
          <cell r="J95" t="str">
            <v>Stk</v>
          </cell>
          <cell r="K95">
            <v>45204</v>
          </cell>
          <cell r="L95" t="str">
            <v>829053</v>
          </cell>
          <cell r="M95" t="str">
            <v/>
          </cell>
          <cell r="N95" t="str">
            <v/>
          </cell>
          <cell r="O95" t="str">
            <v/>
          </cell>
          <cell r="P95" t="str">
            <v/>
          </cell>
          <cell r="Q95" t="str">
            <v/>
          </cell>
          <cell r="R95" t="str">
            <v/>
          </cell>
          <cell r="S95" t="str">
            <v/>
          </cell>
          <cell r="T95" t="str">
            <v/>
          </cell>
          <cell r="U95" t="str">
            <v/>
          </cell>
          <cell r="V95" t="str">
            <v>N52</v>
          </cell>
          <cell r="W95" t="str">
            <v/>
          </cell>
          <cell r="X95" t="str">
            <v/>
          </cell>
          <cell r="Y95" t="str">
            <v/>
          </cell>
          <cell r="Z95" t="str">
            <v/>
          </cell>
          <cell r="AA95" t="str">
            <v/>
          </cell>
          <cell r="AB95" t="str">
            <v>PA_2032958-UA.7005-4</v>
          </cell>
          <cell r="AC95">
            <v>1</v>
          </cell>
          <cell r="AD95" t="str">
            <v/>
          </cell>
          <cell r="AE95">
            <v>0</v>
          </cell>
          <cell r="AF95" t="str">
            <v/>
          </cell>
          <cell r="AG95" t="str">
            <v>12529739</v>
          </cell>
          <cell r="AH95">
            <v>44594.925300925926</v>
          </cell>
          <cell r="AI95" t="str">
            <v>N52</v>
          </cell>
          <cell r="AJ95" t="str">
            <v>F</v>
          </cell>
          <cell r="AK95" t="str">
            <v/>
          </cell>
        </row>
        <row r="96">
          <cell r="A96" t="str">
            <v>12530152829053</v>
          </cell>
          <cell r="B96" t="e">
            <v>#N/A</v>
          </cell>
          <cell r="C96">
            <v>28</v>
          </cell>
          <cell r="D96" t="str">
            <v>EK65</v>
          </cell>
          <cell r="E96" t="str">
            <v>506420</v>
          </cell>
          <cell r="F96" t="str">
            <v>E</v>
          </cell>
          <cell r="G96" t="str">
            <v>12530152</v>
          </cell>
          <cell r="H96" t="str">
            <v>Winkel</v>
          </cell>
          <cell r="I96">
            <v>74</v>
          </cell>
          <cell r="J96" t="str">
            <v>Stk</v>
          </cell>
          <cell r="K96">
            <v>45223</v>
          </cell>
          <cell r="L96" t="str">
            <v>829053</v>
          </cell>
          <cell r="M96" t="str">
            <v/>
          </cell>
          <cell r="N96" t="str">
            <v/>
          </cell>
          <cell r="O96" t="str">
            <v/>
          </cell>
          <cell r="P96" t="str">
            <v/>
          </cell>
          <cell r="Q96" t="str">
            <v/>
          </cell>
          <cell r="R96" t="str">
            <v/>
          </cell>
          <cell r="S96" t="str">
            <v/>
          </cell>
          <cell r="T96" t="str">
            <v/>
          </cell>
          <cell r="U96" t="str">
            <v/>
          </cell>
          <cell r="V96" t="str">
            <v>N52</v>
          </cell>
          <cell r="W96" t="str">
            <v/>
          </cell>
          <cell r="X96" t="str">
            <v/>
          </cell>
          <cell r="Y96" t="str">
            <v/>
          </cell>
          <cell r="Z96" t="str">
            <v/>
          </cell>
          <cell r="AA96" t="str">
            <v/>
          </cell>
          <cell r="AB96" t="str">
            <v>PA_4521959-UA.7005-3</v>
          </cell>
          <cell r="AC96">
            <v>1</v>
          </cell>
          <cell r="AD96" t="str">
            <v/>
          </cell>
          <cell r="AE96">
            <v>0</v>
          </cell>
          <cell r="AF96" t="str">
            <v/>
          </cell>
          <cell r="AG96" t="str">
            <v>12530152</v>
          </cell>
          <cell r="AH96">
            <v>44594.925335648149</v>
          </cell>
          <cell r="AI96" t="str">
            <v>N52</v>
          </cell>
          <cell r="AJ96" t="str">
            <v>F</v>
          </cell>
          <cell r="AK96" t="str">
            <v/>
          </cell>
        </row>
        <row r="97">
          <cell r="A97" t="str">
            <v>12530152829054</v>
          </cell>
          <cell r="B97" t="e">
            <v>#N/A</v>
          </cell>
          <cell r="C97">
            <v>28</v>
          </cell>
          <cell r="D97" t="str">
            <v>EK65</v>
          </cell>
          <cell r="E97" t="str">
            <v>506421</v>
          </cell>
          <cell r="F97" t="str">
            <v>E</v>
          </cell>
          <cell r="G97" t="str">
            <v>12530152</v>
          </cell>
          <cell r="H97" t="str">
            <v>Winkel</v>
          </cell>
          <cell r="I97">
            <v>19</v>
          </cell>
          <cell r="J97" t="str">
            <v>Stk</v>
          </cell>
          <cell r="K97">
            <v>45261</v>
          </cell>
          <cell r="L97" t="str">
            <v>829054</v>
          </cell>
          <cell r="M97" t="str">
            <v/>
          </cell>
          <cell r="N97" t="str">
            <v/>
          </cell>
          <cell r="O97" t="str">
            <v/>
          </cell>
          <cell r="P97" t="str">
            <v/>
          </cell>
          <cell r="Q97" t="str">
            <v/>
          </cell>
          <cell r="R97" t="str">
            <v/>
          </cell>
          <cell r="S97" t="str">
            <v/>
          </cell>
          <cell r="T97" t="str">
            <v/>
          </cell>
          <cell r="U97" t="str">
            <v/>
          </cell>
          <cell r="V97" t="str">
            <v>N52</v>
          </cell>
          <cell r="W97" t="str">
            <v/>
          </cell>
          <cell r="X97" t="str">
            <v/>
          </cell>
          <cell r="Y97" t="str">
            <v/>
          </cell>
          <cell r="Z97" t="str">
            <v/>
          </cell>
          <cell r="AA97" t="str">
            <v/>
          </cell>
          <cell r="AB97" t="str">
            <v>PA_4521959-UA.7005-3</v>
          </cell>
          <cell r="AC97">
            <v>1</v>
          </cell>
          <cell r="AD97" t="str">
            <v/>
          </cell>
          <cell r="AE97">
            <v>0</v>
          </cell>
          <cell r="AF97" t="str">
            <v/>
          </cell>
          <cell r="AG97" t="str">
            <v>12530152</v>
          </cell>
          <cell r="AH97">
            <v>44594.925335648149</v>
          </cell>
          <cell r="AI97" t="str">
            <v>N52</v>
          </cell>
          <cell r="AJ97" t="str">
            <v>F</v>
          </cell>
          <cell r="AK97" t="str">
            <v/>
          </cell>
        </row>
        <row r="98">
          <cell r="A98" t="str">
            <v>12530244829053</v>
          </cell>
          <cell r="B98" t="e">
            <v>#N/A</v>
          </cell>
          <cell r="C98">
            <v>16</v>
          </cell>
          <cell r="D98" t="str">
            <v>EK65</v>
          </cell>
          <cell r="E98" t="str">
            <v>506424</v>
          </cell>
          <cell r="F98" t="str">
            <v>E</v>
          </cell>
          <cell r="G98" t="str">
            <v>12530244</v>
          </cell>
          <cell r="H98" t="str">
            <v>Halter</v>
          </cell>
          <cell r="I98">
            <v>23</v>
          </cell>
          <cell r="J98" t="str">
            <v>Stk</v>
          </cell>
          <cell r="K98">
            <v>45237</v>
          </cell>
          <cell r="L98" t="str">
            <v>829053</v>
          </cell>
          <cell r="M98" t="str">
            <v/>
          </cell>
          <cell r="N98" t="str">
            <v/>
          </cell>
          <cell r="O98" t="str">
            <v/>
          </cell>
          <cell r="P98" t="str">
            <v/>
          </cell>
          <cell r="Q98" t="str">
            <v/>
          </cell>
          <cell r="R98" t="str">
            <v/>
          </cell>
          <cell r="S98" t="str">
            <v/>
          </cell>
          <cell r="T98" t="str">
            <v/>
          </cell>
          <cell r="U98" t="str">
            <v/>
          </cell>
          <cell r="V98" t="str">
            <v>N52</v>
          </cell>
          <cell r="W98" t="str">
            <v/>
          </cell>
          <cell r="X98" t="str">
            <v/>
          </cell>
          <cell r="Y98" t="str">
            <v/>
          </cell>
          <cell r="Z98" t="str">
            <v/>
          </cell>
          <cell r="AA98" t="str">
            <v/>
          </cell>
          <cell r="AB98" t="str">
            <v>PA_4455284-UA.7005-3</v>
          </cell>
          <cell r="AC98">
            <v>1</v>
          </cell>
          <cell r="AD98" t="str">
            <v/>
          </cell>
          <cell r="AE98">
            <v>0</v>
          </cell>
          <cell r="AF98" t="str">
            <v/>
          </cell>
          <cell r="AG98" t="str">
            <v>12530244</v>
          </cell>
          <cell r="AH98">
            <v>44594.925405092596</v>
          </cell>
          <cell r="AI98" t="str">
            <v>N52</v>
          </cell>
          <cell r="AJ98" t="str">
            <v>F</v>
          </cell>
          <cell r="AK98" t="str">
            <v/>
          </cell>
        </row>
        <row r="99">
          <cell r="A99" t="str">
            <v>12530244829054</v>
          </cell>
          <cell r="B99" t="e">
            <v>#N/A</v>
          </cell>
          <cell r="C99">
            <v>16</v>
          </cell>
          <cell r="D99" t="str">
            <v>EK65</v>
          </cell>
          <cell r="E99" t="str">
            <v>506425</v>
          </cell>
          <cell r="F99" t="str">
            <v>E</v>
          </cell>
          <cell r="G99" t="str">
            <v>12530244</v>
          </cell>
          <cell r="H99" t="str">
            <v>Halter</v>
          </cell>
          <cell r="I99">
            <v>4</v>
          </cell>
          <cell r="J99" t="str">
            <v>Stk</v>
          </cell>
          <cell r="K99">
            <v>45337</v>
          </cell>
          <cell r="L99" t="str">
            <v>829054</v>
          </cell>
          <cell r="M99" t="str">
            <v/>
          </cell>
          <cell r="N99" t="str">
            <v/>
          </cell>
          <cell r="O99" t="str">
            <v/>
          </cell>
          <cell r="P99" t="str">
            <v/>
          </cell>
          <cell r="Q99" t="str">
            <v/>
          </cell>
          <cell r="R99" t="str">
            <v/>
          </cell>
          <cell r="S99" t="str">
            <v/>
          </cell>
          <cell r="T99" t="str">
            <v/>
          </cell>
          <cell r="U99" t="str">
            <v/>
          </cell>
          <cell r="V99" t="str">
            <v>N52</v>
          </cell>
          <cell r="W99" t="str">
            <v/>
          </cell>
          <cell r="X99" t="str">
            <v/>
          </cell>
          <cell r="Y99" t="str">
            <v/>
          </cell>
          <cell r="Z99" t="str">
            <v/>
          </cell>
          <cell r="AA99" t="str">
            <v/>
          </cell>
          <cell r="AB99" t="str">
            <v>PA_4455284-UA.7005-3</v>
          </cell>
          <cell r="AC99">
            <v>1</v>
          </cell>
          <cell r="AD99" t="str">
            <v/>
          </cell>
          <cell r="AE99">
            <v>0</v>
          </cell>
          <cell r="AF99" t="str">
            <v/>
          </cell>
          <cell r="AG99" t="str">
            <v>12530244</v>
          </cell>
          <cell r="AH99">
            <v>44594.925405092596</v>
          </cell>
          <cell r="AI99" t="str">
            <v>N52</v>
          </cell>
          <cell r="AJ99" t="str">
            <v>F</v>
          </cell>
          <cell r="AK99" t="str">
            <v/>
          </cell>
        </row>
        <row r="100">
          <cell r="A100" t="str">
            <v>12530246829053</v>
          </cell>
          <cell r="B100" t="e">
            <v>#N/A</v>
          </cell>
          <cell r="C100">
            <v>24</v>
          </cell>
          <cell r="D100" t="str">
            <v>EK65</v>
          </cell>
          <cell r="E100" t="str">
            <v>506426</v>
          </cell>
          <cell r="F100" t="str">
            <v>E</v>
          </cell>
          <cell r="G100" t="str">
            <v>12530246</v>
          </cell>
          <cell r="H100" t="str">
            <v>Halter</v>
          </cell>
          <cell r="I100">
            <v>23</v>
          </cell>
          <cell r="J100" t="str">
            <v>Stk</v>
          </cell>
          <cell r="K100">
            <v>45237</v>
          </cell>
          <cell r="L100" t="str">
            <v>829053</v>
          </cell>
          <cell r="M100" t="str">
            <v/>
          </cell>
          <cell r="N100" t="str">
            <v/>
          </cell>
          <cell r="O100" t="str">
            <v/>
          </cell>
          <cell r="P100" t="str">
            <v/>
          </cell>
          <cell r="Q100" t="str">
            <v/>
          </cell>
          <cell r="R100" t="str">
            <v/>
          </cell>
          <cell r="S100" t="str">
            <v/>
          </cell>
          <cell r="T100" t="str">
            <v/>
          </cell>
          <cell r="U100" t="str">
            <v/>
          </cell>
          <cell r="V100" t="str">
            <v>N52</v>
          </cell>
          <cell r="W100" t="str">
            <v/>
          </cell>
          <cell r="X100" t="str">
            <v/>
          </cell>
          <cell r="Y100" t="str">
            <v/>
          </cell>
          <cell r="Z100" t="str">
            <v/>
          </cell>
          <cell r="AA100" t="str">
            <v/>
          </cell>
          <cell r="AB100" t="str">
            <v>PA_4453771-UA.7005-3</v>
          </cell>
          <cell r="AC100">
            <v>1</v>
          </cell>
          <cell r="AD100" t="str">
            <v/>
          </cell>
          <cell r="AE100">
            <v>0</v>
          </cell>
          <cell r="AF100" t="str">
            <v/>
          </cell>
          <cell r="AG100" t="str">
            <v>12530246</v>
          </cell>
          <cell r="AH100">
            <v>44594.925428240742</v>
          </cell>
          <cell r="AI100" t="str">
            <v>N52</v>
          </cell>
          <cell r="AJ100" t="str">
            <v>F</v>
          </cell>
          <cell r="AK100" t="str">
            <v/>
          </cell>
        </row>
        <row r="101">
          <cell r="A101" t="str">
            <v>12530246829054</v>
          </cell>
          <cell r="B101" t="e">
            <v>#N/A</v>
          </cell>
          <cell r="C101">
            <v>24</v>
          </cell>
          <cell r="D101" t="str">
            <v>EK65</v>
          </cell>
          <cell r="E101" t="str">
            <v>506427</v>
          </cell>
          <cell r="F101" t="str">
            <v>E</v>
          </cell>
          <cell r="G101" t="str">
            <v>12530246</v>
          </cell>
          <cell r="H101" t="str">
            <v>Halter</v>
          </cell>
          <cell r="I101">
            <v>4</v>
          </cell>
          <cell r="J101" t="str">
            <v>Stk</v>
          </cell>
          <cell r="K101">
            <v>45337</v>
          </cell>
          <cell r="L101" t="str">
            <v>829054</v>
          </cell>
          <cell r="M101" t="str">
            <v/>
          </cell>
          <cell r="N101" t="str">
            <v/>
          </cell>
          <cell r="O101" t="str">
            <v/>
          </cell>
          <cell r="P101" t="str">
            <v/>
          </cell>
          <cell r="Q101" t="str">
            <v/>
          </cell>
          <cell r="R101" t="str">
            <v/>
          </cell>
          <cell r="S101" t="str">
            <v/>
          </cell>
          <cell r="T101" t="str">
            <v/>
          </cell>
          <cell r="U101" t="str">
            <v/>
          </cell>
          <cell r="V101" t="str">
            <v>N52</v>
          </cell>
          <cell r="W101" t="str">
            <v/>
          </cell>
          <cell r="X101" t="str">
            <v/>
          </cell>
          <cell r="Y101" t="str">
            <v/>
          </cell>
          <cell r="Z101" t="str">
            <v/>
          </cell>
          <cell r="AA101" t="str">
            <v/>
          </cell>
          <cell r="AB101" t="str">
            <v>PA_4453771-UA.7005-3</v>
          </cell>
          <cell r="AC101">
            <v>1</v>
          </cell>
          <cell r="AD101" t="str">
            <v/>
          </cell>
          <cell r="AE101">
            <v>0</v>
          </cell>
          <cell r="AF101" t="str">
            <v/>
          </cell>
          <cell r="AG101" t="str">
            <v>12530246</v>
          </cell>
          <cell r="AH101">
            <v>44594.925428240742</v>
          </cell>
          <cell r="AI101" t="str">
            <v>N52</v>
          </cell>
          <cell r="AJ101" t="str">
            <v>F</v>
          </cell>
          <cell r="AK101" t="str">
            <v/>
          </cell>
        </row>
        <row r="102">
          <cell r="A102" t="str">
            <v>12530247829053</v>
          </cell>
          <cell r="B102" t="e">
            <v>#N/A</v>
          </cell>
          <cell r="C102">
            <v>18</v>
          </cell>
          <cell r="D102" t="str">
            <v>EK65</v>
          </cell>
          <cell r="E102" t="str">
            <v>506428</v>
          </cell>
          <cell r="F102" t="str">
            <v>E</v>
          </cell>
          <cell r="G102" t="str">
            <v>12530247</v>
          </cell>
          <cell r="H102" t="str">
            <v>Halter_LVA</v>
          </cell>
          <cell r="I102">
            <v>3</v>
          </cell>
          <cell r="J102" t="str">
            <v>Stk</v>
          </cell>
          <cell r="K102">
            <v>45387</v>
          </cell>
          <cell r="L102" t="str">
            <v>829053</v>
          </cell>
          <cell r="M102" t="str">
            <v/>
          </cell>
          <cell r="N102" t="str">
            <v/>
          </cell>
          <cell r="O102" t="str">
            <v/>
          </cell>
          <cell r="P102" t="str">
            <v/>
          </cell>
          <cell r="Q102" t="str">
            <v/>
          </cell>
          <cell r="R102" t="str">
            <v/>
          </cell>
          <cell r="S102" t="str">
            <v/>
          </cell>
          <cell r="T102" t="str">
            <v/>
          </cell>
          <cell r="U102" t="str">
            <v/>
          </cell>
          <cell r="V102" t="str">
            <v>N52</v>
          </cell>
          <cell r="W102" t="str">
            <v/>
          </cell>
          <cell r="X102" t="str">
            <v/>
          </cell>
          <cell r="Y102" t="str">
            <v/>
          </cell>
          <cell r="Z102" t="str">
            <v/>
          </cell>
          <cell r="AA102" t="str">
            <v/>
          </cell>
          <cell r="AB102" t="str">
            <v>PA_4415886-UA.7005-3</v>
          </cell>
          <cell r="AC102">
            <v>1</v>
          </cell>
          <cell r="AD102" t="str">
            <v/>
          </cell>
          <cell r="AE102">
            <v>0</v>
          </cell>
          <cell r="AF102" t="str">
            <v/>
          </cell>
          <cell r="AG102" t="str">
            <v>12530247</v>
          </cell>
          <cell r="AH102">
            <v>44594.925439814811</v>
          </cell>
          <cell r="AI102" t="str">
            <v>N52</v>
          </cell>
          <cell r="AJ102" t="str">
            <v>F</v>
          </cell>
          <cell r="AK102" t="str">
            <v/>
          </cell>
        </row>
        <row r="103">
          <cell r="A103" t="str">
            <v>12530250829053</v>
          </cell>
          <cell r="B103" t="e">
            <v>#N/A</v>
          </cell>
          <cell r="C103">
            <v>24</v>
          </cell>
          <cell r="D103" t="str">
            <v>EK65</v>
          </cell>
          <cell r="E103" t="str">
            <v>506432</v>
          </cell>
          <cell r="F103" t="str">
            <v>E</v>
          </cell>
          <cell r="G103" t="str">
            <v>12530250</v>
          </cell>
          <cell r="H103" t="str">
            <v>Halter</v>
          </cell>
          <cell r="I103">
            <v>23</v>
          </cell>
          <cell r="J103" t="str">
            <v>Stk</v>
          </cell>
          <cell r="K103">
            <v>45237</v>
          </cell>
          <cell r="L103" t="str">
            <v>829053</v>
          </cell>
          <cell r="M103" t="str">
            <v/>
          </cell>
          <cell r="N103" t="str">
            <v/>
          </cell>
          <cell r="O103" t="str">
            <v/>
          </cell>
          <cell r="P103" t="str">
            <v/>
          </cell>
          <cell r="Q103" t="str">
            <v/>
          </cell>
          <cell r="R103" t="str">
            <v/>
          </cell>
          <cell r="S103" t="str">
            <v/>
          </cell>
          <cell r="T103" t="str">
            <v/>
          </cell>
          <cell r="U103" t="str">
            <v/>
          </cell>
          <cell r="V103" t="str">
            <v>N52</v>
          </cell>
          <cell r="W103" t="str">
            <v/>
          </cell>
          <cell r="X103" t="str">
            <v/>
          </cell>
          <cell r="Y103" t="str">
            <v/>
          </cell>
          <cell r="Z103" t="str">
            <v/>
          </cell>
          <cell r="AA103" t="str">
            <v/>
          </cell>
          <cell r="AB103" t="str">
            <v>PA_4537164-UA.7005-3</v>
          </cell>
          <cell r="AC103">
            <v>1</v>
          </cell>
          <cell r="AD103" t="str">
            <v/>
          </cell>
          <cell r="AE103">
            <v>0</v>
          </cell>
          <cell r="AF103" t="str">
            <v/>
          </cell>
          <cell r="AG103" t="str">
            <v>12530250</v>
          </cell>
          <cell r="AH103">
            <v>44594.925474537034</v>
          </cell>
          <cell r="AI103" t="str">
            <v>N52</v>
          </cell>
          <cell r="AJ103" t="str">
            <v>F</v>
          </cell>
          <cell r="AK103" t="str">
            <v/>
          </cell>
        </row>
        <row r="104">
          <cell r="A104" t="str">
            <v>12530250829054</v>
          </cell>
          <cell r="B104" t="e">
            <v>#N/A</v>
          </cell>
          <cell r="C104">
            <v>24</v>
          </cell>
          <cell r="D104" t="str">
            <v>EK65</v>
          </cell>
          <cell r="E104" t="str">
            <v>506433</v>
          </cell>
          <cell r="F104" t="str">
            <v>E</v>
          </cell>
          <cell r="G104" t="str">
            <v>12530250</v>
          </cell>
          <cell r="H104" t="str">
            <v>Halter</v>
          </cell>
          <cell r="I104">
            <v>4</v>
          </cell>
          <cell r="J104" t="str">
            <v>Stk</v>
          </cell>
          <cell r="K104">
            <v>45337</v>
          </cell>
          <cell r="L104" t="str">
            <v>829054</v>
          </cell>
          <cell r="M104" t="str">
            <v/>
          </cell>
          <cell r="N104" t="str">
            <v/>
          </cell>
          <cell r="O104" t="str">
            <v/>
          </cell>
          <cell r="P104" t="str">
            <v/>
          </cell>
          <cell r="Q104" t="str">
            <v/>
          </cell>
          <cell r="R104" t="str">
            <v/>
          </cell>
          <cell r="S104" t="str">
            <v/>
          </cell>
          <cell r="T104" t="str">
            <v/>
          </cell>
          <cell r="U104" t="str">
            <v/>
          </cell>
          <cell r="V104" t="str">
            <v>N52</v>
          </cell>
          <cell r="W104" t="str">
            <v/>
          </cell>
          <cell r="X104" t="str">
            <v/>
          </cell>
          <cell r="Y104" t="str">
            <v/>
          </cell>
          <cell r="Z104" t="str">
            <v/>
          </cell>
          <cell r="AA104" t="str">
            <v/>
          </cell>
          <cell r="AB104" t="str">
            <v>PA_4537164-UA.7005-3</v>
          </cell>
          <cell r="AC104">
            <v>1</v>
          </cell>
          <cell r="AD104" t="str">
            <v/>
          </cell>
          <cell r="AE104">
            <v>0</v>
          </cell>
          <cell r="AF104" t="str">
            <v/>
          </cell>
          <cell r="AG104" t="str">
            <v>12530250</v>
          </cell>
          <cell r="AH104">
            <v>44594.925474537034</v>
          </cell>
          <cell r="AI104" t="str">
            <v>N52</v>
          </cell>
          <cell r="AJ104" t="str">
            <v>F</v>
          </cell>
          <cell r="AK104" t="str">
            <v/>
          </cell>
        </row>
        <row r="105">
          <cell r="A105" t="str">
            <v>12534046829053</v>
          </cell>
          <cell r="B105" t="e">
            <v>#N/A</v>
          </cell>
          <cell r="C105">
            <v>12</v>
          </cell>
          <cell r="D105" t="str">
            <v>EK65</v>
          </cell>
          <cell r="E105" t="str">
            <v>506450</v>
          </cell>
          <cell r="F105" t="str">
            <v>E</v>
          </cell>
          <cell r="G105" t="str">
            <v>12534046</v>
          </cell>
          <cell r="H105" t="str">
            <v>Klemmbuchse ID8,5 AD24 H13,5</v>
          </cell>
          <cell r="I105">
            <v>207</v>
          </cell>
          <cell r="J105" t="str">
            <v>Stk</v>
          </cell>
          <cell r="K105">
            <v>45195</v>
          </cell>
          <cell r="L105" t="str">
            <v>829053</v>
          </cell>
          <cell r="M105" t="str">
            <v/>
          </cell>
          <cell r="N105" t="str">
            <v/>
          </cell>
          <cell r="O105" t="str">
            <v/>
          </cell>
          <cell r="P105" t="str">
            <v/>
          </cell>
          <cell r="Q105" t="str">
            <v/>
          </cell>
          <cell r="R105" t="str">
            <v/>
          </cell>
          <cell r="S105" t="str">
            <v/>
          </cell>
          <cell r="T105" t="str">
            <v/>
          </cell>
          <cell r="U105" t="str">
            <v/>
          </cell>
          <cell r="V105" t="str">
            <v>N52</v>
          </cell>
          <cell r="W105" t="str">
            <v/>
          </cell>
          <cell r="X105" t="str">
            <v/>
          </cell>
          <cell r="Y105" t="str">
            <v/>
          </cell>
          <cell r="Z105" t="str">
            <v/>
          </cell>
          <cell r="AA105" t="str">
            <v/>
          </cell>
          <cell r="AB105" t="str">
            <v>PA_4350003-UA.7005-4</v>
          </cell>
          <cell r="AC105">
            <v>1</v>
          </cell>
          <cell r="AD105" t="str">
            <v/>
          </cell>
          <cell r="AE105">
            <v>0</v>
          </cell>
          <cell r="AF105" t="str">
            <v/>
          </cell>
          <cell r="AG105" t="str">
            <v>12534046</v>
          </cell>
          <cell r="AH105">
            <v>44594.927569444444</v>
          </cell>
          <cell r="AI105" t="str">
            <v>N52</v>
          </cell>
          <cell r="AJ105" t="str">
            <v>F</v>
          </cell>
          <cell r="AK105" t="str">
            <v/>
          </cell>
        </row>
        <row r="106">
          <cell r="A106" t="str">
            <v>12541522829053</v>
          </cell>
          <cell r="B106" t="e">
            <v>#N/A</v>
          </cell>
          <cell r="C106">
            <v>4</v>
          </cell>
          <cell r="D106" t="str">
            <v>EK65</v>
          </cell>
          <cell r="E106" t="str">
            <v>506471</v>
          </cell>
          <cell r="F106" t="str">
            <v>E</v>
          </cell>
          <cell r="G106" t="str">
            <v>12541522</v>
          </cell>
          <cell r="H106" t="str">
            <v>Klemmbuchse ID8,5 AD24 H15</v>
          </cell>
          <cell r="I106">
            <v>77</v>
          </cell>
          <cell r="J106" t="str">
            <v>Stk</v>
          </cell>
          <cell r="K106">
            <v>45204</v>
          </cell>
          <cell r="L106" t="str">
            <v>829053</v>
          </cell>
          <cell r="M106" t="str">
            <v/>
          </cell>
          <cell r="N106" t="str">
            <v/>
          </cell>
          <cell r="O106" t="str">
            <v/>
          </cell>
          <cell r="P106" t="str">
            <v/>
          </cell>
          <cell r="Q106" t="str">
            <v/>
          </cell>
          <cell r="R106" t="str">
            <v/>
          </cell>
          <cell r="S106" t="str">
            <v/>
          </cell>
          <cell r="T106" t="str">
            <v/>
          </cell>
          <cell r="U106" t="str">
            <v/>
          </cell>
          <cell r="V106" t="str">
            <v>N52</v>
          </cell>
          <cell r="W106" t="str">
            <v/>
          </cell>
          <cell r="X106" t="str">
            <v/>
          </cell>
          <cell r="Y106" t="str">
            <v/>
          </cell>
          <cell r="Z106" t="str">
            <v/>
          </cell>
          <cell r="AA106" t="str">
            <v/>
          </cell>
          <cell r="AB106" t="str">
            <v>PA_4660159-UA.7005-4</v>
          </cell>
          <cell r="AC106">
            <v>1</v>
          </cell>
          <cell r="AD106" t="str">
            <v/>
          </cell>
          <cell r="AE106">
            <v>0</v>
          </cell>
          <cell r="AF106" t="str">
            <v/>
          </cell>
          <cell r="AG106" t="str">
            <v>12541522</v>
          </cell>
          <cell r="AH106">
            <v>44594.928298611114</v>
          </cell>
          <cell r="AI106" t="str">
            <v>N52</v>
          </cell>
          <cell r="AJ106" t="str">
            <v>F</v>
          </cell>
          <cell r="AK106" t="str">
            <v/>
          </cell>
        </row>
        <row r="107">
          <cell r="A107" t="str">
            <v>12527588829054</v>
          </cell>
          <cell r="B107" t="e">
            <v>#N/A</v>
          </cell>
          <cell r="C107">
            <v>5</v>
          </cell>
          <cell r="D107" t="str">
            <v>EK65</v>
          </cell>
          <cell r="E107" t="str">
            <v>507726</v>
          </cell>
          <cell r="F107" t="str">
            <v>E</v>
          </cell>
          <cell r="G107" t="str">
            <v>12527588</v>
          </cell>
          <cell r="H107" t="str">
            <v>Kabelhalter Sitzgestell</v>
          </cell>
          <cell r="I107">
            <v>17</v>
          </cell>
          <cell r="J107" t="str">
            <v>Stk</v>
          </cell>
          <cell r="K107">
            <v>45210</v>
          </cell>
          <cell r="L107" t="str">
            <v>829054</v>
          </cell>
          <cell r="M107" t="str">
            <v/>
          </cell>
          <cell r="N107" t="str">
            <v/>
          </cell>
          <cell r="O107" t="str">
            <v/>
          </cell>
          <cell r="P107" t="str">
            <v/>
          </cell>
          <cell r="Q107" t="str">
            <v/>
          </cell>
          <cell r="R107" t="str">
            <v/>
          </cell>
          <cell r="S107" t="str">
            <v/>
          </cell>
          <cell r="T107" t="str">
            <v/>
          </cell>
          <cell r="U107" t="str">
            <v/>
          </cell>
          <cell r="V107" t="str">
            <v>N52</v>
          </cell>
          <cell r="W107" t="str">
            <v/>
          </cell>
          <cell r="X107" t="str">
            <v/>
          </cell>
          <cell r="Y107" t="str">
            <v/>
          </cell>
          <cell r="Z107" t="str">
            <v/>
          </cell>
          <cell r="AA107" t="str">
            <v/>
          </cell>
          <cell r="AB107" t="str">
            <v>PA_4419135-UA.7005-3</v>
          </cell>
          <cell r="AC107">
            <v>1</v>
          </cell>
          <cell r="AD107" t="str">
            <v/>
          </cell>
          <cell r="AE107">
            <v>0</v>
          </cell>
          <cell r="AF107" t="str">
            <v/>
          </cell>
          <cell r="AG107" t="str">
            <v>12527588</v>
          </cell>
          <cell r="AH107">
            <v>44599.95684027778</v>
          </cell>
          <cell r="AI107" t="str">
            <v>N52</v>
          </cell>
          <cell r="AJ107" t="str">
            <v>F</v>
          </cell>
          <cell r="AK107" t="str">
            <v/>
          </cell>
        </row>
        <row r="108">
          <cell r="A108" t="str">
            <v>12502997829051</v>
          </cell>
          <cell r="B108" t="e">
            <v>#N/A</v>
          </cell>
          <cell r="C108">
            <v>32</v>
          </cell>
          <cell r="D108" t="str">
            <v>EK65</v>
          </cell>
          <cell r="E108" t="str">
            <v>514807</v>
          </cell>
          <cell r="F108" t="str">
            <v>E</v>
          </cell>
          <cell r="G108" t="str">
            <v>12502997</v>
          </cell>
          <cell r="H108" t="str">
            <v>Klemmbuchse ID6,5 AD15 H3</v>
          </cell>
          <cell r="I108">
            <v>2992</v>
          </cell>
          <cell r="J108" t="str">
            <v>Stk</v>
          </cell>
          <cell r="K108">
            <v>45315</v>
          </cell>
          <cell r="L108" t="str">
            <v>829051</v>
          </cell>
          <cell r="M108" t="str">
            <v/>
          </cell>
          <cell r="N108" t="str">
            <v/>
          </cell>
          <cell r="O108" t="str">
            <v/>
          </cell>
          <cell r="P108" t="str">
            <v/>
          </cell>
          <cell r="Q108" t="str">
            <v/>
          </cell>
          <cell r="R108" t="str">
            <v/>
          </cell>
          <cell r="S108" t="str">
            <v/>
          </cell>
          <cell r="T108" t="str">
            <v/>
          </cell>
          <cell r="U108" t="str">
            <v/>
          </cell>
          <cell r="V108" t="str">
            <v>N52</v>
          </cell>
          <cell r="W108" t="str">
            <v/>
          </cell>
          <cell r="X108" t="str">
            <v/>
          </cell>
          <cell r="Y108" t="str">
            <v/>
          </cell>
          <cell r="Z108" t="str">
            <v/>
          </cell>
          <cell r="AA108" t="str">
            <v/>
          </cell>
          <cell r="AB108" t="str">
            <v>PA_4425990-UA.7005-4</v>
          </cell>
          <cell r="AC108">
            <v>1</v>
          </cell>
          <cell r="AD108" t="str">
            <v/>
          </cell>
          <cell r="AE108">
            <v>0</v>
          </cell>
          <cell r="AF108" t="str">
            <v/>
          </cell>
          <cell r="AG108" t="str">
            <v>12502997</v>
          </cell>
          <cell r="AH108">
            <v>44609.932534722226</v>
          </cell>
          <cell r="AI108" t="str">
            <v>N52</v>
          </cell>
          <cell r="AJ108" t="str">
            <v>F</v>
          </cell>
          <cell r="AK108" t="str">
            <v/>
          </cell>
        </row>
        <row r="109">
          <cell r="A109" t="str">
            <v>12530152829051</v>
          </cell>
          <cell r="B109" t="e">
            <v>#N/A</v>
          </cell>
          <cell r="C109">
            <v>28</v>
          </cell>
          <cell r="D109" t="str">
            <v>EK65</v>
          </cell>
          <cell r="E109" t="str">
            <v>514882</v>
          </cell>
          <cell r="F109" t="str">
            <v>E</v>
          </cell>
          <cell r="G109" t="str">
            <v>12530152</v>
          </cell>
          <cell r="H109" t="str">
            <v>Winkel</v>
          </cell>
          <cell r="I109">
            <v>134</v>
          </cell>
          <cell r="J109" t="str">
            <v>Stk</v>
          </cell>
          <cell r="K109">
            <v>45331</v>
          </cell>
          <cell r="L109" t="str">
            <v>829051</v>
          </cell>
          <cell r="M109" t="str">
            <v/>
          </cell>
          <cell r="N109" t="str">
            <v/>
          </cell>
          <cell r="O109" t="str">
            <v/>
          </cell>
          <cell r="P109" t="str">
            <v/>
          </cell>
          <cell r="Q109" t="str">
            <v/>
          </cell>
          <cell r="R109" t="str">
            <v/>
          </cell>
          <cell r="S109" t="str">
            <v/>
          </cell>
          <cell r="T109" t="str">
            <v/>
          </cell>
          <cell r="U109" t="str">
            <v/>
          </cell>
          <cell r="V109" t="str">
            <v>N52</v>
          </cell>
          <cell r="W109" t="str">
            <v/>
          </cell>
          <cell r="X109" t="str">
            <v/>
          </cell>
          <cell r="Y109" t="str">
            <v/>
          </cell>
          <cell r="Z109" t="str">
            <v/>
          </cell>
          <cell r="AA109" t="str">
            <v/>
          </cell>
          <cell r="AB109" t="str">
            <v>PA_4521959-UA.7005-3</v>
          </cell>
          <cell r="AC109">
            <v>1</v>
          </cell>
          <cell r="AD109" t="str">
            <v/>
          </cell>
          <cell r="AE109">
            <v>0</v>
          </cell>
          <cell r="AF109" t="str">
            <v/>
          </cell>
          <cell r="AG109" t="str">
            <v>12530152</v>
          </cell>
          <cell r="AH109">
            <v>44609.934942129628</v>
          </cell>
          <cell r="AI109" t="str">
            <v>N52</v>
          </cell>
          <cell r="AJ109" t="str">
            <v>F</v>
          </cell>
          <cell r="AK109" t="str">
            <v/>
          </cell>
        </row>
        <row r="110">
          <cell r="A110" t="str">
            <v>12530152829052</v>
          </cell>
          <cell r="B110" t="e">
            <v>#N/A</v>
          </cell>
          <cell r="C110">
            <v>28</v>
          </cell>
          <cell r="D110" t="str">
            <v>EK65</v>
          </cell>
          <cell r="E110" t="str">
            <v>514883</v>
          </cell>
          <cell r="F110" t="str">
            <v>E</v>
          </cell>
          <cell r="G110" t="str">
            <v>12530152</v>
          </cell>
          <cell r="H110" t="str">
            <v>Winkel</v>
          </cell>
          <cell r="I110">
            <v>44</v>
          </cell>
          <cell r="J110" t="str">
            <v>Stk</v>
          </cell>
          <cell r="K110">
            <v>45366</v>
          </cell>
          <cell r="L110" t="str">
            <v>829052</v>
          </cell>
          <cell r="M110" t="str">
            <v/>
          </cell>
          <cell r="N110" t="str">
            <v/>
          </cell>
          <cell r="O110" t="str">
            <v/>
          </cell>
          <cell r="P110" t="str">
            <v/>
          </cell>
          <cell r="Q110" t="str">
            <v/>
          </cell>
          <cell r="R110" t="str">
            <v/>
          </cell>
          <cell r="S110" t="str">
            <v/>
          </cell>
          <cell r="T110" t="str">
            <v/>
          </cell>
          <cell r="U110" t="str">
            <v/>
          </cell>
          <cell r="V110" t="str">
            <v>N52</v>
          </cell>
          <cell r="W110" t="str">
            <v/>
          </cell>
          <cell r="X110" t="str">
            <v/>
          </cell>
          <cell r="Y110" t="str">
            <v/>
          </cell>
          <cell r="Z110" t="str">
            <v/>
          </cell>
          <cell r="AA110" t="str">
            <v/>
          </cell>
          <cell r="AB110" t="str">
            <v>PA_4521959-UA.7005-3</v>
          </cell>
          <cell r="AC110">
            <v>1</v>
          </cell>
          <cell r="AD110" t="str">
            <v/>
          </cell>
          <cell r="AE110">
            <v>0</v>
          </cell>
          <cell r="AF110" t="str">
            <v/>
          </cell>
          <cell r="AG110" t="str">
            <v>12530152</v>
          </cell>
          <cell r="AH110">
            <v>44609.934942129628</v>
          </cell>
          <cell r="AI110" t="str">
            <v>N52</v>
          </cell>
          <cell r="AJ110" t="str">
            <v>F</v>
          </cell>
          <cell r="AK110" t="str">
            <v/>
          </cell>
        </row>
        <row r="111">
          <cell r="A111" t="str">
            <v>12534046829054</v>
          </cell>
          <cell r="B111" t="e">
            <v>#N/A</v>
          </cell>
          <cell r="C111">
            <v>12</v>
          </cell>
          <cell r="D111" t="str">
            <v>EK65</v>
          </cell>
          <cell r="E111" t="str">
            <v>514897</v>
          </cell>
          <cell r="F111" t="str">
            <v>E</v>
          </cell>
          <cell r="G111" t="str">
            <v>12534046</v>
          </cell>
          <cell r="H111" t="str">
            <v>Klemmbuchse ID8,5 AD24 H13,5</v>
          </cell>
          <cell r="I111">
            <v>72</v>
          </cell>
          <cell r="J111" t="str">
            <v>Stk</v>
          </cell>
          <cell r="K111">
            <v>45205</v>
          </cell>
          <cell r="L111" t="str">
            <v>829054</v>
          </cell>
          <cell r="M111" t="str">
            <v/>
          </cell>
          <cell r="N111" t="str">
            <v/>
          </cell>
          <cell r="O111" t="str">
            <v/>
          </cell>
          <cell r="P111" t="str">
            <v/>
          </cell>
          <cell r="Q111" t="str">
            <v/>
          </cell>
          <cell r="R111" t="str">
            <v/>
          </cell>
          <cell r="S111" t="str">
            <v/>
          </cell>
          <cell r="T111" t="str">
            <v/>
          </cell>
          <cell r="U111" t="str">
            <v/>
          </cell>
          <cell r="V111" t="str">
            <v>N52</v>
          </cell>
          <cell r="W111" t="str">
            <v/>
          </cell>
          <cell r="X111" t="str">
            <v/>
          </cell>
          <cell r="Y111" t="str">
            <v/>
          </cell>
          <cell r="Z111" t="str">
            <v/>
          </cell>
          <cell r="AA111" t="str">
            <v/>
          </cell>
          <cell r="AB111" t="str">
            <v>PA_4350003-UA.7005-4</v>
          </cell>
          <cell r="AC111">
            <v>1</v>
          </cell>
          <cell r="AD111" t="str">
            <v/>
          </cell>
          <cell r="AE111">
            <v>0</v>
          </cell>
          <cell r="AF111" t="str">
            <v/>
          </cell>
          <cell r="AG111" t="str">
            <v>12534046</v>
          </cell>
          <cell r="AH111">
            <v>44609.935208333336</v>
          </cell>
          <cell r="AI111" t="str">
            <v>N52</v>
          </cell>
          <cell r="AJ111" t="str">
            <v>F</v>
          </cell>
          <cell r="AK111" t="str">
            <v/>
          </cell>
        </row>
        <row r="112">
          <cell r="A112" t="str">
            <v>12527036829051</v>
          </cell>
          <cell r="B112" t="e">
            <v>#N/A</v>
          </cell>
          <cell r="C112">
            <v>28</v>
          </cell>
          <cell r="D112" t="str">
            <v>EK65</v>
          </cell>
          <cell r="E112" t="str">
            <v>515905</v>
          </cell>
          <cell r="F112" t="str">
            <v>E</v>
          </cell>
          <cell r="G112" t="str">
            <v>12527036</v>
          </cell>
          <cell r="H112" t="str">
            <v>Halter</v>
          </cell>
          <cell r="I112">
            <v>90</v>
          </cell>
          <cell r="J112" t="str">
            <v>Stk</v>
          </cell>
          <cell r="K112">
            <v>45322</v>
          </cell>
          <cell r="L112" t="str">
            <v>829051</v>
          </cell>
          <cell r="M112" t="str">
            <v/>
          </cell>
          <cell r="N112" t="str">
            <v/>
          </cell>
          <cell r="O112" t="str">
            <v/>
          </cell>
          <cell r="P112" t="str">
            <v/>
          </cell>
          <cell r="Q112" t="str">
            <v/>
          </cell>
          <cell r="R112" t="str">
            <v/>
          </cell>
          <cell r="S112" t="str">
            <v/>
          </cell>
          <cell r="T112" t="str">
            <v/>
          </cell>
          <cell r="U112" t="str">
            <v/>
          </cell>
          <cell r="V112" t="str">
            <v>N52</v>
          </cell>
          <cell r="W112" t="str">
            <v/>
          </cell>
          <cell r="X112" t="str">
            <v/>
          </cell>
          <cell r="Y112" t="str">
            <v/>
          </cell>
          <cell r="Z112" t="str">
            <v/>
          </cell>
          <cell r="AA112" t="str">
            <v/>
          </cell>
          <cell r="AB112" t="str">
            <v>PA_4411442-UA.7005-2</v>
          </cell>
          <cell r="AC112">
            <v>1</v>
          </cell>
          <cell r="AD112" t="str">
            <v/>
          </cell>
          <cell r="AE112">
            <v>0</v>
          </cell>
          <cell r="AF112" t="str">
            <v/>
          </cell>
          <cell r="AG112" t="str">
            <v>12527036</v>
          </cell>
          <cell r="AH112">
            <v>44613.917673611111</v>
          </cell>
          <cell r="AI112" t="str">
            <v>N52</v>
          </cell>
          <cell r="AJ112" t="str">
            <v>F</v>
          </cell>
          <cell r="AK112" t="str">
            <v/>
          </cell>
        </row>
        <row r="113">
          <cell r="A113" t="str">
            <v>12529738829054</v>
          </cell>
          <cell r="B113" t="e">
            <v>#N/A</v>
          </cell>
          <cell r="C113">
            <v>28</v>
          </cell>
          <cell r="D113" t="str">
            <v>EK65</v>
          </cell>
          <cell r="E113" t="str">
            <v>515907</v>
          </cell>
          <cell r="F113" t="str">
            <v>E</v>
          </cell>
          <cell r="G113" t="str">
            <v>12529738</v>
          </cell>
          <cell r="H113" t="str">
            <v>Halteblech</v>
          </cell>
          <cell r="I113">
            <v>10</v>
          </cell>
          <cell r="J113" t="str">
            <v>Stk</v>
          </cell>
          <cell r="K113">
            <v>45303</v>
          </cell>
          <cell r="L113" t="str">
            <v>829054</v>
          </cell>
          <cell r="M113" t="str">
            <v/>
          </cell>
          <cell r="N113" t="str">
            <v/>
          </cell>
          <cell r="O113" t="str">
            <v/>
          </cell>
          <cell r="P113" t="str">
            <v/>
          </cell>
          <cell r="Q113" t="str">
            <v/>
          </cell>
          <cell r="R113" t="str">
            <v/>
          </cell>
          <cell r="S113" t="str">
            <v/>
          </cell>
          <cell r="T113" t="str">
            <v/>
          </cell>
          <cell r="U113" t="str">
            <v/>
          </cell>
          <cell r="V113" t="str">
            <v>N52</v>
          </cell>
          <cell r="W113" t="str">
            <v/>
          </cell>
          <cell r="X113" t="str">
            <v/>
          </cell>
          <cell r="Y113" t="str">
            <v/>
          </cell>
          <cell r="Z113" t="str">
            <v/>
          </cell>
          <cell r="AA113" t="str">
            <v/>
          </cell>
          <cell r="AB113" t="str">
            <v>PA_2032949-UA.7005-4</v>
          </cell>
          <cell r="AC113">
            <v>1</v>
          </cell>
          <cell r="AD113" t="str">
            <v/>
          </cell>
          <cell r="AE113">
            <v>0</v>
          </cell>
          <cell r="AF113" t="str">
            <v/>
          </cell>
          <cell r="AG113" t="str">
            <v>12529738</v>
          </cell>
          <cell r="AH113">
            <v>44613.917766203704</v>
          </cell>
          <cell r="AI113" t="str">
            <v>N52</v>
          </cell>
          <cell r="AJ113" t="str">
            <v>F</v>
          </cell>
          <cell r="AK113" t="str">
            <v/>
          </cell>
        </row>
        <row r="114">
          <cell r="A114" t="str">
            <v>12529739829051</v>
          </cell>
          <cell r="B114" t="e">
            <v>#N/A</v>
          </cell>
          <cell r="C114">
            <v>23</v>
          </cell>
          <cell r="D114" t="str">
            <v>EK65</v>
          </cell>
          <cell r="E114" t="str">
            <v>515908</v>
          </cell>
          <cell r="F114" t="str">
            <v>E</v>
          </cell>
          <cell r="G114" t="str">
            <v>12529739</v>
          </cell>
          <cell r="H114" t="str">
            <v>Fuehrungsblech</v>
          </cell>
          <cell r="I114">
            <v>179</v>
          </cell>
          <cell r="J114" t="str">
            <v>Stk</v>
          </cell>
          <cell r="K114">
            <v>45322</v>
          </cell>
          <cell r="L114" t="str">
            <v>829051</v>
          </cell>
          <cell r="M114" t="str">
            <v/>
          </cell>
          <cell r="N114" t="str">
            <v/>
          </cell>
          <cell r="O114" t="str">
            <v/>
          </cell>
          <cell r="P114" t="str">
            <v/>
          </cell>
          <cell r="Q114" t="str">
            <v/>
          </cell>
          <cell r="R114" t="str">
            <v/>
          </cell>
          <cell r="S114" t="str">
            <v/>
          </cell>
          <cell r="T114" t="str">
            <v/>
          </cell>
          <cell r="U114" t="str">
            <v/>
          </cell>
          <cell r="V114" t="str">
            <v>N52</v>
          </cell>
          <cell r="W114" t="str">
            <v/>
          </cell>
          <cell r="X114" t="str">
            <v/>
          </cell>
          <cell r="Y114" t="str">
            <v/>
          </cell>
          <cell r="Z114" t="str">
            <v/>
          </cell>
          <cell r="AA114" t="str">
            <v/>
          </cell>
          <cell r="AB114" t="str">
            <v>PA_2032958-UA.7005-4</v>
          </cell>
          <cell r="AC114">
            <v>1</v>
          </cell>
          <cell r="AD114" t="str">
            <v/>
          </cell>
          <cell r="AE114">
            <v>0</v>
          </cell>
          <cell r="AF114" t="str">
            <v/>
          </cell>
          <cell r="AG114" t="str">
            <v>12529739</v>
          </cell>
          <cell r="AH114">
            <v>44613.91777777778</v>
          </cell>
          <cell r="AI114" t="str">
            <v>N52</v>
          </cell>
          <cell r="AJ114" t="str">
            <v>F</v>
          </cell>
          <cell r="AK114" t="str">
            <v/>
          </cell>
        </row>
        <row r="115">
          <cell r="A115" t="str">
            <v>12538225829054</v>
          </cell>
          <cell r="B115" t="e">
            <v>#N/A</v>
          </cell>
          <cell r="C115">
            <v>4</v>
          </cell>
          <cell r="D115" t="str">
            <v>EK65</v>
          </cell>
          <cell r="E115" t="str">
            <v>516088</v>
          </cell>
          <cell r="F115" t="str">
            <v>E</v>
          </cell>
          <cell r="G115" t="str">
            <v>12538225</v>
          </cell>
          <cell r="H115" t="str">
            <v>Dehnhuelse ID 6,5  AD 15  H9</v>
          </cell>
          <cell r="I115">
            <v>70</v>
          </cell>
          <cell r="J115" t="str">
            <v>Stk</v>
          </cell>
          <cell r="K115">
            <v>45148</v>
          </cell>
          <cell r="L115" t="str">
            <v>829054</v>
          </cell>
          <cell r="M115" t="str">
            <v/>
          </cell>
          <cell r="N115" t="str">
            <v/>
          </cell>
          <cell r="O115" t="str">
            <v/>
          </cell>
          <cell r="P115" t="str">
            <v/>
          </cell>
          <cell r="Q115" t="str">
            <v/>
          </cell>
          <cell r="R115" t="str">
            <v/>
          </cell>
          <cell r="S115" t="str">
            <v/>
          </cell>
          <cell r="T115" t="str">
            <v/>
          </cell>
          <cell r="U115" t="str">
            <v/>
          </cell>
          <cell r="V115" t="str">
            <v>N52</v>
          </cell>
          <cell r="W115" t="str">
            <v/>
          </cell>
          <cell r="X115" t="str">
            <v/>
          </cell>
          <cell r="Y115" t="str">
            <v/>
          </cell>
          <cell r="Z115" t="str">
            <v/>
          </cell>
          <cell r="AA115" t="str">
            <v/>
          </cell>
          <cell r="AB115" t="str">
            <v>PA_4492220-UA.7005-4</v>
          </cell>
          <cell r="AC115">
            <v>1</v>
          </cell>
          <cell r="AD115" t="str">
            <v/>
          </cell>
          <cell r="AE115">
            <v>0</v>
          </cell>
          <cell r="AF115" t="str">
            <v/>
          </cell>
          <cell r="AG115" t="str">
            <v>12538225</v>
          </cell>
          <cell r="AH115">
            <v>44614.889675925922</v>
          </cell>
          <cell r="AI115" t="str">
            <v>N52</v>
          </cell>
          <cell r="AJ115" t="str">
            <v>F</v>
          </cell>
          <cell r="AK115" t="str">
            <v/>
          </cell>
        </row>
        <row r="116">
          <cell r="A116" t="str">
            <v>12540080829054</v>
          </cell>
          <cell r="B116" t="e">
            <v>#N/A</v>
          </cell>
          <cell r="C116">
            <v>12</v>
          </cell>
          <cell r="D116" t="str">
            <v>EK65</v>
          </cell>
          <cell r="E116" t="str">
            <v>516089</v>
          </cell>
          <cell r="F116" t="str">
            <v>E</v>
          </cell>
          <cell r="G116" t="str">
            <v>12540080</v>
          </cell>
          <cell r="H116" t="str">
            <v>Halter</v>
          </cell>
          <cell r="I116">
            <v>34</v>
          </cell>
          <cell r="J116" t="str">
            <v>Stk</v>
          </cell>
          <cell r="K116">
            <v>45206</v>
          </cell>
          <cell r="L116" t="str">
            <v>829054</v>
          </cell>
          <cell r="M116" t="str">
            <v/>
          </cell>
          <cell r="N116" t="str">
            <v/>
          </cell>
          <cell r="O116" t="str">
            <v/>
          </cell>
          <cell r="P116" t="str">
            <v/>
          </cell>
          <cell r="Q116" t="str">
            <v/>
          </cell>
          <cell r="R116" t="str">
            <v/>
          </cell>
          <cell r="S116" t="str">
            <v/>
          </cell>
          <cell r="T116" t="str">
            <v/>
          </cell>
          <cell r="U116" t="str">
            <v/>
          </cell>
          <cell r="V116" t="str">
            <v>N52</v>
          </cell>
          <cell r="W116" t="str">
            <v/>
          </cell>
          <cell r="X116" t="str">
            <v/>
          </cell>
          <cell r="Y116" t="str">
            <v/>
          </cell>
          <cell r="Z116" t="str">
            <v/>
          </cell>
          <cell r="AA116" t="str">
            <v/>
          </cell>
          <cell r="AB116" t="str">
            <v>PA_4468143-UA.7005-3</v>
          </cell>
          <cell r="AC116">
            <v>1</v>
          </cell>
          <cell r="AD116" t="str">
            <v/>
          </cell>
          <cell r="AE116">
            <v>0</v>
          </cell>
          <cell r="AF116" t="str">
            <v/>
          </cell>
          <cell r="AG116" t="str">
            <v>12540080</v>
          </cell>
          <cell r="AH116">
            <v>44614.889687499999</v>
          </cell>
          <cell r="AI116" t="str">
            <v>N52</v>
          </cell>
          <cell r="AJ116" t="str">
            <v>F</v>
          </cell>
          <cell r="AK116" t="str">
            <v/>
          </cell>
        </row>
        <row r="117">
          <cell r="A117" t="str">
            <v>12540080829052</v>
          </cell>
          <cell r="B117" t="str">
            <v>BL20230413-2</v>
          </cell>
          <cell r="C117">
            <v>12</v>
          </cell>
          <cell r="D117" t="str">
            <v>EK65</v>
          </cell>
          <cell r="E117" t="str">
            <v>516090</v>
          </cell>
          <cell r="F117" t="str">
            <v>E</v>
          </cell>
          <cell r="G117" t="str">
            <v>12540080</v>
          </cell>
          <cell r="H117" t="str">
            <v>Halter</v>
          </cell>
          <cell r="I117">
            <v>62</v>
          </cell>
          <cell r="J117" t="str">
            <v>Stk</v>
          </cell>
          <cell r="K117">
            <v>45345</v>
          </cell>
          <cell r="L117" t="str">
            <v>829052</v>
          </cell>
          <cell r="M117" t="str">
            <v/>
          </cell>
          <cell r="N117" t="str">
            <v/>
          </cell>
          <cell r="O117" t="str">
            <v/>
          </cell>
          <cell r="P117" t="str">
            <v/>
          </cell>
          <cell r="Q117" t="str">
            <v/>
          </cell>
          <cell r="R117" t="str">
            <v/>
          </cell>
          <cell r="S117" t="str">
            <v/>
          </cell>
          <cell r="T117" t="str">
            <v/>
          </cell>
          <cell r="U117" t="str">
            <v/>
          </cell>
          <cell r="V117" t="str">
            <v>N52</v>
          </cell>
          <cell r="W117" t="str">
            <v/>
          </cell>
          <cell r="X117" t="str">
            <v/>
          </cell>
          <cell r="Y117" t="str">
            <v/>
          </cell>
          <cell r="Z117" t="str">
            <v/>
          </cell>
          <cell r="AA117" t="str">
            <v/>
          </cell>
          <cell r="AB117" t="str">
            <v>PA_4468143-UA.7005-3</v>
          </cell>
          <cell r="AC117">
            <v>1</v>
          </cell>
          <cell r="AD117" t="str">
            <v/>
          </cell>
          <cell r="AE117">
            <v>0</v>
          </cell>
          <cell r="AF117" t="str">
            <v/>
          </cell>
          <cell r="AG117" t="str">
            <v>12540080</v>
          </cell>
          <cell r="AH117">
            <v>44614.889687499999</v>
          </cell>
          <cell r="AI117" t="str">
            <v>N52</v>
          </cell>
          <cell r="AJ117" t="str">
            <v>F</v>
          </cell>
          <cell r="AK117" t="str">
            <v/>
          </cell>
        </row>
        <row r="118">
          <cell r="A118" t="str">
            <v>12541049829054</v>
          </cell>
          <cell r="B118" t="e">
            <v>#N/A</v>
          </cell>
          <cell r="C118">
            <v>11</v>
          </cell>
          <cell r="D118" t="str">
            <v>EK65</v>
          </cell>
          <cell r="E118" t="str">
            <v>516091</v>
          </cell>
          <cell r="F118" t="str">
            <v>E</v>
          </cell>
          <cell r="G118" t="str">
            <v>12541049</v>
          </cell>
          <cell r="H118" t="str">
            <v>Fuss</v>
          </cell>
          <cell r="I118">
            <v>34</v>
          </cell>
          <cell r="J118" t="str">
            <v>Stk</v>
          </cell>
          <cell r="K118">
            <v>45206</v>
          </cell>
          <cell r="L118" t="str">
            <v>829054</v>
          </cell>
          <cell r="M118" t="str">
            <v/>
          </cell>
          <cell r="N118" t="str">
            <v/>
          </cell>
          <cell r="O118" t="str">
            <v/>
          </cell>
          <cell r="P118" t="str">
            <v/>
          </cell>
          <cell r="Q118" t="str">
            <v/>
          </cell>
          <cell r="R118" t="str">
            <v/>
          </cell>
          <cell r="S118" t="str">
            <v/>
          </cell>
          <cell r="T118" t="str">
            <v/>
          </cell>
          <cell r="U118" t="str">
            <v/>
          </cell>
          <cell r="V118" t="str">
            <v>N52</v>
          </cell>
          <cell r="W118" t="str">
            <v/>
          </cell>
          <cell r="X118" t="str">
            <v/>
          </cell>
          <cell r="Y118" t="str">
            <v/>
          </cell>
          <cell r="Z118" t="str">
            <v/>
          </cell>
          <cell r="AA118" t="str">
            <v/>
          </cell>
          <cell r="AB118" t="str">
            <v>PA_4465381-UA.7005-3</v>
          </cell>
          <cell r="AC118">
            <v>1</v>
          </cell>
          <cell r="AD118" t="str">
            <v/>
          </cell>
          <cell r="AE118">
            <v>0</v>
          </cell>
          <cell r="AF118" t="str">
            <v/>
          </cell>
          <cell r="AG118" t="str">
            <v>12541049</v>
          </cell>
          <cell r="AH118">
            <v>44614.889699074076</v>
          </cell>
          <cell r="AI118" t="str">
            <v>N52</v>
          </cell>
          <cell r="AJ118" t="str">
            <v>F</v>
          </cell>
          <cell r="AK118" t="str">
            <v/>
          </cell>
        </row>
        <row r="119">
          <cell r="A119" t="str">
            <v>12541049829052</v>
          </cell>
          <cell r="B119" t="str">
            <v>BL20230413-2</v>
          </cell>
          <cell r="C119">
            <v>11</v>
          </cell>
          <cell r="D119" t="str">
            <v>EK65</v>
          </cell>
          <cell r="E119" t="str">
            <v>516092</v>
          </cell>
          <cell r="F119" t="str">
            <v>E</v>
          </cell>
          <cell r="G119" t="str">
            <v>12541049</v>
          </cell>
          <cell r="H119" t="str">
            <v>Fuss</v>
          </cell>
          <cell r="I119">
            <v>62</v>
          </cell>
          <cell r="J119" t="str">
            <v>Stk</v>
          </cell>
          <cell r="K119">
            <v>45345</v>
          </cell>
          <cell r="L119" t="str">
            <v>829052</v>
          </cell>
          <cell r="M119" t="str">
            <v/>
          </cell>
          <cell r="N119" t="str">
            <v/>
          </cell>
          <cell r="O119" t="str">
            <v/>
          </cell>
          <cell r="P119" t="str">
            <v/>
          </cell>
          <cell r="Q119" t="str">
            <v/>
          </cell>
          <cell r="R119" t="str">
            <v/>
          </cell>
          <cell r="S119" t="str">
            <v/>
          </cell>
          <cell r="T119" t="str">
            <v/>
          </cell>
          <cell r="U119" t="str">
            <v/>
          </cell>
          <cell r="V119" t="str">
            <v>N52</v>
          </cell>
          <cell r="W119" t="str">
            <v/>
          </cell>
          <cell r="X119" t="str">
            <v/>
          </cell>
          <cell r="Y119" t="str">
            <v/>
          </cell>
          <cell r="Z119" t="str">
            <v/>
          </cell>
          <cell r="AA119" t="str">
            <v/>
          </cell>
          <cell r="AB119" t="str">
            <v>PA_4465381-UA.7005-3</v>
          </cell>
          <cell r="AC119">
            <v>1</v>
          </cell>
          <cell r="AD119" t="str">
            <v/>
          </cell>
          <cell r="AE119">
            <v>0</v>
          </cell>
          <cell r="AF119" t="str">
            <v/>
          </cell>
          <cell r="AG119" t="str">
            <v>12541049</v>
          </cell>
          <cell r="AH119">
            <v>44614.889699074076</v>
          </cell>
          <cell r="AI119" t="str">
            <v>N52</v>
          </cell>
          <cell r="AJ119" t="str">
            <v>F</v>
          </cell>
          <cell r="AK119" t="str">
            <v/>
          </cell>
        </row>
        <row r="120">
          <cell r="A120" t="str">
            <v>12521030829051</v>
          </cell>
          <cell r="B120" t="e">
            <v>#N/A</v>
          </cell>
          <cell r="C120">
            <v>10</v>
          </cell>
          <cell r="D120" t="str">
            <v>EK65</v>
          </cell>
          <cell r="E120" t="str">
            <v>521172</v>
          </cell>
          <cell r="F120" t="str">
            <v>E</v>
          </cell>
          <cell r="G120" t="str">
            <v>12521030</v>
          </cell>
          <cell r="H120" t="str">
            <v>Halter</v>
          </cell>
          <cell r="I120">
            <v>90</v>
          </cell>
          <cell r="J120" t="str">
            <v>Stk</v>
          </cell>
          <cell r="K120">
            <v>45322</v>
          </cell>
          <cell r="L120" t="str">
            <v>829051</v>
          </cell>
          <cell r="M120" t="str">
            <v/>
          </cell>
          <cell r="N120" t="str">
            <v/>
          </cell>
          <cell r="O120" t="str">
            <v/>
          </cell>
          <cell r="P120" t="str">
            <v/>
          </cell>
          <cell r="Q120" t="str">
            <v/>
          </cell>
          <cell r="R120" t="str">
            <v/>
          </cell>
          <cell r="S120" t="str">
            <v/>
          </cell>
          <cell r="T120" t="str">
            <v/>
          </cell>
          <cell r="U120" t="str">
            <v/>
          </cell>
          <cell r="V120" t="str">
            <v>N52</v>
          </cell>
          <cell r="W120" t="str">
            <v/>
          </cell>
          <cell r="X120" t="str">
            <v/>
          </cell>
          <cell r="Y120" t="str">
            <v/>
          </cell>
          <cell r="Z120" t="str">
            <v/>
          </cell>
          <cell r="AA120" t="str">
            <v/>
          </cell>
          <cell r="AB120" t="str">
            <v>PA_4373264-UA.7005-3</v>
          </cell>
          <cell r="AC120">
            <v>1</v>
          </cell>
          <cell r="AD120" t="str">
            <v/>
          </cell>
          <cell r="AE120">
            <v>0</v>
          </cell>
          <cell r="AF120" t="str">
            <v/>
          </cell>
          <cell r="AG120" t="str">
            <v>12521030</v>
          </cell>
          <cell r="AH120">
            <v>44621.930949074071</v>
          </cell>
          <cell r="AI120" t="str">
            <v>N52</v>
          </cell>
          <cell r="AJ120" t="str">
            <v>F</v>
          </cell>
          <cell r="AK120" t="str">
            <v/>
          </cell>
        </row>
        <row r="121">
          <cell r="A121" t="str">
            <v>12487288829052</v>
          </cell>
          <cell r="B121" t="str">
            <v>BL20230413-2</v>
          </cell>
          <cell r="C121">
            <v>21</v>
          </cell>
          <cell r="D121" t="str">
            <v>EK65</v>
          </cell>
          <cell r="E121" t="str">
            <v>521510</v>
          </cell>
          <cell r="F121" t="str">
            <v>E</v>
          </cell>
          <cell r="G121" t="str">
            <v>12487288</v>
          </cell>
          <cell r="H121" t="str">
            <v>Halter fuer Rohrschelle</v>
          </cell>
          <cell r="I121">
            <v>29</v>
          </cell>
          <cell r="J121" t="str">
            <v>Stk</v>
          </cell>
          <cell r="K121">
            <v>45343</v>
          </cell>
          <cell r="L121" t="str">
            <v>829052</v>
          </cell>
          <cell r="M121" t="str">
            <v/>
          </cell>
          <cell r="N121" t="str">
            <v/>
          </cell>
          <cell r="O121" t="str">
            <v/>
          </cell>
          <cell r="P121" t="str">
            <v/>
          </cell>
          <cell r="Q121" t="str">
            <v/>
          </cell>
          <cell r="R121" t="str">
            <v/>
          </cell>
          <cell r="S121" t="str">
            <v/>
          </cell>
          <cell r="T121" t="str">
            <v/>
          </cell>
          <cell r="U121" t="str">
            <v/>
          </cell>
          <cell r="V121" t="str">
            <v>N52</v>
          </cell>
          <cell r="W121" t="str">
            <v/>
          </cell>
          <cell r="X121" t="str">
            <v/>
          </cell>
          <cell r="Y121" t="str">
            <v/>
          </cell>
          <cell r="Z121" t="str">
            <v/>
          </cell>
          <cell r="AA121" t="str">
            <v/>
          </cell>
          <cell r="AB121" t="str">
            <v>PA_4374431-QE.7005-4</v>
          </cell>
          <cell r="AC121">
            <v>1</v>
          </cell>
          <cell r="AD121" t="str">
            <v/>
          </cell>
          <cell r="AE121">
            <v>0</v>
          </cell>
          <cell r="AF121" t="str">
            <v/>
          </cell>
          <cell r="AG121" t="str">
            <v>12487288</v>
          </cell>
          <cell r="AH121">
            <v>44621.986284722225</v>
          </cell>
          <cell r="AI121" t="str">
            <v>N52</v>
          </cell>
          <cell r="AJ121" t="str">
            <v>F</v>
          </cell>
          <cell r="AK121" t="str">
            <v/>
          </cell>
        </row>
        <row r="122">
          <cell r="A122" t="str">
            <v>12487297829052</v>
          </cell>
          <cell r="B122" t="str">
            <v>BL20230413-2</v>
          </cell>
          <cell r="C122">
            <v>12</v>
          </cell>
          <cell r="D122" t="str">
            <v>EK65</v>
          </cell>
          <cell r="E122" t="str">
            <v>521511</v>
          </cell>
          <cell r="F122" t="str">
            <v>E</v>
          </cell>
          <cell r="G122" t="str">
            <v>12487297</v>
          </cell>
          <cell r="H122" t="str">
            <v>Klemmbuchse ID12,5 AD30 H40</v>
          </cell>
          <cell r="I122">
            <v>178</v>
          </cell>
          <cell r="J122" t="str">
            <v>Stk</v>
          </cell>
          <cell r="K122">
            <v>45343</v>
          </cell>
          <cell r="L122" t="str">
            <v>829052</v>
          </cell>
          <cell r="M122" t="str">
            <v/>
          </cell>
          <cell r="N122" t="str">
            <v/>
          </cell>
          <cell r="O122" t="str">
            <v/>
          </cell>
          <cell r="P122" t="str">
            <v/>
          </cell>
          <cell r="Q122" t="str">
            <v/>
          </cell>
          <cell r="R122" t="str">
            <v/>
          </cell>
          <cell r="S122" t="str">
            <v/>
          </cell>
          <cell r="T122" t="str">
            <v/>
          </cell>
          <cell r="U122" t="str">
            <v/>
          </cell>
          <cell r="V122" t="str">
            <v>N52</v>
          </cell>
          <cell r="W122" t="str">
            <v/>
          </cell>
          <cell r="X122" t="str">
            <v/>
          </cell>
          <cell r="Y122" t="str">
            <v/>
          </cell>
          <cell r="Z122" t="str">
            <v/>
          </cell>
          <cell r="AA122" t="str">
            <v/>
          </cell>
          <cell r="AB122" t="str">
            <v>PA_4399611-QE.7005-3</v>
          </cell>
          <cell r="AC122">
            <v>1</v>
          </cell>
          <cell r="AD122" t="str">
            <v/>
          </cell>
          <cell r="AE122">
            <v>0</v>
          </cell>
          <cell r="AF122" t="str">
            <v/>
          </cell>
          <cell r="AG122" t="str">
            <v>12487297</v>
          </cell>
          <cell r="AH122">
            <v>44621.986307870371</v>
          </cell>
          <cell r="AI122" t="str">
            <v>N52</v>
          </cell>
          <cell r="AJ122" t="str">
            <v>F</v>
          </cell>
          <cell r="AK122" t="str">
            <v/>
          </cell>
        </row>
        <row r="123">
          <cell r="A123" t="str">
            <v>12501883829053</v>
          </cell>
          <cell r="B123" t="e">
            <v>#N/A</v>
          </cell>
          <cell r="C123">
            <v>27</v>
          </cell>
          <cell r="D123" t="str">
            <v>EK65</v>
          </cell>
          <cell r="E123" t="str">
            <v>522231</v>
          </cell>
          <cell r="F123" t="str">
            <v>E</v>
          </cell>
          <cell r="G123" t="str">
            <v>12501883</v>
          </cell>
          <cell r="H123" t="str">
            <v>Platte</v>
          </cell>
          <cell r="I123">
            <v>5004</v>
          </cell>
          <cell r="J123" t="str">
            <v>Stk</v>
          </cell>
          <cell r="K123">
            <v>45205</v>
          </cell>
          <cell r="L123" t="str">
            <v>829053</v>
          </cell>
          <cell r="M123" t="str">
            <v/>
          </cell>
          <cell r="N123" t="str">
            <v/>
          </cell>
          <cell r="O123" t="str">
            <v/>
          </cell>
          <cell r="P123" t="str">
            <v/>
          </cell>
          <cell r="Q123" t="str">
            <v/>
          </cell>
          <cell r="R123" t="str">
            <v/>
          </cell>
          <cell r="S123" t="str">
            <v/>
          </cell>
          <cell r="T123" t="str">
            <v/>
          </cell>
          <cell r="U123" t="str">
            <v/>
          </cell>
          <cell r="V123" t="str">
            <v>N52</v>
          </cell>
          <cell r="W123" t="str">
            <v/>
          </cell>
          <cell r="X123" t="str">
            <v/>
          </cell>
          <cell r="Y123" t="str">
            <v/>
          </cell>
          <cell r="Z123" t="str">
            <v/>
          </cell>
          <cell r="AA123" t="str">
            <v/>
          </cell>
          <cell r="AB123" t="str">
            <v>PA_4446551-DB.7005-4</v>
          </cell>
          <cell r="AC123">
            <v>4</v>
          </cell>
          <cell r="AD123" t="str">
            <v/>
          </cell>
          <cell r="AE123">
            <v>0</v>
          </cell>
          <cell r="AF123" t="str">
            <v/>
          </cell>
          <cell r="AG123" t="str">
            <v>12501883</v>
          </cell>
          <cell r="AH123">
            <v>44623.9765162037</v>
          </cell>
          <cell r="AI123" t="str">
            <v>N52</v>
          </cell>
          <cell r="AJ123" t="str">
            <v>F</v>
          </cell>
          <cell r="AK123" t="str">
            <v/>
          </cell>
        </row>
        <row r="124">
          <cell r="A124" t="str">
            <v>12501883829054</v>
          </cell>
          <cell r="B124" t="e">
            <v>#N/A</v>
          </cell>
          <cell r="C124">
            <v>27</v>
          </cell>
          <cell r="D124" t="str">
            <v>EK65</v>
          </cell>
          <cell r="E124" t="str">
            <v>522232</v>
          </cell>
          <cell r="F124" t="str">
            <v>E</v>
          </cell>
          <cell r="G124" t="str">
            <v>12501883</v>
          </cell>
          <cell r="H124" t="str">
            <v>Platte</v>
          </cell>
          <cell r="I124">
            <v>2014</v>
          </cell>
          <cell r="J124" t="str">
            <v>Stk</v>
          </cell>
          <cell r="K124">
            <v>45213</v>
          </cell>
          <cell r="L124" t="str">
            <v>829054</v>
          </cell>
          <cell r="M124" t="str">
            <v/>
          </cell>
          <cell r="N124" t="str">
            <v/>
          </cell>
          <cell r="O124" t="str">
            <v/>
          </cell>
          <cell r="P124" t="str">
            <v/>
          </cell>
          <cell r="Q124" t="str">
            <v/>
          </cell>
          <cell r="R124" t="str">
            <v/>
          </cell>
          <cell r="S124" t="str">
            <v/>
          </cell>
          <cell r="T124" t="str">
            <v/>
          </cell>
          <cell r="U124" t="str">
            <v/>
          </cell>
          <cell r="V124" t="str">
            <v>N52</v>
          </cell>
          <cell r="W124" t="str">
            <v/>
          </cell>
          <cell r="X124" t="str">
            <v/>
          </cell>
          <cell r="Y124" t="str">
            <v/>
          </cell>
          <cell r="Z124" t="str">
            <v/>
          </cell>
          <cell r="AA124" t="str">
            <v/>
          </cell>
          <cell r="AB124" t="str">
            <v>PA_4446551-DB.7005-4</v>
          </cell>
          <cell r="AC124">
            <v>4</v>
          </cell>
          <cell r="AD124" t="str">
            <v/>
          </cell>
          <cell r="AE124">
            <v>0</v>
          </cell>
          <cell r="AF124" t="str">
            <v/>
          </cell>
          <cell r="AG124" t="str">
            <v>12501883</v>
          </cell>
          <cell r="AH124">
            <v>44623.9765162037</v>
          </cell>
          <cell r="AI124" t="str">
            <v>N52</v>
          </cell>
          <cell r="AJ124" t="str">
            <v>F</v>
          </cell>
          <cell r="AK124" t="str">
            <v/>
          </cell>
        </row>
        <row r="125">
          <cell r="A125" t="str">
            <v>12501883829051</v>
          </cell>
          <cell r="B125" t="e">
            <v>#N/A</v>
          </cell>
          <cell r="C125">
            <v>27</v>
          </cell>
          <cell r="D125" t="str">
            <v>EK65</v>
          </cell>
          <cell r="E125" t="str">
            <v>522233</v>
          </cell>
          <cell r="F125" t="str">
            <v>E</v>
          </cell>
          <cell r="G125" t="str">
            <v>12501883</v>
          </cell>
          <cell r="H125" t="str">
            <v>Platte</v>
          </cell>
          <cell r="I125">
            <v>11065</v>
          </cell>
          <cell r="J125" t="str">
            <v>Stk</v>
          </cell>
          <cell r="K125">
            <v>45317</v>
          </cell>
          <cell r="L125" t="str">
            <v>829051</v>
          </cell>
          <cell r="M125" t="str">
            <v/>
          </cell>
          <cell r="N125" t="str">
            <v/>
          </cell>
          <cell r="O125" t="str">
            <v/>
          </cell>
          <cell r="P125" t="str">
            <v/>
          </cell>
          <cell r="Q125" t="str">
            <v/>
          </cell>
          <cell r="R125" t="str">
            <v/>
          </cell>
          <cell r="S125" t="str">
            <v/>
          </cell>
          <cell r="T125" t="str">
            <v/>
          </cell>
          <cell r="U125" t="str">
            <v/>
          </cell>
          <cell r="V125" t="str">
            <v>N52</v>
          </cell>
          <cell r="W125" t="str">
            <v/>
          </cell>
          <cell r="X125" t="str">
            <v/>
          </cell>
          <cell r="Y125" t="str">
            <v/>
          </cell>
          <cell r="Z125" t="str">
            <v/>
          </cell>
          <cell r="AA125" t="str">
            <v/>
          </cell>
          <cell r="AB125" t="str">
            <v>PA_4446551-DB.7005-4</v>
          </cell>
          <cell r="AC125">
            <v>4</v>
          </cell>
          <cell r="AD125" t="str">
            <v/>
          </cell>
          <cell r="AE125">
            <v>0</v>
          </cell>
          <cell r="AF125" t="str">
            <v/>
          </cell>
          <cell r="AG125" t="str">
            <v>12501883</v>
          </cell>
          <cell r="AH125">
            <v>44623.9765162037</v>
          </cell>
          <cell r="AI125" t="str">
            <v>N52</v>
          </cell>
          <cell r="AJ125" t="str">
            <v>F</v>
          </cell>
          <cell r="AK125" t="str">
            <v/>
          </cell>
        </row>
        <row r="126">
          <cell r="A126" t="str">
            <v>12501883829052</v>
          </cell>
          <cell r="B126" t="e">
            <v>#N/A</v>
          </cell>
          <cell r="C126">
            <v>27</v>
          </cell>
          <cell r="D126" t="str">
            <v>EK65</v>
          </cell>
          <cell r="E126" t="str">
            <v>522234</v>
          </cell>
          <cell r="F126" t="str">
            <v>E</v>
          </cell>
          <cell r="G126" t="str">
            <v>12501883</v>
          </cell>
          <cell r="H126" t="str">
            <v>Platte</v>
          </cell>
          <cell r="I126">
            <v>5240</v>
          </cell>
          <cell r="J126" t="str">
            <v>Stk</v>
          </cell>
          <cell r="K126">
            <v>45350</v>
          </cell>
          <cell r="L126" t="str">
            <v>829052</v>
          </cell>
          <cell r="M126" t="str">
            <v/>
          </cell>
          <cell r="N126" t="str">
            <v/>
          </cell>
          <cell r="O126" t="str">
            <v/>
          </cell>
          <cell r="P126" t="str">
            <v/>
          </cell>
          <cell r="Q126" t="str">
            <v/>
          </cell>
          <cell r="R126" t="str">
            <v/>
          </cell>
          <cell r="S126" t="str">
            <v/>
          </cell>
          <cell r="T126" t="str">
            <v/>
          </cell>
          <cell r="U126" t="str">
            <v/>
          </cell>
          <cell r="V126" t="str">
            <v>N52</v>
          </cell>
          <cell r="W126" t="str">
            <v/>
          </cell>
          <cell r="X126" t="str">
            <v/>
          </cell>
          <cell r="Y126" t="str">
            <v/>
          </cell>
          <cell r="Z126" t="str">
            <v/>
          </cell>
          <cell r="AA126" t="str">
            <v/>
          </cell>
          <cell r="AB126" t="str">
            <v>PA_4446551-DB.7005-4</v>
          </cell>
          <cell r="AC126">
            <v>4</v>
          </cell>
          <cell r="AD126" t="str">
            <v/>
          </cell>
          <cell r="AE126">
            <v>0</v>
          </cell>
          <cell r="AF126" t="str">
            <v/>
          </cell>
          <cell r="AG126" t="str">
            <v>12501883</v>
          </cell>
          <cell r="AH126">
            <v>44623.9765162037</v>
          </cell>
          <cell r="AI126" t="str">
            <v>N52</v>
          </cell>
          <cell r="AJ126" t="str">
            <v>F</v>
          </cell>
          <cell r="AK126" t="str">
            <v/>
          </cell>
        </row>
        <row r="127">
          <cell r="A127" t="str">
            <v>12520767829053</v>
          </cell>
          <cell r="B127" t="e">
            <v>#N/A</v>
          </cell>
          <cell r="C127">
            <v>12</v>
          </cell>
          <cell r="D127" t="str">
            <v>EK65</v>
          </cell>
          <cell r="E127" t="str">
            <v>522330</v>
          </cell>
          <cell r="F127" t="str">
            <v>E</v>
          </cell>
          <cell r="G127" t="str">
            <v>12520767</v>
          </cell>
          <cell r="H127" t="str">
            <v>Blech vollst.</v>
          </cell>
          <cell r="I127">
            <v>57</v>
          </cell>
          <cell r="J127" t="str">
            <v>Stk</v>
          </cell>
          <cell r="K127">
            <v>45072</v>
          </cell>
          <cell r="L127" t="str">
            <v>829053</v>
          </cell>
          <cell r="M127" t="str">
            <v/>
          </cell>
          <cell r="N127" t="str">
            <v/>
          </cell>
          <cell r="O127" t="str">
            <v/>
          </cell>
          <cell r="P127" t="str">
            <v/>
          </cell>
          <cell r="Q127" t="str">
            <v/>
          </cell>
          <cell r="R127" t="str">
            <v/>
          </cell>
          <cell r="S127" t="str">
            <v/>
          </cell>
          <cell r="T127" t="str">
            <v/>
          </cell>
          <cell r="U127" t="str">
            <v/>
          </cell>
          <cell r="V127" t="str">
            <v>N52</v>
          </cell>
          <cell r="W127" t="str">
            <v/>
          </cell>
          <cell r="X127" t="str">
            <v/>
          </cell>
          <cell r="Y127" t="str">
            <v/>
          </cell>
          <cell r="Z127" t="str">
            <v/>
          </cell>
          <cell r="AA127" t="str">
            <v/>
          </cell>
          <cell r="AB127" t="str">
            <v>PA_2342288-TC.7005-3</v>
          </cell>
          <cell r="AC127">
            <v>1</v>
          </cell>
          <cell r="AD127" t="str">
            <v/>
          </cell>
          <cell r="AE127">
            <v>0</v>
          </cell>
          <cell r="AF127" t="str">
            <v/>
          </cell>
          <cell r="AG127" t="str">
            <v>12520767</v>
          </cell>
          <cell r="AH127">
            <v>44624.914537037039</v>
          </cell>
          <cell r="AI127" t="str">
            <v>N52</v>
          </cell>
          <cell r="AJ127" t="str">
            <v>F</v>
          </cell>
          <cell r="AK127" t="str">
            <v/>
          </cell>
        </row>
        <row r="128">
          <cell r="A128" t="str">
            <v>12530244829051</v>
          </cell>
          <cell r="B128" t="str">
            <v>BL20230413-2</v>
          </cell>
          <cell r="C128">
            <v>16</v>
          </cell>
          <cell r="D128" t="str">
            <v>EK65</v>
          </cell>
          <cell r="E128" t="str">
            <v>522369</v>
          </cell>
          <cell r="F128" t="str">
            <v>E</v>
          </cell>
          <cell r="G128" t="str">
            <v>12530244</v>
          </cell>
          <cell r="H128" t="str">
            <v>Halter</v>
          </cell>
          <cell r="I128">
            <v>45</v>
          </cell>
          <cell r="J128" t="str">
            <v>Stk</v>
          </cell>
          <cell r="K128">
            <v>45337</v>
          </cell>
          <cell r="L128" t="str">
            <v>829051</v>
          </cell>
          <cell r="M128" t="str">
            <v/>
          </cell>
          <cell r="N128" t="str">
            <v/>
          </cell>
          <cell r="O128" t="str">
            <v/>
          </cell>
          <cell r="P128" t="str">
            <v/>
          </cell>
          <cell r="Q128" t="str">
            <v/>
          </cell>
          <cell r="R128" t="str">
            <v/>
          </cell>
          <cell r="S128" t="str">
            <v/>
          </cell>
          <cell r="T128" t="str">
            <v/>
          </cell>
          <cell r="U128" t="str">
            <v/>
          </cell>
          <cell r="V128" t="str">
            <v>N52</v>
          </cell>
          <cell r="W128" t="str">
            <v/>
          </cell>
          <cell r="X128" t="str">
            <v/>
          </cell>
          <cell r="Y128" t="str">
            <v/>
          </cell>
          <cell r="Z128" t="str">
            <v/>
          </cell>
          <cell r="AA128" t="str">
            <v/>
          </cell>
          <cell r="AB128" t="str">
            <v>PA_4455284-UA.7005-3</v>
          </cell>
          <cell r="AC128">
            <v>1</v>
          </cell>
          <cell r="AD128" t="str">
            <v/>
          </cell>
          <cell r="AE128">
            <v>0</v>
          </cell>
          <cell r="AF128" t="str">
            <v/>
          </cell>
          <cell r="AG128" t="str">
            <v>12530244</v>
          </cell>
          <cell r="AH128">
            <v>44624.922615740739</v>
          </cell>
          <cell r="AI128" t="str">
            <v>N52</v>
          </cell>
          <cell r="AJ128" t="str">
            <v>F</v>
          </cell>
          <cell r="AK128" t="str">
            <v/>
          </cell>
        </row>
        <row r="129">
          <cell r="A129" t="str">
            <v>12530244829052</v>
          </cell>
          <cell r="B129" t="e">
            <v>#N/A</v>
          </cell>
          <cell r="C129">
            <v>16</v>
          </cell>
          <cell r="D129" t="str">
            <v>EK65</v>
          </cell>
          <cell r="E129" t="str">
            <v>522370</v>
          </cell>
          <cell r="F129" t="str">
            <v>E</v>
          </cell>
          <cell r="G129" t="str">
            <v>12530244</v>
          </cell>
          <cell r="H129" t="str">
            <v>Halter</v>
          </cell>
          <cell r="I129">
            <v>15</v>
          </cell>
          <cell r="J129" t="str">
            <v>Stk</v>
          </cell>
          <cell r="K129">
            <v>45365</v>
          </cell>
          <cell r="L129" t="str">
            <v>829052</v>
          </cell>
          <cell r="M129" t="str">
            <v/>
          </cell>
          <cell r="N129" t="str">
            <v/>
          </cell>
          <cell r="O129" t="str">
            <v/>
          </cell>
          <cell r="P129" t="str">
            <v/>
          </cell>
          <cell r="Q129" t="str">
            <v/>
          </cell>
          <cell r="R129" t="str">
            <v/>
          </cell>
          <cell r="S129" t="str">
            <v/>
          </cell>
          <cell r="T129" t="str">
            <v/>
          </cell>
          <cell r="U129" t="str">
            <v/>
          </cell>
          <cell r="V129" t="str">
            <v>N52</v>
          </cell>
          <cell r="W129" t="str">
            <v/>
          </cell>
          <cell r="X129" t="str">
            <v/>
          </cell>
          <cell r="Y129" t="str">
            <v/>
          </cell>
          <cell r="Z129" t="str">
            <v/>
          </cell>
          <cell r="AA129" t="str">
            <v/>
          </cell>
          <cell r="AB129" t="str">
            <v>PA_4455284-UA.7005-3</v>
          </cell>
          <cell r="AC129">
            <v>1</v>
          </cell>
          <cell r="AD129" t="str">
            <v/>
          </cell>
          <cell r="AE129">
            <v>0</v>
          </cell>
          <cell r="AF129" t="str">
            <v/>
          </cell>
          <cell r="AG129" t="str">
            <v>12530244</v>
          </cell>
          <cell r="AH129">
            <v>44624.922615740739</v>
          </cell>
          <cell r="AI129" t="str">
            <v>N52</v>
          </cell>
          <cell r="AJ129" t="str">
            <v>F</v>
          </cell>
          <cell r="AK129" t="str">
            <v/>
          </cell>
        </row>
        <row r="130">
          <cell r="A130" t="str">
            <v>12530246829051</v>
          </cell>
          <cell r="B130" t="str">
            <v>BL20230413-2</v>
          </cell>
          <cell r="C130">
            <v>24</v>
          </cell>
          <cell r="D130" t="str">
            <v>EK65</v>
          </cell>
          <cell r="E130" t="str">
            <v>522373</v>
          </cell>
          <cell r="F130" t="str">
            <v>E</v>
          </cell>
          <cell r="G130" t="str">
            <v>12530246</v>
          </cell>
          <cell r="H130" t="str">
            <v>Halter</v>
          </cell>
          <cell r="I130">
            <v>45</v>
          </cell>
          <cell r="J130" t="str">
            <v>Stk</v>
          </cell>
          <cell r="K130">
            <v>45337</v>
          </cell>
          <cell r="L130" t="str">
            <v>829051</v>
          </cell>
          <cell r="M130" t="str">
            <v/>
          </cell>
          <cell r="N130" t="str">
            <v/>
          </cell>
          <cell r="O130" t="str">
            <v/>
          </cell>
          <cell r="P130" t="str">
            <v/>
          </cell>
          <cell r="Q130" t="str">
            <v/>
          </cell>
          <cell r="R130" t="str">
            <v/>
          </cell>
          <cell r="S130" t="str">
            <v/>
          </cell>
          <cell r="T130" t="str">
            <v/>
          </cell>
          <cell r="U130" t="str">
            <v/>
          </cell>
          <cell r="V130" t="str">
            <v>N52</v>
          </cell>
          <cell r="W130" t="str">
            <v/>
          </cell>
          <cell r="X130" t="str">
            <v/>
          </cell>
          <cell r="Y130" t="str">
            <v/>
          </cell>
          <cell r="Z130" t="str">
            <v/>
          </cell>
          <cell r="AA130" t="str">
            <v/>
          </cell>
          <cell r="AB130" t="str">
            <v>PA_4453771-UA.7005-3</v>
          </cell>
          <cell r="AC130">
            <v>1</v>
          </cell>
          <cell r="AD130" t="str">
            <v/>
          </cell>
          <cell r="AE130">
            <v>0</v>
          </cell>
          <cell r="AF130" t="str">
            <v/>
          </cell>
          <cell r="AG130" t="str">
            <v>12530246</v>
          </cell>
          <cell r="AH130">
            <v>44624.922673611109</v>
          </cell>
          <cell r="AI130" t="str">
            <v>N52</v>
          </cell>
          <cell r="AJ130" t="str">
            <v>F</v>
          </cell>
          <cell r="AK130" t="str">
            <v/>
          </cell>
        </row>
        <row r="131">
          <cell r="A131" t="str">
            <v>12530246829052</v>
          </cell>
          <cell r="B131" t="e">
            <v>#N/A</v>
          </cell>
          <cell r="C131">
            <v>24</v>
          </cell>
          <cell r="D131" t="str">
            <v>EK65</v>
          </cell>
          <cell r="E131" t="str">
            <v>522374</v>
          </cell>
          <cell r="F131" t="str">
            <v>E</v>
          </cell>
          <cell r="G131" t="str">
            <v>12530246</v>
          </cell>
          <cell r="H131" t="str">
            <v>Halter</v>
          </cell>
          <cell r="I131">
            <v>16</v>
          </cell>
          <cell r="J131" t="str">
            <v>Stk</v>
          </cell>
          <cell r="K131">
            <v>45352</v>
          </cell>
          <cell r="L131" t="str">
            <v>829052</v>
          </cell>
          <cell r="M131" t="str">
            <v/>
          </cell>
          <cell r="N131" t="str">
            <v/>
          </cell>
          <cell r="O131" t="str">
            <v/>
          </cell>
          <cell r="P131" t="str">
            <v/>
          </cell>
          <cell r="Q131" t="str">
            <v/>
          </cell>
          <cell r="R131" t="str">
            <v/>
          </cell>
          <cell r="S131" t="str">
            <v/>
          </cell>
          <cell r="T131" t="str">
            <v/>
          </cell>
          <cell r="U131" t="str">
            <v/>
          </cell>
          <cell r="V131" t="str">
            <v>N52</v>
          </cell>
          <cell r="W131" t="str">
            <v/>
          </cell>
          <cell r="X131" t="str">
            <v/>
          </cell>
          <cell r="Y131" t="str">
            <v/>
          </cell>
          <cell r="Z131" t="str">
            <v/>
          </cell>
          <cell r="AA131" t="str">
            <v/>
          </cell>
          <cell r="AB131" t="str">
            <v>PA_4453771-UA.7005-3</v>
          </cell>
          <cell r="AC131">
            <v>1</v>
          </cell>
          <cell r="AD131" t="str">
            <v/>
          </cell>
          <cell r="AE131">
            <v>0</v>
          </cell>
          <cell r="AF131" t="str">
            <v/>
          </cell>
          <cell r="AG131" t="str">
            <v>12530246</v>
          </cell>
          <cell r="AH131">
            <v>44624.922673611109</v>
          </cell>
          <cell r="AI131" t="str">
            <v>N52</v>
          </cell>
          <cell r="AJ131" t="str">
            <v>F</v>
          </cell>
          <cell r="AK131" t="str">
            <v/>
          </cell>
        </row>
        <row r="132">
          <cell r="A132" t="str">
            <v>12530247829051</v>
          </cell>
          <cell r="B132" t="e">
            <v>#N/A</v>
          </cell>
          <cell r="C132">
            <v>18</v>
          </cell>
          <cell r="D132" t="str">
            <v>EK65</v>
          </cell>
          <cell r="E132" t="str">
            <v>522375</v>
          </cell>
          <cell r="F132" t="str">
            <v>E</v>
          </cell>
          <cell r="G132" t="str">
            <v>12530247</v>
          </cell>
          <cell r="H132" t="str">
            <v>Halter_LVA</v>
          </cell>
          <cell r="I132">
            <v>10</v>
          </cell>
          <cell r="J132" t="str">
            <v>Stk</v>
          </cell>
          <cell r="K132">
            <v>45520</v>
          </cell>
          <cell r="L132" t="str">
            <v>829051</v>
          </cell>
          <cell r="M132" t="str">
            <v/>
          </cell>
          <cell r="N132" t="str">
            <v/>
          </cell>
          <cell r="O132" t="str">
            <v/>
          </cell>
          <cell r="P132" t="str">
            <v/>
          </cell>
          <cell r="Q132" t="str">
            <v/>
          </cell>
          <cell r="R132" t="str">
            <v/>
          </cell>
          <cell r="S132" t="str">
            <v/>
          </cell>
          <cell r="T132" t="str">
            <v/>
          </cell>
          <cell r="U132" t="str">
            <v/>
          </cell>
          <cell r="V132" t="str">
            <v>N52</v>
          </cell>
          <cell r="W132" t="str">
            <v/>
          </cell>
          <cell r="X132" t="str">
            <v/>
          </cell>
          <cell r="Y132" t="str">
            <v/>
          </cell>
          <cell r="Z132" t="str">
            <v/>
          </cell>
          <cell r="AA132" t="str">
            <v/>
          </cell>
          <cell r="AB132" t="str">
            <v>PA_4415886-UA.7005-3</v>
          </cell>
          <cell r="AC132">
            <v>1</v>
          </cell>
          <cell r="AD132" t="str">
            <v/>
          </cell>
          <cell r="AE132">
            <v>0</v>
          </cell>
          <cell r="AF132" t="str">
            <v/>
          </cell>
          <cell r="AG132" t="str">
            <v>12530247</v>
          </cell>
          <cell r="AH132">
            <v>44624.922708333332</v>
          </cell>
          <cell r="AI132" t="str">
            <v>N52</v>
          </cell>
          <cell r="AJ132" t="str">
            <v>F</v>
          </cell>
          <cell r="AK132" t="str">
            <v/>
          </cell>
        </row>
        <row r="133">
          <cell r="A133" t="str">
            <v>12530247829052</v>
          </cell>
          <cell r="B133" t="e">
            <v>#N/A</v>
          </cell>
          <cell r="C133">
            <v>18</v>
          </cell>
          <cell r="D133" t="str">
            <v>EK65</v>
          </cell>
          <cell r="E133" t="str">
            <v>522376</v>
          </cell>
          <cell r="F133" t="str">
            <v>E</v>
          </cell>
          <cell r="G133" t="str">
            <v>12530247</v>
          </cell>
          <cell r="H133" t="str">
            <v>Halter_LVA</v>
          </cell>
          <cell r="I133">
            <v>2</v>
          </cell>
          <cell r="J133" t="str">
            <v>Stk</v>
          </cell>
          <cell r="K133">
            <v>45538</v>
          </cell>
          <cell r="L133" t="str">
            <v>829052</v>
          </cell>
          <cell r="M133" t="str">
            <v/>
          </cell>
          <cell r="N133" t="str">
            <v/>
          </cell>
          <cell r="O133" t="str">
            <v/>
          </cell>
          <cell r="P133" t="str">
            <v/>
          </cell>
          <cell r="Q133" t="str">
            <v/>
          </cell>
          <cell r="R133" t="str">
            <v/>
          </cell>
          <cell r="S133" t="str">
            <v/>
          </cell>
          <cell r="T133" t="str">
            <v/>
          </cell>
          <cell r="U133" t="str">
            <v/>
          </cell>
          <cell r="V133" t="str">
            <v>N52</v>
          </cell>
          <cell r="W133" t="str">
            <v/>
          </cell>
          <cell r="X133" t="str">
            <v/>
          </cell>
          <cell r="Y133" t="str">
            <v/>
          </cell>
          <cell r="Z133" t="str">
            <v/>
          </cell>
          <cell r="AA133" t="str">
            <v/>
          </cell>
          <cell r="AB133" t="str">
            <v>PA_4415886-UA.7005-3</v>
          </cell>
          <cell r="AC133">
            <v>1</v>
          </cell>
          <cell r="AD133" t="str">
            <v/>
          </cell>
          <cell r="AE133">
            <v>0</v>
          </cell>
          <cell r="AF133" t="str">
            <v/>
          </cell>
          <cell r="AG133" t="str">
            <v>12530247</v>
          </cell>
          <cell r="AH133">
            <v>44624.922708333332</v>
          </cell>
          <cell r="AI133" t="str">
            <v>N52</v>
          </cell>
          <cell r="AJ133" t="str">
            <v>F</v>
          </cell>
          <cell r="AK133" t="str">
            <v/>
          </cell>
        </row>
        <row r="134">
          <cell r="A134" t="str">
            <v>12530250829051</v>
          </cell>
          <cell r="B134" t="str">
            <v>BL20230413-2</v>
          </cell>
          <cell r="C134">
            <v>24</v>
          </cell>
          <cell r="D134" t="str">
            <v>EK65</v>
          </cell>
          <cell r="E134" t="str">
            <v>522381</v>
          </cell>
          <cell r="F134" t="str">
            <v>E</v>
          </cell>
          <cell r="G134" t="str">
            <v>12530250</v>
          </cell>
          <cell r="H134" t="str">
            <v>Halter</v>
          </cell>
          <cell r="I134">
            <v>45</v>
          </cell>
          <cell r="J134" t="str">
            <v>Stk</v>
          </cell>
          <cell r="K134">
            <v>45337</v>
          </cell>
          <cell r="L134" t="str">
            <v>829051</v>
          </cell>
          <cell r="M134" t="str">
            <v/>
          </cell>
          <cell r="N134" t="str">
            <v/>
          </cell>
          <cell r="O134" t="str">
            <v/>
          </cell>
          <cell r="P134" t="str">
            <v/>
          </cell>
          <cell r="Q134" t="str">
            <v/>
          </cell>
          <cell r="R134" t="str">
            <v/>
          </cell>
          <cell r="S134" t="str">
            <v/>
          </cell>
          <cell r="T134" t="str">
            <v/>
          </cell>
          <cell r="U134" t="str">
            <v/>
          </cell>
          <cell r="V134" t="str">
            <v>N52</v>
          </cell>
          <cell r="W134" t="str">
            <v/>
          </cell>
          <cell r="X134" t="str">
            <v/>
          </cell>
          <cell r="Y134" t="str">
            <v/>
          </cell>
          <cell r="Z134" t="str">
            <v/>
          </cell>
          <cell r="AA134" t="str">
            <v/>
          </cell>
          <cell r="AB134" t="str">
            <v>PA_4537164-UA.7005-3</v>
          </cell>
          <cell r="AC134">
            <v>1</v>
          </cell>
          <cell r="AD134" t="str">
            <v/>
          </cell>
          <cell r="AE134">
            <v>0</v>
          </cell>
          <cell r="AF134" t="str">
            <v/>
          </cell>
          <cell r="AG134" t="str">
            <v>12530250</v>
          </cell>
          <cell r="AH134">
            <v>44624.922812500001</v>
          </cell>
          <cell r="AI134" t="str">
            <v>N52</v>
          </cell>
          <cell r="AJ134" t="str">
            <v>F</v>
          </cell>
          <cell r="AK134" t="str">
            <v/>
          </cell>
        </row>
        <row r="135">
          <cell r="A135" t="str">
            <v>12530250829052</v>
          </cell>
          <cell r="B135" t="e">
            <v>#N/A</v>
          </cell>
          <cell r="C135">
            <v>24</v>
          </cell>
          <cell r="D135" t="str">
            <v>EK65</v>
          </cell>
          <cell r="E135" t="str">
            <v>522382</v>
          </cell>
          <cell r="F135" t="str">
            <v>E</v>
          </cell>
          <cell r="G135" t="str">
            <v>12530250</v>
          </cell>
          <cell r="H135" t="str">
            <v>Halter</v>
          </cell>
          <cell r="I135">
            <v>15</v>
          </cell>
          <cell r="J135" t="str">
            <v>Stk</v>
          </cell>
          <cell r="K135">
            <v>45365</v>
          </cell>
          <cell r="L135" t="str">
            <v>829052</v>
          </cell>
          <cell r="M135" t="str">
            <v/>
          </cell>
          <cell r="N135" t="str">
            <v/>
          </cell>
          <cell r="O135" t="str">
            <v/>
          </cell>
          <cell r="P135" t="str">
            <v/>
          </cell>
          <cell r="Q135" t="str">
            <v/>
          </cell>
          <cell r="R135" t="str">
            <v/>
          </cell>
          <cell r="S135" t="str">
            <v/>
          </cell>
          <cell r="T135" t="str">
            <v/>
          </cell>
          <cell r="U135" t="str">
            <v/>
          </cell>
          <cell r="V135" t="str">
            <v>N52</v>
          </cell>
          <cell r="W135" t="str">
            <v/>
          </cell>
          <cell r="X135" t="str">
            <v/>
          </cell>
          <cell r="Y135" t="str">
            <v/>
          </cell>
          <cell r="Z135" t="str">
            <v/>
          </cell>
          <cell r="AA135" t="str">
            <v/>
          </cell>
          <cell r="AB135" t="str">
            <v>PA_4537164-UA.7005-3</v>
          </cell>
          <cell r="AC135">
            <v>1</v>
          </cell>
          <cell r="AD135" t="str">
            <v/>
          </cell>
          <cell r="AE135">
            <v>0</v>
          </cell>
          <cell r="AF135" t="str">
            <v/>
          </cell>
          <cell r="AG135" t="str">
            <v>12530250</v>
          </cell>
          <cell r="AH135">
            <v>44624.922812500001</v>
          </cell>
          <cell r="AI135" t="str">
            <v>N52</v>
          </cell>
          <cell r="AJ135" t="str">
            <v>F</v>
          </cell>
          <cell r="AK135" t="str">
            <v/>
          </cell>
        </row>
        <row r="136">
          <cell r="A136" t="str">
            <v>12506074829053</v>
          </cell>
          <cell r="B136" t="e">
            <v>#N/A</v>
          </cell>
          <cell r="C136">
            <v>12</v>
          </cell>
          <cell r="D136" t="str">
            <v>EK65</v>
          </cell>
          <cell r="E136" t="str">
            <v>522518</v>
          </cell>
          <cell r="F136" t="str">
            <v>E</v>
          </cell>
          <cell r="G136" t="str">
            <v>12506074</v>
          </cell>
          <cell r="H136" t="str">
            <v>Winkel Kaltgeraetesteckdose</v>
          </cell>
          <cell r="I136">
            <v>3</v>
          </cell>
          <cell r="J136" t="str">
            <v>Stk</v>
          </cell>
          <cell r="K136">
            <v>45294</v>
          </cell>
          <cell r="L136" t="str">
            <v>829053</v>
          </cell>
          <cell r="M136" t="str">
            <v/>
          </cell>
          <cell r="N136" t="str">
            <v/>
          </cell>
          <cell r="O136" t="str">
            <v/>
          </cell>
          <cell r="P136" t="str">
            <v/>
          </cell>
          <cell r="Q136" t="str">
            <v/>
          </cell>
          <cell r="R136" t="str">
            <v/>
          </cell>
          <cell r="S136" t="str">
            <v/>
          </cell>
          <cell r="T136" t="str">
            <v/>
          </cell>
          <cell r="U136" t="str">
            <v/>
          </cell>
          <cell r="V136" t="str">
            <v>N52</v>
          </cell>
          <cell r="W136" t="str">
            <v/>
          </cell>
          <cell r="X136" t="str">
            <v/>
          </cell>
          <cell r="Y136" t="str">
            <v/>
          </cell>
          <cell r="Z136" t="str">
            <v/>
          </cell>
          <cell r="AA136" t="str">
            <v/>
          </cell>
          <cell r="AB136" t="str">
            <v>PA_4357461-TA.7005-3</v>
          </cell>
          <cell r="AC136">
            <v>1</v>
          </cell>
          <cell r="AD136" t="str">
            <v/>
          </cell>
          <cell r="AE136">
            <v>0</v>
          </cell>
          <cell r="AF136" t="str">
            <v/>
          </cell>
          <cell r="AG136" t="str">
            <v>12506074</v>
          </cell>
          <cell r="AH136">
            <v>44624.928252314814</v>
          </cell>
          <cell r="AI136" t="str">
            <v>N52</v>
          </cell>
          <cell r="AJ136" t="str">
            <v>F</v>
          </cell>
          <cell r="AK136" t="str">
            <v/>
          </cell>
        </row>
        <row r="137">
          <cell r="A137" t="str">
            <v>12506206829053</v>
          </cell>
          <cell r="B137" t="e">
            <v>#N/A</v>
          </cell>
          <cell r="C137">
            <v>10</v>
          </cell>
          <cell r="D137" t="str">
            <v>EK65</v>
          </cell>
          <cell r="E137" t="str">
            <v>522519</v>
          </cell>
          <cell r="F137" t="str">
            <v>E</v>
          </cell>
          <cell r="G137" t="str">
            <v>12506206</v>
          </cell>
          <cell r="H137" t="str">
            <v>Befestigungsblech</v>
          </cell>
          <cell r="I137">
            <v>48</v>
          </cell>
          <cell r="J137" t="str">
            <v>Stk</v>
          </cell>
          <cell r="K137">
            <v>45114</v>
          </cell>
          <cell r="L137" t="str">
            <v>829053</v>
          </cell>
          <cell r="M137" t="str">
            <v/>
          </cell>
          <cell r="N137" t="str">
            <v/>
          </cell>
          <cell r="O137" t="str">
            <v/>
          </cell>
          <cell r="P137" t="str">
            <v/>
          </cell>
          <cell r="Q137" t="str">
            <v/>
          </cell>
          <cell r="R137" t="str">
            <v/>
          </cell>
          <cell r="S137" t="str">
            <v/>
          </cell>
          <cell r="T137" t="str">
            <v/>
          </cell>
          <cell r="U137" t="str">
            <v/>
          </cell>
          <cell r="V137" t="str">
            <v>N52</v>
          </cell>
          <cell r="W137" t="str">
            <v/>
          </cell>
          <cell r="X137" t="str">
            <v/>
          </cell>
          <cell r="Y137" t="str">
            <v/>
          </cell>
          <cell r="Z137" t="str">
            <v/>
          </cell>
          <cell r="AA137" t="str">
            <v/>
          </cell>
          <cell r="AB137" t="str">
            <v>PA_2344040-TA.7005-3</v>
          </cell>
          <cell r="AC137">
            <v>1</v>
          </cell>
          <cell r="AD137" t="str">
            <v/>
          </cell>
          <cell r="AE137">
            <v>0</v>
          </cell>
          <cell r="AF137" t="str">
            <v/>
          </cell>
          <cell r="AG137" t="str">
            <v>12506206</v>
          </cell>
          <cell r="AH137">
            <v>44624.928287037037</v>
          </cell>
          <cell r="AI137" t="str">
            <v>N52</v>
          </cell>
          <cell r="AJ137" t="str">
            <v>F</v>
          </cell>
          <cell r="AK137" t="str">
            <v/>
          </cell>
        </row>
        <row r="138">
          <cell r="A138" t="str">
            <v>12506418829051</v>
          </cell>
          <cell r="B138" t="str">
            <v>Übergabe Task Force</v>
          </cell>
          <cell r="C138">
            <v>10</v>
          </cell>
          <cell r="D138" t="str">
            <v>EK65</v>
          </cell>
          <cell r="E138" t="str">
            <v>522520</v>
          </cell>
          <cell r="F138" t="str">
            <v>E</v>
          </cell>
          <cell r="G138" t="str">
            <v>12506418</v>
          </cell>
          <cell r="H138" t="str">
            <v>Adapterplatte fuer Redbox</v>
          </cell>
          <cell r="I138">
            <v>57</v>
          </cell>
          <cell r="J138" t="str">
            <v>Stk</v>
          </cell>
          <cell r="K138">
            <v>45107</v>
          </cell>
          <cell r="L138" t="str">
            <v>829051</v>
          </cell>
          <cell r="M138" t="str">
            <v/>
          </cell>
          <cell r="N138" t="str">
            <v/>
          </cell>
          <cell r="O138" t="str">
            <v/>
          </cell>
          <cell r="P138" t="str">
            <v/>
          </cell>
          <cell r="Q138" t="str">
            <v/>
          </cell>
          <cell r="R138" t="str">
            <v/>
          </cell>
          <cell r="S138" t="str">
            <v/>
          </cell>
          <cell r="T138" t="str">
            <v/>
          </cell>
          <cell r="U138" t="str">
            <v/>
          </cell>
          <cell r="V138" t="str">
            <v>N52</v>
          </cell>
          <cell r="W138" t="str">
            <v/>
          </cell>
          <cell r="X138" t="str">
            <v/>
          </cell>
          <cell r="Y138" t="str">
            <v/>
          </cell>
          <cell r="Z138" t="str">
            <v/>
          </cell>
          <cell r="AA138" t="str">
            <v/>
          </cell>
          <cell r="AB138" t="str">
            <v>PA_2343968-TA.7005-2</v>
          </cell>
          <cell r="AC138">
            <v>1</v>
          </cell>
          <cell r="AD138" t="str">
            <v/>
          </cell>
          <cell r="AE138">
            <v>0</v>
          </cell>
          <cell r="AF138" t="str">
            <v/>
          </cell>
          <cell r="AG138" t="str">
            <v>12506418</v>
          </cell>
          <cell r="AH138">
            <v>44624.928310185183</v>
          </cell>
          <cell r="AI138" t="str">
            <v>N52</v>
          </cell>
          <cell r="AJ138" t="str">
            <v>F</v>
          </cell>
          <cell r="AK138" t="str">
            <v/>
          </cell>
        </row>
        <row r="139">
          <cell r="A139" t="str">
            <v>12517373829053</v>
          </cell>
          <cell r="B139" t="e">
            <v>#N/A</v>
          </cell>
          <cell r="C139">
            <v>8</v>
          </cell>
          <cell r="D139" t="str">
            <v>EK65</v>
          </cell>
          <cell r="E139" t="str">
            <v>522525</v>
          </cell>
          <cell r="F139" t="str">
            <v>E</v>
          </cell>
          <cell r="G139" t="str">
            <v>12517373</v>
          </cell>
          <cell r="H139" t="str">
            <v>Sammelschiene vollst.</v>
          </cell>
          <cell r="I139">
            <v>48</v>
          </cell>
          <cell r="J139" t="str">
            <v>Stk</v>
          </cell>
          <cell r="K139">
            <v>45153</v>
          </cell>
          <cell r="L139" t="str">
            <v>829053</v>
          </cell>
          <cell r="M139" t="str">
            <v/>
          </cell>
          <cell r="N139" t="str">
            <v/>
          </cell>
          <cell r="O139" t="str">
            <v/>
          </cell>
          <cell r="P139" t="str">
            <v/>
          </cell>
          <cell r="Q139" t="str">
            <v/>
          </cell>
          <cell r="R139" t="str">
            <v/>
          </cell>
          <cell r="S139" t="str">
            <v/>
          </cell>
          <cell r="T139" t="str">
            <v/>
          </cell>
          <cell r="U139" t="str">
            <v/>
          </cell>
          <cell r="V139" t="str">
            <v>N52</v>
          </cell>
          <cell r="W139" t="str">
            <v/>
          </cell>
          <cell r="X139" t="str">
            <v/>
          </cell>
          <cell r="Y139" t="str">
            <v/>
          </cell>
          <cell r="Z139" t="str">
            <v/>
          </cell>
          <cell r="AA139" t="str">
            <v/>
          </cell>
          <cell r="AB139" t="str">
            <v>PA_4308749-UA.7005-2</v>
          </cell>
          <cell r="AC139">
            <v>1</v>
          </cell>
          <cell r="AD139" t="str">
            <v/>
          </cell>
          <cell r="AE139">
            <v>0</v>
          </cell>
          <cell r="AF139" t="str">
            <v/>
          </cell>
          <cell r="AG139" t="str">
            <v>12517373</v>
          </cell>
          <cell r="AH139">
            <v>44624.928425925929</v>
          </cell>
          <cell r="AI139" t="str">
            <v>N52</v>
          </cell>
          <cell r="AJ139" t="str">
            <v>F</v>
          </cell>
          <cell r="AK139" t="str">
            <v/>
          </cell>
        </row>
        <row r="140">
          <cell r="A140" t="str">
            <v>12519723829054</v>
          </cell>
          <cell r="B140" t="e">
            <v>#N/A</v>
          </cell>
          <cell r="C140">
            <v>21</v>
          </cell>
          <cell r="D140" t="str">
            <v>EK65</v>
          </cell>
          <cell r="E140" t="str">
            <v>522535</v>
          </cell>
          <cell r="F140" t="str">
            <v>E</v>
          </cell>
          <cell r="G140" t="str">
            <v>12519723</v>
          </cell>
          <cell r="H140" t="str">
            <v>Schirmblech E24Mono</v>
          </cell>
          <cell r="I140">
            <v>56</v>
          </cell>
          <cell r="J140" t="str">
            <v>Stk</v>
          </cell>
          <cell r="K140">
            <v>45167</v>
          </cell>
          <cell r="L140" t="str">
            <v>829054</v>
          </cell>
          <cell r="M140" t="str">
            <v/>
          </cell>
          <cell r="N140" t="str">
            <v/>
          </cell>
          <cell r="O140" t="str">
            <v/>
          </cell>
          <cell r="P140" t="str">
            <v/>
          </cell>
          <cell r="Q140" t="str">
            <v/>
          </cell>
          <cell r="R140" t="str">
            <v/>
          </cell>
          <cell r="S140" t="str">
            <v/>
          </cell>
          <cell r="T140" t="str">
            <v/>
          </cell>
          <cell r="U140" t="str">
            <v/>
          </cell>
          <cell r="V140" t="str">
            <v>N52</v>
          </cell>
          <cell r="W140" t="str">
            <v/>
          </cell>
          <cell r="X140" t="str">
            <v/>
          </cell>
          <cell r="Y140" t="str">
            <v/>
          </cell>
          <cell r="Z140" t="str">
            <v/>
          </cell>
          <cell r="AA140" t="str">
            <v/>
          </cell>
          <cell r="AB140" t="str">
            <v>PA_4569117-UA.7005-2</v>
          </cell>
          <cell r="AC140">
            <v>1</v>
          </cell>
          <cell r="AD140" t="str">
            <v/>
          </cell>
          <cell r="AE140">
            <v>0</v>
          </cell>
          <cell r="AF140" t="str">
            <v/>
          </cell>
          <cell r="AG140" t="str">
            <v>12519723</v>
          </cell>
          <cell r="AH140">
            <v>44624.928935185184</v>
          </cell>
          <cell r="AI140" t="str">
            <v>N52</v>
          </cell>
          <cell r="AJ140" t="str">
            <v>F</v>
          </cell>
          <cell r="AK140" t="str">
            <v/>
          </cell>
        </row>
        <row r="141">
          <cell r="A141" t="str">
            <v>12519740829053</v>
          </cell>
          <cell r="B141" t="str">
            <v>Übergabe Task Force</v>
          </cell>
          <cell r="C141">
            <v>18</v>
          </cell>
          <cell r="D141" t="str">
            <v>EK65</v>
          </cell>
          <cell r="E141" t="str">
            <v>522538</v>
          </cell>
          <cell r="F141" t="str">
            <v>E</v>
          </cell>
          <cell r="G141" t="str">
            <v>12519740</v>
          </cell>
          <cell r="H141" t="str">
            <v>Schirmblech E10Mod</v>
          </cell>
          <cell r="I141">
            <v>135</v>
          </cell>
          <cell r="J141" t="str">
            <v>Stk</v>
          </cell>
          <cell r="K141">
            <v>45226</v>
          </cell>
          <cell r="L141" t="str">
            <v>829053</v>
          </cell>
          <cell r="M141" t="str">
            <v/>
          </cell>
          <cell r="N141" t="str">
            <v/>
          </cell>
          <cell r="O141" t="str">
            <v/>
          </cell>
          <cell r="P141" t="str">
            <v/>
          </cell>
          <cell r="Q141" t="str">
            <v/>
          </cell>
          <cell r="R141" t="str">
            <v/>
          </cell>
          <cell r="S141" t="str">
            <v/>
          </cell>
          <cell r="T141" t="str">
            <v/>
          </cell>
          <cell r="U141" t="str">
            <v/>
          </cell>
          <cell r="V141" t="str">
            <v>N52</v>
          </cell>
          <cell r="W141" t="str">
            <v/>
          </cell>
          <cell r="X141" t="str">
            <v/>
          </cell>
          <cell r="Y141" t="str">
            <v/>
          </cell>
          <cell r="Z141" t="str">
            <v/>
          </cell>
          <cell r="AA141" t="str">
            <v/>
          </cell>
          <cell r="AB141" t="str">
            <v>PA_4571316-UA.7005-2</v>
          </cell>
          <cell r="AC141">
            <v>1</v>
          </cell>
          <cell r="AD141" t="str">
            <v/>
          </cell>
          <cell r="AE141">
            <v>0</v>
          </cell>
          <cell r="AF141" t="str">
            <v/>
          </cell>
          <cell r="AG141" t="str">
            <v>12519740</v>
          </cell>
          <cell r="AH141">
            <v>44624.92900462963</v>
          </cell>
          <cell r="AI141" t="str">
            <v>N52</v>
          </cell>
          <cell r="AJ141" t="str">
            <v>F</v>
          </cell>
          <cell r="AK141" t="str">
            <v/>
          </cell>
        </row>
        <row r="142">
          <cell r="A142" t="str">
            <v>12520314829053</v>
          </cell>
          <cell r="B142" t="e">
            <v>#N/A</v>
          </cell>
          <cell r="C142">
            <v>12</v>
          </cell>
          <cell r="D142" t="str">
            <v>EK65</v>
          </cell>
          <cell r="E142" t="str">
            <v>522541</v>
          </cell>
          <cell r="F142" t="str">
            <v>E</v>
          </cell>
          <cell r="G142" t="str">
            <v>12520314</v>
          </cell>
          <cell r="H142" t="str">
            <v>Halter</v>
          </cell>
          <cell r="I142">
            <v>23</v>
          </cell>
          <cell r="J142" t="str">
            <v>Stk</v>
          </cell>
          <cell r="K142">
            <v>45114</v>
          </cell>
          <cell r="L142" t="str">
            <v>829053</v>
          </cell>
          <cell r="M142" t="str">
            <v/>
          </cell>
          <cell r="N142" t="str">
            <v/>
          </cell>
          <cell r="O142" t="str">
            <v/>
          </cell>
          <cell r="P142" t="str">
            <v/>
          </cell>
          <cell r="Q142" t="str">
            <v/>
          </cell>
          <cell r="R142" t="str">
            <v/>
          </cell>
          <cell r="S142" t="str">
            <v/>
          </cell>
          <cell r="T142" t="str">
            <v/>
          </cell>
          <cell r="U142" t="str">
            <v/>
          </cell>
          <cell r="V142" t="str">
            <v>N52</v>
          </cell>
          <cell r="W142" t="str">
            <v/>
          </cell>
          <cell r="X142" t="str">
            <v/>
          </cell>
          <cell r="Y142" t="str">
            <v/>
          </cell>
          <cell r="Z142" t="str">
            <v/>
          </cell>
          <cell r="AA142" t="str">
            <v/>
          </cell>
          <cell r="AB142" t="str">
            <v>PA_2334345-TC.7005-2</v>
          </cell>
          <cell r="AC142">
            <v>1</v>
          </cell>
          <cell r="AD142" t="str">
            <v/>
          </cell>
          <cell r="AE142">
            <v>0</v>
          </cell>
          <cell r="AF142" t="str">
            <v/>
          </cell>
          <cell r="AG142" t="str">
            <v>12520314</v>
          </cell>
          <cell r="AH142">
            <v>44624.929097222222</v>
          </cell>
          <cell r="AI142" t="str">
            <v>N52</v>
          </cell>
          <cell r="AJ142" t="str">
            <v>F</v>
          </cell>
          <cell r="AK142" t="str">
            <v/>
          </cell>
        </row>
        <row r="143">
          <cell r="A143" t="str">
            <v>12531177829053</v>
          </cell>
          <cell r="B143" t="str">
            <v>Übergabe Task Force</v>
          </cell>
          <cell r="C143">
            <v>12</v>
          </cell>
          <cell r="D143" t="str">
            <v>EK65</v>
          </cell>
          <cell r="E143" t="str">
            <v>522543</v>
          </cell>
          <cell r="F143" t="str">
            <v>E</v>
          </cell>
          <cell r="G143" t="str">
            <v>12531177</v>
          </cell>
          <cell r="H143" t="str">
            <v>Klemmbuchse ID6 AD30 H20</v>
          </cell>
          <cell r="I143">
            <v>182</v>
          </cell>
          <cell r="J143" t="str">
            <v>Stk</v>
          </cell>
          <cell r="K143">
            <v>45153</v>
          </cell>
          <cell r="L143" t="str">
            <v>829053</v>
          </cell>
          <cell r="M143" t="str">
            <v/>
          </cell>
          <cell r="N143" t="str">
            <v/>
          </cell>
          <cell r="O143" t="str">
            <v/>
          </cell>
          <cell r="P143" t="str">
            <v/>
          </cell>
          <cell r="Q143" t="str">
            <v/>
          </cell>
          <cell r="R143" t="str">
            <v/>
          </cell>
          <cell r="S143" t="str">
            <v/>
          </cell>
          <cell r="T143" t="str">
            <v/>
          </cell>
          <cell r="U143" t="str">
            <v/>
          </cell>
          <cell r="V143" t="str">
            <v>N52</v>
          </cell>
          <cell r="W143" t="str">
            <v/>
          </cell>
          <cell r="X143" t="str">
            <v/>
          </cell>
          <cell r="Y143" t="str">
            <v/>
          </cell>
          <cell r="Z143" t="str">
            <v/>
          </cell>
          <cell r="AA143" t="str">
            <v/>
          </cell>
          <cell r="AB143" t="str">
            <v>PA_4603025-UA.7005-4</v>
          </cell>
          <cell r="AC143">
            <v>1</v>
          </cell>
          <cell r="AD143" t="str">
            <v/>
          </cell>
          <cell r="AE143">
            <v>0</v>
          </cell>
          <cell r="AF143" t="str">
            <v/>
          </cell>
          <cell r="AG143" t="str">
            <v>12531177</v>
          </cell>
          <cell r="AH143">
            <v>44624.929386574076</v>
          </cell>
          <cell r="AI143" t="str">
            <v>N52</v>
          </cell>
          <cell r="AJ143" t="str">
            <v>F</v>
          </cell>
          <cell r="AK143" t="str">
            <v/>
          </cell>
        </row>
        <row r="144">
          <cell r="A144" t="str">
            <v>12532710829054</v>
          </cell>
          <cell r="B144" t="e">
            <v>#N/A</v>
          </cell>
          <cell r="C144">
            <v>16</v>
          </cell>
          <cell r="D144" t="str">
            <v>EK65</v>
          </cell>
          <cell r="E144" t="str">
            <v>522545</v>
          </cell>
          <cell r="F144" t="str">
            <v>E</v>
          </cell>
          <cell r="G144" t="str">
            <v>12532710</v>
          </cell>
          <cell r="H144" t="str">
            <v>Kabelkanal</v>
          </cell>
          <cell r="I144">
            <v>84</v>
          </cell>
          <cell r="J144" t="str">
            <v>Stk</v>
          </cell>
          <cell r="K144">
            <v>45499</v>
          </cell>
          <cell r="L144" t="str">
            <v>829054</v>
          </cell>
          <cell r="M144" t="str">
            <v/>
          </cell>
          <cell r="N144" t="str">
            <v/>
          </cell>
          <cell r="O144" t="str">
            <v/>
          </cell>
          <cell r="P144" t="str">
            <v/>
          </cell>
          <cell r="Q144" t="str">
            <v/>
          </cell>
          <cell r="R144" t="str">
            <v/>
          </cell>
          <cell r="S144" t="str">
            <v/>
          </cell>
          <cell r="T144" t="str">
            <v/>
          </cell>
          <cell r="U144" t="str">
            <v/>
          </cell>
          <cell r="V144" t="str">
            <v>N52</v>
          </cell>
          <cell r="W144" t="str">
            <v/>
          </cell>
          <cell r="X144" t="str">
            <v/>
          </cell>
          <cell r="Y144" t="str">
            <v/>
          </cell>
          <cell r="Z144" t="str">
            <v/>
          </cell>
          <cell r="AA144" t="str">
            <v/>
          </cell>
          <cell r="AB144" t="str">
            <v>PA_4467581-UA.7005-2</v>
          </cell>
          <cell r="AC144">
            <v>1</v>
          </cell>
          <cell r="AD144" t="str">
            <v/>
          </cell>
          <cell r="AE144">
            <v>0</v>
          </cell>
          <cell r="AF144" t="str">
            <v/>
          </cell>
          <cell r="AG144" t="str">
            <v>12532710</v>
          </cell>
          <cell r="AH144">
            <v>44624.929432870369</v>
          </cell>
          <cell r="AI144" t="str">
            <v>N52</v>
          </cell>
          <cell r="AJ144" t="str">
            <v>F</v>
          </cell>
          <cell r="AK144" t="str">
            <v/>
          </cell>
        </row>
        <row r="145">
          <cell r="A145" t="str">
            <v>12533484829053</v>
          </cell>
          <cell r="B145" t="e">
            <v>#N/A</v>
          </cell>
          <cell r="C145">
            <v>20</v>
          </cell>
          <cell r="D145" t="str">
            <v>EK65</v>
          </cell>
          <cell r="E145" t="str">
            <v>522550</v>
          </cell>
          <cell r="F145" t="str">
            <v>E</v>
          </cell>
          <cell r="G145" t="str">
            <v>12533484</v>
          </cell>
          <cell r="H145" t="str">
            <v>Kabelschutz</v>
          </cell>
          <cell r="I145">
            <v>48</v>
          </cell>
          <cell r="J145" t="str">
            <v>Stk</v>
          </cell>
          <cell r="K145">
            <v>45153</v>
          </cell>
          <cell r="L145" t="str">
            <v>829053</v>
          </cell>
          <cell r="M145" t="str">
            <v/>
          </cell>
          <cell r="N145" t="str">
            <v/>
          </cell>
          <cell r="O145" t="str">
            <v/>
          </cell>
          <cell r="P145" t="str">
            <v/>
          </cell>
          <cell r="Q145" t="str">
            <v/>
          </cell>
          <cell r="R145" t="str">
            <v/>
          </cell>
          <cell r="S145" t="str">
            <v/>
          </cell>
          <cell r="T145" t="str">
            <v/>
          </cell>
          <cell r="U145" t="str">
            <v/>
          </cell>
          <cell r="V145" t="str">
            <v>N52</v>
          </cell>
          <cell r="W145" t="str">
            <v/>
          </cell>
          <cell r="X145" t="str">
            <v/>
          </cell>
          <cell r="Y145" t="str">
            <v/>
          </cell>
          <cell r="Z145" t="str">
            <v/>
          </cell>
          <cell r="AA145" t="str">
            <v/>
          </cell>
          <cell r="AB145" t="str">
            <v>PA_2337209-UA.7005-4</v>
          </cell>
          <cell r="AC145">
            <v>1</v>
          </cell>
          <cell r="AD145" t="str">
            <v/>
          </cell>
          <cell r="AE145">
            <v>0</v>
          </cell>
          <cell r="AF145" t="str">
            <v/>
          </cell>
          <cell r="AG145" t="str">
            <v>12533484</v>
          </cell>
          <cell r="AH145">
            <v>44624.929479166669</v>
          </cell>
          <cell r="AI145" t="str">
            <v>N52</v>
          </cell>
          <cell r="AJ145" t="str">
            <v>F</v>
          </cell>
          <cell r="AK145" t="str">
            <v/>
          </cell>
        </row>
        <row r="146">
          <cell r="A146" t="str">
            <v>12533499829053</v>
          </cell>
          <cell r="B146" t="e">
            <v>#N/A</v>
          </cell>
          <cell r="C146">
            <v>20</v>
          </cell>
          <cell r="D146" t="str">
            <v>EK65</v>
          </cell>
          <cell r="E146" t="str">
            <v>522552</v>
          </cell>
          <cell r="F146" t="str">
            <v>E</v>
          </cell>
          <cell r="G146" t="str">
            <v>12533499</v>
          </cell>
          <cell r="H146" t="str">
            <v>Halter</v>
          </cell>
          <cell r="I146">
            <v>22</v>
          </cell>
          <cell r="J146" t="str">
            <v>Stk</v>
          </cell>
          <cell r="K146">
            <v>45167</v>
          </cell>
          <cell r="L146" t="str">
            <v>829053</v>
          </cell>
          <cell r="M146" t="str">
            <v/>
          </cell>
          <cell r="N146" t="str">
            <v/>
          </cell>
          <cell r="O146" t="str">
            <v/>
          </cell>
          <cell r="P146" t="str">
            <v/>
          </cell>
          <cell r="Q146" t="str">
            <v/>
          </cell>
          <cell r="R146" t="str">
            <v/>
          </cell>
          <cell r="S146" t="str">
            <v/>
          </cell>
          <cell r="T146" t="str">
            <v/>
          </cell>
          <cell r="U146" t="str">
            <v/>
          </cell>
          <cell r="V146" t="str">
            <v>N52</v>
          </cell>
          <cell r="W146" t="str">
            <v/>
          </cell>
          <cell r="X146" t="str">
            <v/>
          </cell>
          <cell r="Y146" t="str">
            <v/>
          </cell>
          <cell r="Z146" t="str">
            <v/>
          </cell>
          <cell r="AA146" t="str">
            <v/>
          </cell>
          <cell r="AB146" t="str">
            <v>PA_2342546-UA.7005-2</v>
          </cell>
          <cell r="AC146">
            <v>1</v>
          </cell>
          <cell r="AD146" t="str">
            <v/>
          </cell>
          <cell r="AE146">
            <v>0</v>
          </cell>
          <cell r="AF146" t="str">
            <v/>
          </cell>
          <cell r="AG146" t="str">
            <v>12533499</v>
          </cell>
          <cell r="AH146">
            <v>44624.929490740738</v>
          </cell>
          <cell r="AI146" t="str">
            <v>N52</v>
          </cell>
          <cell r="AJ146" t="str">
            <v>F</v>
          </cell>
          <cell r="AK146" t="str">
            <v/>
          </cell>
        </row>
        <row r="147">
          <cell r="A147" t="str">
            <v>12534207829053</v>
          </cell>
          <cell r="B147" t="e">
            <v>#N/A</v>
          </cell>
          <cell r="C147">
            <v>20</v>
          </cell>
          <cell r="D147" t="str">
            <v>EK65</v>
          </cell>
          <cell r="E147" t="str">
            <v>522554</v>
          </cell>
          <cell r="F147" t="str">
            <v>E</v>
          </cell>
          <cell r="G147" t="str">
            <v>12534207</v>
          </cell>
          <cell r="H147" t="str">
            <v>Kabelhalter</v>
          </cell>
          <cell r="I147">
            <v>149</v>
          </cell>
          <cell r="J147" t="str">
            <v>Stk</v>
          </cell>
          <cell r="K147">
            <v>45146</v>
          </cell>
          <cell r="L147" t="str">
            <v>829053</v>
          </cell>
          <cell r="M147" t="str">
            <v/>
          </cell>
          <cell r="N147" t="str">
            <v/>
          </cell>
          <cell r="O147" t="str">
            <v/>
          </cell>
          <cell r="P147" t="str">
            <v/>
          </cell>
          <cell r="Q147" t="str">
            <v/>
          </cell>
          <cell r="R147" t="str">
            <v/>
          </cell>
          <cell r="S147" t="str">
            <v/>
          </cell>
          <cell r="T147" t="str">
            <v/>
          </cell>
          <cell r="U147" t="str">
            <v/>
          </cell>
          <cell r="V147" t="str">
            <v>N52</v>
          </cell>
          <cell r="W147" t="str">
            <v/>
          </cell>
          <cell r="X147" t="str">
            <v/>
          </cell>
          <cell r="Y147" t="str">
            <v/>
          </cell>
          <cell r="Z147" t="str">
            <v/>
          </cell>
          <cell r="AA147" t="str">
            <v/>
          </cell>
          <cell r="AB147" t="str">
            <v>PA_4420801-UA.7005-3</v>
          </cell>
          <cell r="AC147">
            <v>1</v>
          </cell>
          <cell r="AD147" t="str">
            <v/>
          </cell>
          <cell r="AE147">
            <v>0</v>
          </cell>
          <cell r="AF147" t="str">
            <v/>
          </cell>
          <cell r="AG147" t="str">
            <v>12534207</v>
          </cell>
          <cell r="AH147">
            <v>44624.929571759261</v>
          </cell>
          <cell r="AI147" t="str">
            <v>N52</v>
          </cell>
          <cell r="AJ147" t="str">
            <v>F</v>
          </cell>
          <cell r="AK147" t="str">
            <v/>
          </cell>
        </row>
        <row r="148">
          <cell r="A148" t="str">
            <v>12534222829053</v>
          </cell>
          <cell r="B148" t="e">
            <v>#N/A</v>
          </cell>
          <cell r="C148">
            <v>24</v>
          </cell>
          <cell r="D148" t="str">
            <v>EK65</v>
          </cell>
          <cell r="E148" t="str">
            <v>522556</v>
          </cell>
          <cell r="F148" t="str">
            <v>E</v>
          </cell>
          <cell r="G148" t="str">
            <v>12534222</v>
          </cell>
          <cell r="H148" t="str">
            <v>Seitenplatte</v>
          </cell>
          <cell r="I148">
            <v>24</v>
          </cell>
          <cell r="J148" t="str">
            <v>Stk</v>
          </cell>
          <cell r="K148">
            <v>45153</v>
          </cell>
          <cell r="L148" t="str">
            <v>829053</v>
          </cell>
          <cell r="M148" t="str">
            <v/>
          </cell>
          <cell r="N148" t="str">
            <v/>
          </cell>
          <cell r="O148" t="str">
            <v/>
          </cell>
          <cell r="P148" t="str">
            <v/>
          </cell>
          <cell r="Q148" t="str">
            <v/>
          </cell>
          <cell r="R148" t="str">
            <v/>
          </cell>
          <cell r="S148" t="str">
            <v/>
          </cell>
          <cell r="T148" t="str">
            <v/>
          </cell>
          <cell r="U148" t="str">
            <v/>
          </cell>
          <cell r="V148" t="str">
            <v>N52</v>
          </cell>
          <cell r="W148" t="str">
            <v/>
          </cell>
          <cell r="X148" t="str">
            <v/>
          </cell>
          <cell r="Y148" t="str">
            <v/>
          </cell>
          <cell r="Z148" t="str">
            <v/>
          </cell>
          <cell r="AA148" t="str">
            <v/>
          </cell>
          <cell r="AB148" t="str">
            <v>PA_4433327-UA.7005-1</v>
          </cell>
          <cell r="AC148">
            <v>1</v>
          </cell>
          <cell r="AD148" t="str">
            <v/>
          </cell>
          <cell r="AE148">
            <v>0</v>
          </cell>
          <cell r="AF148" t="str">
            <v/>
          </cell>
          <cell r="AG148" t="str">
            <v>12534222</v>
          </cell>
          <cell r="AH148">
            <v>44624.929583333331</v>
          </cell>
          <cell r="AI148" t="str">
            <v>N52</v>
          </cell>
          <cell r="AJ148" t="str">
            <v>F</v>
          </cell>
          <cell r="AK148" t="str">
            <v/>
          </cell>
        </row>
        <row r="149">
          <cell r="A149" t="str">
            <v>12534348829053</v>
          </cell>
          <cell r="B149" t="e">
            <v>#N/A</v>
          </cell>
          <cell r="C149">
            <v>8</v>
          </cell>
          <cell r="D149" t="str">
            <v>EK65</v>
          </cell>
          <cell r="E149" t="str">
            <v>522560</v>
          </cell>
          <cell r="F149" t="str">
            <v>E</v>
          </cell>
          <cell r="G149" t="str">
            <v>12534348</v>
          </cell>
          <cell r="H149" t="str">
            <v>Kupferschiene 4 vollst.</v>
          </cell>
          <cell r="I149">
            <v>24</v>
          </cell>
          <cell r="J149" t="str">
            <v>Stk</v>
          </cell>
          <cell r="K149">
            <v>45153</v>
          </cell>
          <cell r="L149" t="str">
            <v>829053</v>
          </cell>
          <cell r="M149" t="str">
            <v/>
          </cell>
          <cell r="N149" t="str">
            <v/>
          </cell>
          <cell r="O149" t="str">
            <v/>
          </cell>
          <cell r="P149" t="str">
            <v/>
          </cell>
          <cell r="Q149" t="str">
            <v/>
          </cell>
          <cell r="R149" t="str">
            <v/>
          </cell>
          <cell r="S149" t="str">
            <v/>
          </cell>
          <cell r="T149" t="str">
            <v/>
          </cell>
          <cell r="U149" t="str">
            <v/>
          </cell>
          <cell r="V149" t="str">
            <v>N52</v>
          </cell>
          <cell r="W149" t="str">
            <v/>
          </cell>
          <cell r="X149" t="str">
            <v/>
          </cell>
          <cell r="Y149" t="str">
            <v/>
          </cell>
          <cell r="Z149" t="str">
            <v/>
          </cell>
          <cell r="AA149" t="str">
            <v/>
          </cell>
          <cell r="AB149" t="str">
            <v>PA_4471191-UA.7005-3</v>
          </cell>
          <cell r="AC149">
            <v>1</v>
          </cell>
          <cell r="AD149" t="str">
            <v/>
          </cell>
          <cell r="AE149">
            <v>0</v>
          </cell>
          <cell r="AF149" t="str">
            <v/>
          </cell>
          <cell r="AG149" t="str">
            <v>12534348</v>
          </cell>
          <cell r="AH149">
            <v>44624.929652777777</v>
          </cell>
          <cell r="AI149" t="str">
            <v>N52</v>
          </cell>
          <cell r="AJ149" t="str">
            <v>F</v>
          </cell>
          <cell r="AK149" t="str">
            <v/>
          </cell>
        </row>
        <row r="150">
          <cell r="A150" t="str">
            <v>12534370829053</v>
          </cell>
          <cell r="B150" t="e">
            <v>#N/A</v>
          </cell>
          <cell r="C150">
            <v>8</v>
          </cell>
          <cell r="D150" t="str">
            <v>EK65</v>
          </cell>
          <cell r="E150" t="str">
            <v>522562</v>
          </cell>
          <cell r="F150" t="str">
            <v>E</v>
          </cell>
          <cell r="G150" t="str">
            <v>12534370</v>
          </cell>
          <cell r="H150" t="str">
            <v>Kupferschiene 2 vollst.</v>
          </cell>
          <cell r="I150">
            <v>25</v>
          </cell>
          <cell r="J150" t="str">
            <v>Stk</v>
          </cell>
          <cell r="K150">
            <v>45146</v>
          </cell>
          <cell r="L150" t="str">
            <v>829053</v>
          </cell>
          <cell r="M150" t="str">
            <v/>
          </cell>
          <cell r="N150" t="str">
            <v/>
          </cell>
          <cell r="O150" t="str">
            <v/>
          </cell>
          <cell r="P150" t="str">
            <v/>
          </cell>
          <cell r="Q150" t="str">
            <v/>
          </cell>
          <cell r="R150" t="str">
            <v/>
          </cell>
          <cell r="S150" t="str">
            <v/>
          </cell>
          <cell r="T150" t="str">
            <v/>
          </cell>
          <cell r="U150" t="str">
            <v/>
          </cell>
          <cell r="V150" t="str">
            <v>N52</v>
          </cell>
          <cell r="W150" t="str">
            <v/>
          </cell>
          <cell r="X150" t="str">
            <v/>
          </cell>
          <cell r="Y150" t="str">
            <v/>
          </cell>
          <cell r="Z150" t="str">
            <v/>
          </cell>
          <cell r="AA150" t="str">
            <v/>
          </cell>
          <cell r="AB150" t="str">
            <v>PA_4472433-UA.7005-3</v>
          </cell>
          <cell r="AC150">
            <v>1</v>
          </cell>
          <cell r="AD150" t="str">
            <v/>
          </cell>
          <cell r="AE150">
            <v>0</v>
          </cell>
          <cell r="AF150" t="str">
            <v/>
          </cell>
          <cell r="AG150" t="str">
            <v>12534370</v>
          </cell>
          <cell r="AH150">
            <v>44624.929664351854</v>
          </cell>
          <cell r="AI150" t="str">
            <v>N52</v>
          </cell>
          <cell r="AJ150" t="str">
            <v>F</v>
          </cell>
          <cell r="AK150" t="str">
            <v/>
          </cell>
        </row>
        <row r="151">
          <cell r="A151" t="str">
            <v>12480058829053</v>
          </cell>
          <cell r="B151" t="e">
            <v>#N/A</v>
          </cell>
          <cell r="C151">
            <v>5</v>
          </cell>
          <cell r="D151" t="str">
            <v>EK65</v>
          </cell>
          <cell r="E151" t="str">
            <v>522595</v>
          </cell>
          <cell r="F151" t="str">
            <v>E</v>
          </cell>
          <cell r="G151" t="str">
            <v>12480058</v>
          </cell>
          <cell r="H151" t="str">
            <v>Dehnhuelse Da40 Di10,5 L35</v>
          </cell>
          <cell r="I151">
            <v>102</v>
          </cell>
          <cell r="J151" t="str">
            <v>Stk</v>
          </cell>
          <cell r="K151">
            <v>45212</v>
          </cell>
          <cell r="L151" t="str">
            <v>829053</v>
          </cell>
          <cell r="M151" t="str">
            <v/>
          </cell>
          <cell r="N151" t="str">
            <v/>
          </cell>
          <cell r="O151" t="str">
            <v/>
          </cell>
          <cell r="P151" t="str">
            <v/>
          </cell>
          <cell r="Q151" t="str">
            <v/>
          </cell>
          <cell r="R151" t="str">
            <v/>
          </cell>
          <cell r="S151" t="str">
            <v/>
          </cell>
          <cell r="T151" t="str">
            <v/>
          </cell>
          <cell r="U151" t="str">
            <v/>
          </cell>
          <cell r="V151" t="str">
            <v>N52</v>
          </cell>
          <cell r="W151" t="str">
            <v/>
          </cell>
          <cell r="X151" t="str">
            <v/>
          </cell>
          <cell r="Y151" t="str">
            <v/>
          </cell>
          <cell r="Z151" t="str">
            <v/>
          </cell>
          <cell r="AA151" t="str">
            <v/>
          </cell>
          <cell r="AB151" t="str">
            <v>PA_4406416-LA.7005-4</v>
          </cell>
          <cell r="AC151">
            <v>1</v>
          </cell>
          <cell r="AD151" t="str">
            <v/>
          </cell>
          <cell r="AE151">
            <v>0</v>
          </cell>
          <cell r="AF151" t="str">
            <v/>
          </cell>
          <cell r="AG151" t="str">
            <v>12480058</v>
          </cell>
          <cell r="AH151">
            <v>44624.974675925929</v>
          </cell>
          <cell r="AI151" t="str">
            <v>N52</v>
          </cell>
          <cell r="AJ151" t="str">
            <v>F</v>
          </cell>
          <cell r="AK151" t="str">
            <v/>
          </cell>
        </row>
        <row r="152">
          <cell r="A152" t="str">
            <v>12480084829054</v>
          </cell>
          <cell r="B152" t="e">
            <v>#N/A</v>
          </cell>
          <cell r="C152">
            <v>24</v>
          </cell>
          <cell r="D152" t="str">
            <v>EK65</v>
          </cell>
          <cell r="E152" t="str">
            <v>522596</v>
          </cell>
          <cell r="F152" t="str">
            <v>E</v>
          </cell>
          <cell r="G152" t="str">
            <v>12480084</v>
          </cell>
          <cell r="H152" t="str">
            <v>Dehnhuelse Da46 Di22 L35</v>
          </cell>
          <cell r="I152">
            <v>66</v>
          </cell>
          <cell r="J152" t="str">
            <v>Stk</v>
          </cell>
          <cell r="K152">
            <v>45217</v>
          </cell>
          <cell r="L152" t="str">
            <v>829054</v>
          </cell>
          <cell r="M152" t="str">
            <v/>
          </cell>
          <cell r="N152" t="str">
            <v/>
          </cell>
          <cell r="O152" t="str">
            <v/>
          </cell>
          <cell r="P152" t="str">
            <v/>
          </cell>
          <cell r="Q152" t="str">
            <v/>
          </cell>
          <cell r="R152" t="str">
            <v/>
          </cell>
          <cell r="S152" t="str">
            <v/>
          </cell>
          <cell r="T152" t="str">
            <v/>
          </cell>
          <cell r="U152" t="str">
            <v/>
          </cell>
          <cell r="V152" t="str">
            <v>N52</v>
          </cell>
          <cell r="W152" t="str">
            <v/>
          </cell>
          <cell r="X152" t="str">
            <v/>
          </cell>
          <cell r="Y152" t="str">
            <v/>
          </cell>
          <cell r="Z152" t="str">
            <v/>
          </cell>
          <cell r="AA152" t="str">
            <v/>
          </cell>
          <cell r="AB152" t="str">
            <v>PA_4306717-CF.7005-4</v>
          </cell>
          <cell r="AC152">
            <v>1</v>
          </cell>
          <cell r="AD152" t="str">
            <v/>
          </cell>
          <cell r="AE152">
            <v>0</v>
          </cell>
          <cell r="AF152" t="str">
            <v/>
          </cell>
          <cell r="AG152" t="str">
            <v>12480084</v>
          </cell>
          <cell r="AH152">
            <v>44624.974687499998</v>
          </cell>
          <cell r="AI152" t="str">
            <v>N52</v>
          </cell>
          <cell r="AJ152" t="str">
            <v>F</v>
          </cell>
          <cell r="AK152" t="str">
            <v/>
          </cell>
        </row>
        <row r="153">
          <cell r="A153" t="str">
            <v>12480084829053</v>
          </cell>
          <cell r="B153" t="e">
            <v>#N/A</v>
          </cell>
          <cell r="C153">
            <v>24</v>
          </cell>
          <cell r="D153" t="str">
            <v>EK65</v>
          </cell>
          <cell r="E153" t="str">
            <v>522597</v>
          </cell>
          <cell r="F153" t="str">
            <v>E</v>
          </cell>
          <cell r="G153" t="str">
            <v>12480084</v>
          </cell>
          <cell r="H153" t="str">
            <v>Dehnhuelse Da46 Di22 L35</v>
          </cell>
          <cell r="I153">
            <v>204</v>
          </cell>
          <cell r="J153" t="str">
            <v>Stk</v>
          </cell>
          <cell r="K153">
            <v>45217</v>
          </cell>
          <cell r="L153" t="str">
            <v>829053</v>
          </cell>
          <cell r="M153" t="str">
            <v/>
          </cell>
          <cell r="N153" t="str">
            <v/>
          </cell>
          <cell r="O153" t="str">
            <v/>
          </cell>
          <cell r="P153" t="str">
            <v/>
          </cell>
          <cell r="Q153" t="str">
            <v/>
          </cell>
          <cell r="R153" t="str">
            <v/>
          </cell>
          <cell r="S153" t="str">
            <v/>
          </cell>
          <cell r="T153" t="str">
            <v/>
          </cell>
          <cell r="U153" t="str">
            <v/>
          </cell>
          <cell r="V153" t="str">
            <v>N52</v>
          </cell>
          <cell r="W153" t="str">
            <v/>
          </cell>
          <cell r="X153" t="str">
            <v/>
          </cell>
          <cell r="Y153" t="str">
            <v/>
          </cell>
          <cell r="Z153" t="str">
            <v/>
          </cell>
          <cell r="AA153" t="str">
            <v/>
          </cell>
          <cell r="AB153" t="str">
            <v>PA_4306717-CF.7005-4</v>
          </cell>
          <cell r="AC153">
            <v>1</v>
          </cell>
          <cell r="AD153" t="str">
            <v/>
          </cell>
          <cell r="AE153">
            <v>0</v>
          </cell>
          <cell r="AF153" t="str">
            <v/>
          </cell>
          <cell r="AG153" t="str">
            <v>12480084</v>
          </cell>
          <cell r="AH153">
            <v>44624.974699074075</v>
          </cell>
          <cell r="AI153" t="str">
            <v>N52</v>
          </cell>
          <cell r="AJ153" t="str">
            <v>F</v>
          </cell>
          <cell r="AK153" t="str">
            <v/>
          </cell>
        </row>
        <row r="154">
          <cell r="A154" t="str">
            <v>12480084829051</v>
          </cell>
          <cell r="B154" t="e">
            <v>#N/A</v>
          </cell>
          <cell r="C154">
            <v>24</v>
          </cell>
          <cell r="D154" t="str">
            <v>EK65</v>
          </cell>
          <cell r="E154" t="str">
            <v>522598</v>
          </cell>
          <cell r="F154" t="str">
            <v>E</v>
          </cell>
          <cell r="G154" t="str">
            <v>12480084</v>
          </cell>
          <cell r="H154" t="str">
            <v>Dehnhuelse Da46 Di22 L35</v>
          </cell>
          <cell r="I154">
            <v>363</v>
          </cell>
          <cell r="J154" t="str">
            <v>Stk</v>
          </cell>
          <cell r="K154">
            <v>45324</v>
          </cell>
          <cell r="L154" t="str">
            <v>829051</v>
          </cell>
          <cell r="M154" t="str">
            <v/>
          </cell>
          <cell r="N154" t="str">
            <v/>
          </cell>
          <cell r="O154" t="str">
            <v/>
          </cell>
          <cell r="P154" t="str">
            <v/>
          </cell>
          <cell r="Q154" t="str">
            <v/>
          </cell>
          <cell r="R154" t="str">
            <v/>
          </cell>
          <cell r="S154" t="str">
            <v/>
          </cell>
          <cell r="T154" t="str">
            <v/>
          </cell>
          <cell r="U154" t="str">
            <v/>
          </cell>
          <cell r="V154" t="str">
            <v>N52</v>
          </cell>
          <cell r="W154" t="str">
            <v/>
          </cell>
          <cell r="X154" t="str">
            <v/>
          </cell>
          <cell r="Y154" t="str">
            <v/>
          </cell>
          <cell r="Z154" t="str">
            <v/>
          </cell>
          <cell r="AA154" t="str">
            <v/>
          </cell>
          <cell r="AB154" t="str">
            <v>PA_4306717-CF.7005-4</v>
          </cell>
          <cell r="AC154">
            <v>1</v>
          </cell>
          <cell r="AD154" t="str">
            <v/>
          </cell>
          <cell r="AE154">
            <v>0</v>
          </cell>
          <cell r="AF154" t="str">
            <v/>
          </cell>
          <cell r="AG154" t="str">
            <v>12480084</v>
          </cell>
          <cell r="AH154">
            <v>44624.974699074075</v>
          </cell>
          <cell r="AI154" t="str">
            <v>N52</v>
          </cell>
          <cell r="AJ154" t="str">
            <v>F</v>
          </cell>
          <cell r="AK154" t="str">
            <v/>
          </cell>
        </row>
        <row r="155">
          <cell r="A155" t="str">
            <v>12480084829052</v>
          </cell>
          <cell r="B155" t="e">
            <v>#N/A</v>
          </cell>
          <cell r="C155">
            <v>24</v>
          </cell>
          <cell r="D155" t="str">
            <v>EK65</v>
          </cell>
          <cell r="E155" t="str">
            <v>522599</v>
          </cell>
          <cell r="F155" t="str">
            <v>E</v>
          </cell>
          <cell r="G155" t="str">
            <v>12480084</v>
          </cell>
          <cell r="H155" t="str">
            <v>Dehnhuelse Da46 Di22 L35</v>
          </cell>
          <cell r="I155">
            <v>125</v>
          </cell>
          <cell r="J155" t="str">
            <v>Stk</v>
          </cell>
          <cell r="K155">
            <v>45352</v>
          </cell>
          <cell r="L155" t="str">
            <v>829052</v>
          </cell>
          <cell r="M155" t="str">
            <v/>
          </cell>
          <cell r="N155" t="str">
            <v/>
          </cell>
          <cell r="O155" t="str">
            <v/>
          </cell>
          <cell r="P155" t="str">
            <v/>
          </cell>
          <cell r="Q155" t="str">
            <v/>
          </cell>
          <cell r="R155" t="str">
            <v/>
          </cell>
          <cell r="S155" t="str">
            <v/>
          </cell>
          <cell r="T155" t="str">
            <v/>
          </cell>
          <cell r="U155" t="str">
            <v/>
          </cell>
          <cell r="V155" t="str">
            <v>N52</v>
          </cell>
          <cell r="W155" t="str">
            <v/>
          </cell>
          <cell r="X155" t="str">
            <v/>
          </cell>
          <cell r="Y155" t="str">
            <v/>
          </cell>
          <cell r="Z155" t="str">
            <v/>
          </cell>
          <cell r="AA155" t="str">
            <v/>
          </cell>
          <cell r="AB155" t="str">
            <v>PA_4306717-CF.7005-4</v>
          </cell>
          <cell r="AC155">
            <v>1</v>
          </cell>
          <cell r="AD155" t="str">
            <v/>
          </cell>
          <cell r="AE155">
            <v>0</v>
          </cell>
          <cell r="AF155" t="str">
            <v/>
          </cell>
          <cell r="AG155" t="str">
            <v>12480084</v>
          </cell>
          <cell r="AH155">
            <v>44624.974699074075</v>
          </cell>
          <cell r="AI155" t="str">
            <v>N52</v>
          </cell>
          <cell r="AJ155" t="str">
            <v>F</v>
          </cell>
          <cell r="AK155" t="str">
            <v/>
          </cell>
        </row>
        <row r="156">
          <cell r="A156" t="str">
            <v>12480098829051</v>
          </cell>
          <cell r="B156" t="e">
            <v>#N/A</v>
          </cell>
          <cell r="C156">
            <v>24</v>
          </cell>
          <cell r="D156" t="str">
            <v>EK65</v>
          </cell>
          <cell r="E156" t="str">
            <v>522600</v>
          </cell>
          <cell r="F156" t="str">
            <v>E</v>
          </cell>
          <cell r="G156" t="str">
            <v>12480098</v>
          </cell>
          <cell r="H156" t="str">
            <v>Dehnhuelse Da30 Di11 L20</v>
          </cell>
          <cell r="I156">
            <v>917</v>
          </cell>
          <cell r="J156" t="str">
            <v>Stk</v>
          </cell>
          <cell r="K156">
            <v>45084</v>
          </cell>
          <cell r="L156" t="str">
            <v>829051</v>
          </cell>
          <cell r="M156" t="str">
            <v/>
          </cell>
          <cell r="N156" t="str">
            <v/>
          </cell>
          <cell r="O156" t="str">
            <v/>
          </cell>
          <cell r="P156" t="str">
            <v/>
          </cell>
          <cell r="Q156" t="str">
            <v/>
          </cell>
          <cell r="R156" t="str">
            <v/>
          </cell>
          <cell r="S156" t="str">
            <v/>
          </cell>
          <cell r="T156" t="str">
            <v/>
          </cell>
          <cell r="U156" t="str">
            <v/>
          </cell>
          <cell r="V156" t="str">
            <v>N52</v>
          </cell>
          <cell r="W156" t="str">
            <v/>
          </cell>
          <cell r="X156" t="str">
            <v/>
          </cell>
          <cell r="Y156" t="str">
            <v/>
          </cell>
          <cell r="Z156" t="str">
            <v/>
          </cell>
          <cell r="AA156" t="str">
            <v/>
          </cell>
          <cell r="AB156" t="str">
            <v>PA_2346250-FB.7005-4</v>
          </cell>
          <cell r="AC156">
            <v>1</v>
          </cell>
          <cell r="AD156" t="str">
            <v/>
          </cell>
          <cell r="AE156">
            <v>0</v>
          </cell>
          <cell r="AF156" t="str">
            <v/>
          </cell>
          <cell r="AG156" t="str">
            <v>12480098</v>
          </cell>
          <cell r="AH156">
            <v>44624.974733796298</v>
          </cell>
          <cell r="AI156" t="str">
            <v>N52</v>
          </cell>
          <cell r="AJ156" t="str">
            <v>F</v>
          </cell>
          <cell r="AK156" t="str">
            <v/>
          </cell>
        </row>
        <row r="157">
          <cell r="A157" t="str">
            <v>12480098829052</v>
          </cell>
          <cell r="B157" t="e">
            <v>#N/A</v>
          </cell>
          <cell r="C157">
            <v>24</v>
          </cell>
          <cell r="D157" t="str">
            <v>EK65</v>
          </cell>
          <cell r="E157" t="str">
            <v>522601</v>
          </cell>
          <cell r="F157" t="str">
            <v>E</v>
          </cell>
          <cell r="G157" t="str">
            <v>12480098</v>
          </cell>
          <cell r="H157" t="str">
            <v>Dehnhuelse Da30 Di11 L20</v>
          </cell>
          <cell r="I157">
            <v>290</v>
          </cell>
          <cell r="J157" t="str">
            <v>Stk</v>
          </cell>
          <cell r="K157">
            <v>45182</v>
          </cell>
          <cell r="L157" t="str">
            <v>829052</v>
          </cell>
          <cell r="M157" t="str">
            <v/>
          </cell>
          <cell r="N157" t="str">
            <v/>
          </cell>
          <cell r="O157" t="str">
            <v/>
          </cell>
          <cell r="P157" t="str">
            <v/>
          </cell>
          <cell r="Q157" t="str">
            <v/>
          </cell>
          <cell r="R157" t="str">
            <v/>
          </cell>
          <cell r="S157" t="str">
            <v/>
          </cell>
          <cell r="T157" t="str">
            <v/>
          </cell>
          <cell r="U157" t="str">
            <v/>
          </cell>
          <cell r="V157" t="str">
            <v>N52</v>
          </cell>
          <cell r="W157" t="str">
            <v/>
          </cell>
          <cell r="X157" t="str">
            <v/>
          </cell>
          <cell r="Y157" t="str">
            <v/>
          </cell>
          <cell r="Z157" t="str">
            <v/>
          </cell>
          <cell r="AA157" t="str">
            <v/>
          </cell>
          <cell r="AB157" t="str">
            <v>PA_2346250-FB.7005-4</v>
          </cell>
          <cell r="AC157">
            <v>1</v>
          </cell>
          <cell r="AD157" t="str">
            <v/>
          </cell>
          <cell r="AE157">
            <v>0</v>
          </cell>
          <cell r="AF157" t="str">
            <v/>
          </cell>
          <cell r="AG157" t="str">
            <v>12480098</v>
          </cell>
          <cell r="AH157">
            <v>44624.974733796298</v>
          </cell>
          <cell r="AI157" t="str">
            <v>N52</v>
          </cell>
          <cell r="AJ157" t="str">
            <v>F</v>
          </cell>
          <cell r="AK157" t="str">
            <v/>
          </cell>
        </row>
        <row r="158">
          <cell r="A158" t="str">
            <v>12484169829053</v>
          </cell>
          <cell r="B158" t="e">
            <v>#N/A</v>
          </cell>
          <cell r="C158">
            <v>14</v>
          </cell>
          <cell r="D158" t="str">
            <v>EK65</v>
          </cell>
          <cell r="E158" t="str">
            <v>522602</v>
          </cell>
          <cell r="F158" t="str">
            <v>E</v>
          </cell>
          <cell r="G158" t="str">
            <v>12484169</v>
          </cell>
          <cell r="H158" t="str">
            <v>Halter</v>
          </cell>
          <cell r="I158">
            <v>204</v>
          </cell>
          <cell r="J158" t="str">
            <v>Stk</v>
          </cell>
          <cell r="K158">
            <v>45211</v>
          </cell>
          <cell r="L158" t="str">
            <v>829053</v>
          </cell>
          <cell r="M158" t="str">
            <v/>
          </cell>
          <cell r="N158" t="str">
            <v/>
          </cell>
          <cell r="O158" t="str">
            <v/>
          </cell>
          <cell r="P158" t="str">
            <v/>
          </cell>
          <cell r="Q158" t="str">
            <v/>
          </cell>
          <cell r="R158" t="str">
            <v/>
          </cell>
          <cell r="S158" t="str">
            <v/>
          </cell>
          <cell r="T158" t="str">
            <v/>
          </cell>
          <cell r="U158" t="str">
            <v/>
          </cell>
          <cell r="V158" t="str">
            <v>N52</v>
          </cell>
          <cell r="W158" t="str">
            <v/>
          </cell>
          <cell r="X158" t="str">
            <v/>
          </cell>
          <cell r="Y158" t="str">
            <v/>
          </cell>
          <cell r="Z158" t="str">
            <v/>
          </cell>
          <cell r="AA158" t="str">
            <v/>
          </cell>
          <cell r="AB158" t="str">
            <v>PA_4274525-DC.7005-4</v>
          </cell>
          <cell r="AC158">
            <v>1</v>
          </cell>
          <cell r="AD158" t="str">
            <v/>
          </cell>
          <cell r="AE158">
            <v>0</v>
          </cell>
          <cell r="AF158" t="str">
            <v/>
          </cell>
          <cell r="AG158" t="str">
            <v>12484169</v>
          </cell>
          <cell r="AH158">
            <v>44624.976041666669</v>
          </cell>
          <cell r="AI158" t="str">
            <v>N52</v>
          </cell>
          <cell r="AJ158" t="str">
            <v>F</v>
          </cell>
          <cell r="AK158" t="str">
            <v/>
          </cell>
        </row>
        <row r="159">
          <cell r="A159" t="str">
            <v>12484169829054</v>
          </cell>
          <cell r="B159" t="e">
            <v>#N/A</v>
          </cell>
          <cell r="C159">
            <v>14</v>
          </cell>
          <cell r="D159" t="str">
            <v>EK65</v>
          </cell>
          <cell r="E159" t="str">
            <v>522603</v>
          </cell>
          <cell r="F159" t="str">
            <v>E</v>
          </cell>
          <cell r="G159" t="str">
            <v>12484169</v>
          </cell>
          <cell r="H159" t="str">
            <v>Halter</v>
          </cell>
          <cell r="I159">
            <v>142</v>
          </cell>
          <cell r="J159" t="str">
            <v>Stk</v>
          </cell>
          <cell r="K159">
            <v>45220</v>
          </cell>
          <cell r="L159" t="str">
            <v>829054</v>
          </cell>
          <cell r="M159" t="str">
            <v/>
          </cell>
          <cell r="N159" t="str">
            <v/>
          </cell>
          <cell r="O159" t="str">
            <v/>
          </cell>
          <cell r="P159" t="str">
            <v/>
          </cell>
          <cell r="Q159" t="str">
            <v/>
          </cell>
          <cell r="R159" t="str">
            <v/>
          </cell>
          <cell r="S159" t="str">
            <v/>
          </cell>
          <cell r="T159" t="str">
            <v/>
          </cell>
          <cell r="U159" t="str">
            <v/>
          </cell>
          <cell r="V159" t="str">
            <v>N52</v>
          </cell>
          <cell r="W159" t="str">
            <v/>
          </cell>
          <cell r="X159" t="str">
            <v/>
          </cell>
          <cell r="Y159" t="str">
            <v/>
          </cell>
          <cell r="Z159" t="str">
            <v/>
          </cell>
          <cell r="AA159" t="str">
            <v/>
          </cell>
          <cell r="AB159" t="str">
            <v>PA_4274525-DC.7005-4</v>
          </cell>
          <cell r="AC159">
            <v>1</v>
          </cell>
          <cell r="AD159" t="str">
            <v/>
          </cell>
          <cell r="AE159">
            <v>0</v>
          </cell>
          <cell r="AF159" t="str">
            <v/>
          </cell>
          <cell r="AG159" t="str">
            <v>12484169</v>
          </cell>
          <cell r="AH159">
            <v>44624.976041666669</v>
          </cell>
          <cell r="AI159" t="str">
            <v>N52</v>
          </cell>
          <cell r="AJ159" t="str">
            <v>F</v>
          </cell>
          <cell r="AK159" t="str">
            <v/>
          </cell>
        </row>
        <row r="160">
          <cell r="A160" t="str">
            <v>12484240829054</v>
          </cell>
          <cell r="B160" t="e">
            <v>#N/A</v>
          </cell>
          <cell r="C160">
            <v>14</v>
          </cell>
          <cell r="D160" t="str">
            <v>EK65</v>
          </cell>
          <cell r="E160" t="str">
            <v>522606</v>
          </cell>
          <cell r="F160" t="str">
            <v>E</v>
          </cell>
          <cell r="G160" t="str">
            <v>12484240</v>
          </cell>
          <cell r="H160" t="str">
            <v>Halter</v>
          </cell>
          <cell r="I160">
            <v>257</v>
          </cell>
          <cell r="J160" t="str">
            <v>Stk</v>
          </cell>
          <cell r="K160">
            <v>45184</v>
          </cell>
          <cell r="L160" t="str">
            <v>829054</v>
          </cell>
          <cell r="M160" t="str">
            <v/>
          </cell>
          <cell r="N160" t="str">
            <v/>
          </cell>
          <cell r="O160" t="str">
            <v/>
          </cell>
          <cell r="P160" t="str">
            <v/>
          </cell>
          <cell r="Q160" t="str">
            <v/>
          </cell>
          <cell r="R160" t="str">
            <v/>
          </cell>
          <cell r="S160" t="str">
            <v/>
          </cell>
          <cell r="T160" t="str">
            <v/>
          </cell>
          <cell r="U160" t="str">
            <v/>
          </cell>
          <cell r="V160" t="str">
            <v>N52</v>
          </cell>
          <cell r="W160" t="str">
            <v/>
          </cell>
          <cell r="X160" t="str">
            <v/>
          </cell>
          <cell r="Y160" t="str">
            <v/>
          </cell>
          <cell r="Z160" t="str">
            <v/>
          </cell>
          <cell r="AA160" t="str">
            <v/>
          </cell>
          <cell r="AB160" t="str">
            <v>PA_4310743-DC.7005-4</v>
          </cell>
          <cell r="AC160">
            <v>1</v>
          </cell>
          <cell r="AD160" t="str">
            <v/>
          </cell>
          <cell r="AE160">
            <v>0</v>
          </cell>
          <cell r="AF160" t="str">
            <v/>
          </cell>
          <cell r="AG160" t="str">
            <v>12484240</v>
          </cell>
          <cell r="AH160">
            <v>44624.976087962961</v>
          </cell>
          <cell r="AI160" t="str">
            <v>N52</v>
          </cell>
          <cell r="AJ160" t="str">
            <v>F</v>
          </cell>
          <cell r="AK160" t="str">
            <v/>
          </cell>
        </row>
        <row r="161">
          <cell r="A161" t="str">
            <v>12484240829053</v>
          </cell>
          <cell r="B161" t="e">
            <v>#N/A</v>
          </cell>
          <cell r="C161">
            <v>14</v>
          </cell>
          <cell r="D161" t="str">
            <v>EK65</v>
          </cell>
          <cell r="E161" t="str">
            <v>522607</v>
          </cell>
          <cell r="F161" t="str">
            <v>E</v>
          </cell>
          <cell r="G161" t="str">
            <v>12484240</v>
          </cell>
          <cell r="H161" t="str">
            <v>Halter</v>
          </cell>
          <cell r="I161">
            <v>609</v>
          </cell>
          <cell r="J161" t="str">
            <v>Stk</v>
          </cell>
          <cell r="K161">
            <v>45211</v>
          </cell>
          <cell r="L161" t="str">
            <v>829053</v>
          </cell>
          <cell r="M161" t="str">
            <v/>
          </cell>
          <cell r="N161" t="str">
            <v/>
          </cell>
          <cell r="O161" t="str">
            <v/>
          </cell>
          <cell r="P161" t="str">
            <v/>
          </cell>
          <cell r="Q161" t="str">
            <v/>
          </cell>
          <cell r="R161" t="str">
            <v/>
          </cell>
          <cell r="S161" t="str">
            <v/>
          </cell>
          <cell r="T161" t="str">
            <v/>
          </cell>
          <cell r="U161" t="str">
            <v/>
          </cell>
          <cell r="V161" t="str">
            <v>N52</v>
          </cell>
          <cell r="W161" t="str">
            <v/>
          </cell>
          <cell r="X161" t="str">
            <v/>
          </cell>
          <cell r="Y161" t="str">
            <v/>
          </cell>
          <cell r="Z161" t="str">
            <v/>
          </cell>
          <cell r="AA161" t="str">
            <v/>
          </cell>
          <cell r="AB161" t="str">
            <v>PA_4310743-DC.7005-4</v>
          </cell>
          <cell r="AC161">
            <v>1</v>
          </cell>
          <cell r="AD161" t="str">
            <v/>
          </cell>
          <cell r="AE161">
            <v>0</v>
          </cell>
          <cell r="AF161" t="str">
            <v/>
          </cell>
          <cell r="AG161" t="str">
            <v>12484240</v>
          </cell>
          <cell r="AH161">
            <v>44624.976087962961</v>
          </cell>
          <cell r="AI161" t="str">
            <v>N52</v>
          </cell>
          <cell r="AJ161" t="str">
            <v>F</v>
          </cell>
          <cell r="AK161" t="str">
            <v/>
          </cell>
        </row>
        <row r="162">
          <cell r="A162" t="str">
            <v>12486016829053</v>
          </cell>
          <cell r="B162" t="e">
            <v>#N/A</v>
          </cell>
          <cell r="C162">
            <v>14</v>
          </cell>
          <cell r="D162" t="str">
            <v>EK65</v>
          </cell>
          <cell r="E162" t="str">
            <v>522608</v>
          </cell>
          <cell r="F162" t="str">
            <v>E</v>
          </cell>
          <cell r="G162" t="str">
            <v>12486016</v>
          </cell>
          <cell r="H162" t="str">
            <v>Halter</v>
          </cell>
          <cell r="I162">
            <v>46</v>
          </cell>
          <cell r="J162" t="str">
            <v>Stk</v>
          </cell>
          <cell r="K162">
            <v>45224</v>
          </cell>
          <cell r="L162" t="str">
            <v>829053</v>
          </cell>
          <cell r="M162" t="str">
            <v/>
          </cell>
          <cell r="N162" t="str">
            <v/>
          </cell>
          <cell r="O162" t="str">
            <v/>
          </cell>
          <cell r="P162" t="str">
            <v/>
          </cell>
          <cell r="Q162" t="str">
            <v/>
          </cell>
          <cell r="R162" t="str">
            <v/>
          </cell>
          <cell r="S162" t="str">
            <v/>
          </cell>
          <cell r="T162" t="str">
            <v/>
          </cell>
          <cell r="U162" t="str">
            <v/>
          </cell>
          <cell r="V162" t="str">
            <v>N52</v>
          </cell>
          <cell r="W162" t="str">
            <v/>
          </cell>
          <cell r="X162" t="str">
            <v/>
          </cell>
          <cell r="Y162" t="str">
            <v/>
          </cell>
          <cell r="Z162" t="str">
            <v/>
          </cell>
          <cell r="AA162" t="str">
            <v/>
          </cell>
          <cell r="AB162" t="str">
            <v>PA_4270748-LA.7005-3</v>
          </cell>
          <cell r="AC162">
            <v>1</v>
          </cell>
          <cell r="AD162" t="str">
            <v/>
          </cell>
          <cell r="AE162">
            <v>0</v>
          </cell>
          <cell r="AF162" t="str">
            <v/>
          </cell>
          <cell r="AG162" t="str">
            <v>12486016</v>
          </cell>
          <cell r="AH162">
            <v>44624.976412037038</v>
          </cell>
          <cell r="AI162" t="str">
            <v>N52</v>
          </cell>
          <cell r="AJ162" t="str">
            <v>F</v>
          </cell>
          <cell r="AK162" t="str">
            <v/>
          </cell>
        </row>
        <row r="163">
          <cell r="A163" t="str">
            <v>12486016829051</v>
          </cell>
          <cell r="B163" t="e">
            <v>#N/A</v>
          </cell>
          <cell r="C163">
            <v>14</v>
          </cell>
          <cell r="D163" t="str">
            <v>EK65</v>
          </cell>
          <cell r="E163" t="str">
            <v>522609</v>
          </cell>
          <cell r="F163" t="str">
            <v>E</v>
          </cell>
          <cell r="G163" t="str">
            <v>12486016</v>
          </cell>
          <cell r="H163" t="str">
            <v>Halter</v>
          </cell>
          <cell r="I163">
            <v>90</v>
          </cell>
          <cell r="J163" t="str">
            <v>Stk</v>
          </cell>
          <cell r="K163">
            <v>45324</v>
          </cell>
          <cell r="L163" t="str">
            <v>829051</v>
          </cell>
          <cell r="M163" t="str">
            <v/>
          </cell>
          <cell r="N163" t="str">
            <v/>
          </cell>
          <cell r="O163" t="str">
            <v/>
          </cell>
          <cell r="P163" t="str">
            <v/>
          </cell>
          <cell r="Q163" t="str">
            <v/>
          </cell>
          <cell r="R163" t="str">
            <v/>
          </cell>
          <cell r="S163" t="str">
            <v/>
          </cell>
          <cell r="T163" t="str">
            <v/>
          </cell>
          <cell r="U163" t="str">
            <v/>
          </cell>
          <cell r="V163" t="str">
            <v>N52</v>
          </cell>
          <cell r="W163" t="str">
            <v/>
          </cell>
          <cell r="X163" t="str">
            <v/>
          </cell>
          <cell r="Y163" t="str">
            <v/>
          </cell>
          <cell r="Z163" t="str">
            <v/>
          </cell>
          <cell r="AA163" t="str">
            <v/>
          </cell>
          <cell r="AB163" t="str">
            <v>PA_4270748-LA.7005-3</v>
          </cell>
          <cell r="AC163">
            <v>1</v>
          </cell>
          <cell r="AD163" t="str">
            <v/>
          </cell>
          <cell r="AE163">
            <v>0</v>
          </cell>
          <cell r="AF163" t="str">
            <v/>
          </cell>
          <cell r="AG163" t="str">
            <v>12486016</v>
          </cell>
          <cell r="AH163">
            <v>44624.976412037038</v>
          </cell>
          <cell r="AI163" t="str">
            <v>N52</v>
          </cell>
          <cell r="AJ163" t="str">
            <v>F</v>
          </cell>
          <cell r="AK163" t="str">
            <v/>
          </cell>
        </row>
        <row r="164">
          <cell r="A164" t="str">
            <v>12486359829053</v>
          </cell>
          <cell r="B164" t="e">
            <v>#N/A</v>
          </cell>
          <cell r="C164">
            <v>7</v>
          </cell>
          <cell r="D164" t="str">
            <v>EK65</v>
          </cell>
          <cell r="E164" t="str">
            <v>522611</v>
          </cell>
          <cell r="F164" t="str">
            <v>E</v>
          </cell>
          <cell r="G164" t="str">
            <v>12486359</v>
          </cell>
          <cell r="H164" t="str">
            <v>Halter</v>
          </cell>
          <cell r="I164">
            <v>51</v>
          </cell>
          <cell r="J164" t="str">
            <v>Stk</v>
          </cell>
          <cell r="K164">
            <v>45196</v>
          </cell>
          <cell r="L164" t="str">
            <v>829053</v>
          </cell>
          <cell r="M164" t="str">
            <v/>
          </cell>
          <cell r="N164" t="str">
            <v/>
          </cell>
          <cell r="O164" t="str">
            <v/>
          </cell>
          <cell r="P164" t="str">
            <v/>
          </cell>
          <cell r="Q164" t="str">
            <v/>
          </cell>
          <cell r="R164" t="str">
            <v/>
          </cell>
          <cell r="S164" t="str">
            <v/>
          </cell>
          <cell r="T164" t="str">
            <v/>
          </cell>
          <cell r="U164" t="str">
            <v/>
          </cell>
          <cell r="V164" t="str">
            <v>N52</v>
          </cell>
          <cell r="W164" t="str">
            <v/>
          </cell>
          <cell r="X164" t="str">
            <v/>
          </cell>
          <cell r="Y164" t="str">
            <v/>
          </cell>
          <cell r="Z164" t="str">
            <v/>
          </cell>
          <cell r="AA164" t="str">
            <v/>
          </cell>
          <cell r="AB164" t="str">
            <v>PA_4328360-QE.7005-2</v>
          </cell>
          <cell r="AC164">
            <v>1</v>
          </cell>
          <cell r="AD164" t="str">
            <v/>
          </cell>
          <cell r="AE164">
            <v>0</v>
          </cell>
          <cell r="AF164" t="str">
            <v/>
          </cell>
          <cell r="AG164" t="str">
            <v>12486359</v>
          </cell>
          <cell r="AH164">
            <v>44624.976504629631</v>
          </cell>
          <cell r="AI164" t="str">
            <v>N52</v>
          </cell>
          <cell r="AJ164" t="str">
            <v>F</v>
          </cell>
          <cell r="AK164" t="str">
            <v/>
          </cell>
        </row>
        <row r="165">
          <cell r="A165" t="str">
            <v>12486365829053</v>
          </cell>
          <cell r="B165" t="e">
            <v>#N/A</v>
          </cell>
          <cell r="C165">
            <v>7</v>
          </cell>
          <cell r="D165" t="str">
            <v>EK65</v>
          </cell>
          <cell r="E165" t="str">
            <v>522612</v>
          </cell>
          <cell r="F165" t="str">
            <v>E</v>
          </cell>
          <cell r="G165" t="str">
            <v>12486365</v>
          </cell>
          <cell r="H165" t="str">
            <v>Halter</v>
          </cell>
          <cell r="I165">
            <v>51</v>
          </cell>
          <cell r="J165" t="str">
            <v>Stk</v>
          </cell>
          <cell r="K165">
            <v>45196</v>
          </cell>
          <cell r="L165" t="str">
            <v>829053</v>
          </cell>
          <cell r="M165" t="str">
            <v/>
          </cell>
          <cell r="N165" t="str">
            <v/>
          </cell>
          <cell r="O165" t="str">
            <v/>
          </cell>
          <cell r="P165" t="str">
            <v/>
          </cell>
          <cell r="Q165" t="str">
            <v/>
          </cell>
          <cell r="R165" t="str">
            <v/>
          </cell>
          <cell r="S165" t="str">
            <v/>
          </cell>
          <cell r="T165" t="str">
            <v/>
          </cell>
          <cell r="U165" t="str">
            <v/>
          </cell>
          <cell r="V165" t="str">
            <v>N52</v>
          </cell>
          <cell r="W165" t="str">
            <v/>
          </cell>
          <cell r="X165" t="str">
            <v/>
          </cell>
          <cell r="Y165" t="str">
            <v/>
          </cell>
          <cell r="Z165" t="str">
            <v/>
          </cell>
          <cell r="AA165" t="str">
            <v/>
          </cell>
          <cell r="AB165" t="str">
            <v>PA_4363714-QE.7005-2</v>
          </cell>
          <cell r="AC165">
            <v>1</v>
          </cell>
          <cell r="AD165" t="str">
            <v/>
          </cell>
          <cell r="AE165">
            <v>0</v>
          </cell>
          <cell r="AF165" t="str">
            <v/>
          </cell>
          <cell r="AG165" t="str">
            <v>12486365</v>
          </cell>
          <cell r="AH165">
            <v>44624.9765162037</v>
          </cell>
          <cell r="AI165" t="str">
            <v>N52</v>
          </cell>
          <cell r="AJ165" t="str">
            <v>F</v>
          </cell>
          <cell r="AK165" t="str">
            <v/>
          </cell>
        </row>
        <row r="166">
          <cell r="A166" t="str">
            <v>12486401829053</v>
          </cell>
          <cell r="B166" t="e">
            <v>#N/A</v>
          </cell>
          <cell r="C166">
            <v>7</v>
          </cell>
          <cell r="D166" t="str">
            <v>EK65</v>
          </cell>
          <cell r="E166" t="str">
            <v>522613</v>
          </cell>
          <cell r="F166" t="str">
            <v>E</v>
          </cell>
          <cell r="G166" t="str">
            <v>12486401</v>
          </cell>
          <cell r="H166" t="str">
            <v>Abdeckblech</v>
          </cell>
          <cell r="I166">
            <v>51</v>
          </cell>
          <cell r="J166" t="str">
            <v>Stk</v>
          </cell>
          <cell r="K166">
            <v>45196</v>
          </cell>
          <cell r="L166" t="str">
            <v>829053</v>
          </cell>
          <cell r="M166" t="str">
            <v/>
          </cell>
          <cell r="N166" t="str">
            <v/>
          </cell>
          <cell r="O166" t="str">
            <v/>
          </cell>
          <cell r="P166" t="str">
            <v/>
          </cell>
          <cell r="Q166" t="str">
            <v/>
          </cell>
          <cell r="R166" t="str">
            <v/>
          </cell>
          <cell r="S166" t="str">
            <v/>
          </cell>
          <cell r="T166" t="str">
            <v/>
          </cell>
          <cell r="U166" t="str">
            <v/>
          </cell>
          <cell r="V166" t="str">
            <v>N52</v>
          </cell>
          <cell r="W166" t="str">
            <v/>
          </cell>
          <cell r="X166" t="str">
            <v/>
          </cell>
          <cell r="Y166" t="str">
            <v/>
          </cell>
          <cell r="Z166" t="str">
            <v/>
          </cell>
          <cell r="AA166" t="str">
            <v/>
          </cell>
          <cell r="AB166" t="str">
            <v>PA_2344599-QE.7005-4</v>
          </cell>
          <cell r="AC166">
            <v>1</v>
          </cell>
          <cell r="AD166" t="str">
            <v/>
          </cell>
          <cell r="AE166">
            <v>0</v>
          </cell>
          <cell r="AF166" t="str">
            <v/>
          </cell>
          <cell r="AG166" t="str">
            <v>12486401</v>
          </cell>
          <cell r="AH166">
            <v>44624.976574074077</v>
          </cell>
          <cell r="AI166" t="str">
            <v>N52</v>
          </cell>
          <cell r="AJ166" t="str">
            <v>F</v>
          </cell>
          <cell r="AK166" t="str">
            <v/>
          </cell>
        </row>
        <row r="167">
          <cell r="A167" t="str">
            <v>12486587829053</v>
          </cell>
          <cell r="B167" t="e">
            <v>#N/A</v>
          </cell>
          <cell r="C167">
            <v>7</v>
          </cell>
          <cell r="D167" t="str">
            <v>EK65</v>
          </cell>
          <cell r="E167" t="str">
            <v>522614</v>
          </cell>
          <cell r="F167" t="str">
            <v>E</v>
          </cell>
          <cell r="G167" t="str">
            <v>12486587</v>
          </cell>
          <cell r="H167" t="str">
            <v>Schottblech</v>
          </cell>
          <cell r="I167">
            <v>51</v>
          </cell>
          <cell r="J167" t="str">
            <v>Stk</v>
          </cell>
          <cell r="K167">
            <v>45196</v>
          </cell>
          <cell r="L167" t="str">
            <v>829053</v>
          </cell>
          <cell r="M167" t="str">
            <v/>
          </cell>
          <cell r="N167" t="str">
            <v/>
          </cell>
          <cell r="O167" t="str">
            <v/>
          </cell>
          <cell r="P167" t="str">
            <v/>
          </cell>
          <cell r="Q167" t="str">
            <v/>
          </cell>
          <cell r="R167" t="str">
            <v/>
          </cell>
          <cell r="S167" t="str">
            <v/>
          </cell>
          <cell r="T167" t="str">
            <v/>
          </cell>
          <cell r="U167" t="str">
            <v/>
          </cell>
          <cell r="V167" t="str">
            <v>N52</v>
          </cell>
          <cell r="W167" t="str">
            <v/>
          </cell>
          <cell r="X167" t="str">
            <v/>
          </cell>
          <cell r="Y167" t="str">
            <v/>
          </cell>
          <cell r="Z167" t="str">
            <v/>
          </cell>
          <cell r="AA167" t="str">
            <v/>
          </cell>
          <cell r="AB167" t="str">
            <v>PA_2344006-QE.7005-4</v>
          </cell>
          <cell r="AC167">
            <v>1</v>
          </cell>
          <cell r="AD167" t="str">
            <v/>
          </cell>
          <cell r="AE167">
            <v>0</v>
          </cell>
          <cell r="AF167" t="str">
            <v/>
          </cell>
          <cell r="AG167" t="str">
            <v>12486587</v>
          </cell>
          <cell r="AH167">
            <v>44624.976620370369</v>
          </cell>
          <cell r="AI167" t="str">
            <v>N52</v>
          </cell>
          <cell r="AJ167" t="str">
            <v>F</v>
          </cell>
          <cell r="AK167" t="str">
            <v/>
          </cell>
        </row>
        <row r="168">
          <cell r="A168" t="str">
            <v>12488579829053</v>
          </cell>
          <cell r="B168" t="e">
            <v>#N/A</v>
          </cell>
          <cell r="C168">
            <v>14</v>
          </cell>
          <cell r="D168" t="str">
            <v>EK65</v>
          </cell>
          <cell r="E168" t="str">
            <v>522615</v>
          </cell>
          <cell r="F168" t="str">
            <v>E</v>
          </cell>
          <cell r="G168" t="str">
            <v>12488579</v>
          </cell>
          <cell r="H168" t="str">
            <v>Anbindung</v>
          </cell>
          <cell r="I168">
            <v>414</v>
          </cell>
          <cell r="J168" t="str">
            <v>Stk</v>
          </cell>
          <cell r="K168">
            <v>45212</v>
          </cell>
          <cell r="L168" t="str">
            <v>829053</v>
          </cell>
          <cell r="M168" t="str">
            <v/>
          </cell>
          <cell r="N168" t="str">
            <v/>
          </cell>
          <cell r="O168" t="str">
            <v/>
          </cell>
          <cell r="P168" t="str">
            <v/>
          </cell>
          <cell r="Q168" t="str">
            <v/>
          </cell>
          <cell r="R168" t="str">
            <v/>
          </cell>
          <cell r="S168" t="str">
            <v/>
          </cell>
          <cell r="T168" t="str">
            <v/>
          </cell>
          <cell r="U168" t="str">
            <v/>
          </cell>
          <cell r="V168" t="str">
            <v>N52</v>
          </cell>
          <cell r="W168" t="str">
            <v/>
          </cell>
          <cell r="X168" t="str">
            <v/>
          </cell>
          <cell r="Y168" t="str">
            <v/>
          </cell>
          <cell r="Z168" t="str">
            <v/>
          </cell>
          <cell r="AA168" t="str">
            <v/>
          </cell>
          <cell r="AB168" t="str">
            <v>PA_2344003-CD.7005-3</v>
          </cell>
          <cell r="AC168">
            <v>1</v>
          </cell>
          <cell r="AD168" t="str">
            <v/>
          </cell>
          <cell r="AE168">
            <v>0</v>
          </cell>
          <cell r="AF168" t="str">
            <v/>
          </cell>
          <cell r="AG168" t="str">
            <v>12488579</v>
          </cell>
          <cell r="AH168">
            <v>44624.976747685185</v>
          </cell>
          <cell r="AI168" t="str">
            <v>N52</v>
          </cell>
          <cell r="AJ168" t="str">
            <v>F</v>
          </cell>
          <cell r="AK168" t="str">
            <v/>
          </cell>
        </row>
        <row r="169">
          <cell r="A169" t="str">
            <v>12488579829054</v>
          </cell>
          <cell r="B169" t="e">
            <v>#N/A</v>
          </cell>
          <cell r="C169">
            <v>14</v>
          </cell>
          <cell r="D169" t="str">
            <v>EK65</v>
          </cell>
          <cell r="E169" t="str">
            <v>522616</v>
          </cell>
          <cell r="F169" t="str">
            <v>E</v>
          </cell>
          <cell r="G169" t="str">
            <v>12488579</v>
          </cell>
          <cell r="H169" t="str">
            <v>Anbindung</v>
          </cell>
          <cell r="I169">
            <v>142</v>
          </cell>
          <cell r="J169" t="str">
            <v>Stk</v>
          </cell>
          <cell r="K169">
            <v>45220</v>
          </cell>
          <cell r="L169" t="str">
            <v>829054</v>
          </cell>
          <cell r="M169" t="str">
            <v/>
          </cell>
          <cell r="N169" t="str">
            <v/>
          </cell>
          <cell r="O169" t="str">
            <v/>
          </cell>
          <cell r="P169" t="str">
            <v/>
          </cell>
          <cell r="Q169" t="str">
            <v/>
          </cell>
          <cell r="R169" t="str">
            <v/>
          </cell>
          <cell r="S169" t="str">
            <v/>
          </cell>
          <cell r="T169" t="str">
            <v/>
          </cell>
          <cell r="U169" t="str">
            <v/>
          </cell>
          <cell r="V169" t="str">
            <v>N52</v>
          </cell>
          <cell r="W169" t="str">
            <v/>
          </cell>
          <cell r="X169" t="str">
            <v/>
          </cell>
          <cell r="Y169" t="str">
            <v/>
          </cell>
          <cell r="Z169" t="str">
            <v/>
          </cell>
          <cell r="AA169" t="str">
            <v/>
          </cell>
          <cell r="AB169" t="str">
            <v>PA_2344003-CD.7005-3</v>
          </cell>
          <cell r="AC169">
            <v>1</v>
          </cell>
          <cell r="AD169" t="str">
            <v/>
          </cell>
          <cell r="AE169">
            <v>0</v>
          </cell>
          <cell r="AF169" t="str">
            <v/>
          </cell>
          <cell r="AG169" t="str">
            <v>12488579</v>
          </cell>
          <cell r="AH169">
            <v>44624.976747685185</v>
          </cell>
          <cell r="AI169" t="str">
            <v>N52</v>
          </cell>
          <cell r="AJ169" t="str">
            <v>F</v>
          </cell>
          <cell r="AK169" t="str">
            <v/>
          </cell>
        </row>
        <row r="170">
          <cell r="A170" t="str">
            <v>12490740829054</v>
          </cell>
          <cell r="B170" t="e">
            <v>#N/A</v>
          </cell>
          <cell r="C170">
            <v>20</v>
          </cell>
          <cell r="D170" t="str">
            <v>EK65</v>
          </cell>
          <cell r="E170" t="str">
            <v>522617</v>
          </cell>
          <cell r="F170" t="str">
            <v>E</v>
          </cell>
          <cell r="G170" t="str">
            <v>12490740</v>
          </cell>
          <cell r="H170" t="str">
            <v>Abdeckung</v>
          </cell>
          <cell r="I170">
            <v>108</v>
          </cell>
          <cell r="J170" t="str">
            <v>Stk</v>
          </cell>
          <cell r="K170">
            <v>45140</v>
          </cell>
          <cell r="L170" t="str">
            <v>829054</v>
          </cell>
          <cell r="M170" t="str">
            <v/>
          </cell>
          <cell r="N170" t="str">
            <v/>
          </cell>
          <cell r="O170" t="str">
            <v/>
          </cell>
          <cell r="P170" t="str">
            <v/>
          </cell>
          <cell r="Q170" t="str">
            <v/>
          </cell>
          <cell r="R170" t="str">
            <v/>
          </cell>
          <cell r="S170" t="str">
            <v/>
          </cell>
          <cell r="T170" t="str">
            <v/>
          </cell>
          <cell r="U170" t="str">
            <v/>
          </cell>
          <cell r="V170" t="str">
            <v>N52</v>
          </cell>
          <cell r="W170" t="str">
            <v/>
          </cell>
          <cell r="X170" t="str">
            <v/>
          </cell>
          <cell r="Y170" t="str">
            <v/>
          </cell>
          <cell r="Z170" t="str">
            <v/>
          </cell>
          <cell r="AA170" t="str">
            <v/>
          </cell>
          <cell r="AB170" t="str">
            <v>PA_4364931-UA.7005-4</v>
          </cell>
          <cell r="AC170">
            <v>1</v>
          </cell>
          <cell r="AD170" t="str">
            <v/>
          </cell>
          <cell r="AE170">
            <v>0</v>
          </cell>
          <cell r="AF170" t="str">
            <v/>
          </cell>
          <cell r="AG170" t="str">
            <v>12490740</v>
          </cell>
          <cell r="AH170">
            <v>44624.976944444446</v>
          </cell>
          <cell r="AI170" t="str">
            <v>N52</v>
          </cell>
          <cell r="AJ170" t="str">
            <v>F</v>
          </cell>
          <cell r="AK170" t="str">
            <v/>
          </cell>
        </row>
        <row r="171">
          <cell r="A171" t="str">
            <v>12490740829053</v>
          </cell>
          <cell r="B171" t="e">
            <v>#N/A</v>
          </cell>
          <cell r="C171">
            <v>20</v>
          </cell>
          <cell r="D171" t="str">
            <v>EK65</v>
          </cell>
          <cell r="E171" t="str">
            <v>522618</v>
          </cell>
          <cell r="F171" t="str">
            <v>E</v>
          </cell>
          <cell r="G171" t="str">
            <v>12490740</v>
          </cell>
          <cell r="H171" t="str">
            <v>Abdeckung</v>
          </cell>
          <cell r="I171">
            <v>151</v>
          </cell>
          <cell r="J171" t="str">
            <v>Stk</v>
          </cell>
          <cell r="K171">
            <v>45140</v>
          </cell>
          <cell r="L171" t="str">
            <v>829053</v>
          </cell>
          <cell r="M171" t="str">
            <v/>
          </cell>
          <cell r="N171" t="str">
            <v/>
          </cell>
          <cell r="O171" t="str">
            <v/>
          </cell>
          <cell r="P171" t="str">
            <v/>
          </cell>
          <cell r="Q171" t="str">
            <v/>
          </cell>
          <cell r="R171" t="str">
            <v/>
          </cell>
          <cell r="S171" t="str">
            <v/>
          </cell>
          <cell r="T171" t="str">
            <v/>
          </cell>
          <cell r="U171" t="str">
            <v/>
          </cell>
          <cell r="V171" t="str">
            <v>N52</v>
          </cell>
          <cell r="W171" t="str">
            <v/>
          </cell>
          <cell r="X171" t="str">
            <v/>
          </cell>
          <cell r="Y171" t="str">
            <v/>
          </cell>
          <cell r="Z171" t="str">
            <v/>
          </cell>
          <cell r="AA171" t="str">
            <v/>
          </cell>
          <cell r="AB171" t="str">
            <v>PA_4364931-UA.7005-4</v>
          </cell>
          <cell r="AC171">
            <v>1</v>
          </cell>
          <cell r="AD171" t="str">
            <v/>
          </cell>
          <cell r="AE171">
            <v>0</v>
          </cell>
          <cell r="AF171" t="str">
            <v/>
          </cell>
          <cell r="AG171" t="str">
            <v>12490740</v>
          </cell>
          <cell r="AH171">
            <v>44624.976944444446</v>
          </cell>
          <cell r="AI171" t="str">
            <v>N52</v>
          </cell>
          <cell r="AJ171" t="str">
            <v>F</v>
          </cell>
          <cell r="AK171" t="str">
            <v/>
          </cell>
        </row>
        <row r="172">
          <cell r="A172" t="str">
            <v>12490741829054</v>
          </cell>
          <cell r="B172" t="e">
            <v>#N/A</v>
          </cell>
          <cell r="C172">
            <v>28</v>
          </cell>
          <cell r="D172" t="str">
            <v>EK65</v>
          </cell>
          <cell r="E172" t="str">
            <v>522620</v>
          </cell>
          <cell r="F172" t="str">
            <v>E</v>
          </cell>
          <cell r="G172" t="str">
            <v>12490741</v>
          </cell>
          <cell r="H172" t="str">
            <v>Lochstreifen</v>
          </cell>
          <cell r="I172">
            <v>68</v>
          </cell>
          <cell r="J172" t="str">
            <v>Stk</v>
          </cell>
          <cell r="K172">
            <v>45098</v>
          </cell>
          <cell r="L172" t="str">
            <v>829054</v>
          </cell>
          <cell r="M172" t="str">
            <v/>
          </cell>
          <cell r="N172" t="str">
            <v/>
          </cell>
          <cell r="O172" t="str">
            <v/>
          </cell>
          <cell r="P172" t="str">
            <v/>
          </cell>
          <cell r="Q172" t="str">
            <v/>
          </cell>
          <cell r="R172" t="str">
            <v/>
          </cell>
          <cell r="S172" t="str">
            <v/>
          </cell>
          <cell r="T172" t="str">
            <v/>
          </cell>
          <cell r="U172" t="str">
            <v/>
          </cell>
          <cell r="V172" t="str">
            <v>N52</v>
          </cell>
          <cell r="W172" t="str">
            <v/>
          </cell>
          <cell r="X172" t="str">
            <v/>
          </cell>
          <cell r="Y172" t="str">
            <v/>
          </cell>
          <cell r="Z172" t="str">
            <v/>
          </cell>
          <cell r="AA172" t="str">
            <v/>
          </cell>
          <cell r="AB172" t="str">
            <v>PA_4421313-UA.7005-4</v>
          </cell>
          <cell r="AC172">
            <v>1</v>
          </cell>
          <cell r="AD172" t="str">
            <v/>
          </cell>
          <cell r="AE172">
            <v>0</v>
          </cell>
          <cell r="AF172" t="str">
            <v/>
          </cell>
          <cell r="AG172" t="str">
            <v>12490741</v>
          </cell>
          <cell r="AH172">
            <v>44624.977002314816</v>
          </cell>
          <cell r="AI172" t="str">
            <v>N52</v>
          </cell>
          <cell r="AJ172" t="str">
            <v>F</v>
          </cell>
          <cell r="AK172" t="str">
            <v/>
          </cell>
        </row>
        <row r="173">
          <cell r="A173" t="str">
            <v>12491366829054</v>
          </cell>
          <cell r="B173" t="e">
            <v>#N/A</v>
          </cell>
          <cell r="C173">
            <v>13</v>
          </cell>
          <cell r="D173" t="str">
            <v>EK65</v>
          </cell>
          <cell r="E173" t="str">
            <v>522621</v>
          </cell>
          <cell r="F173" t="str">
            <v>E</v>
          </cell>
          <cell r="G173" t="str">
            <v>12491366</v>
          </cell>
          <cell r="H173" t="str">
            <v>Beilage 8,5mm</v>
          </cell>
          <cell r="I173">
            <v>645</v>
          </cell>
          <cell r="J173" t="str">
            <v>Stk</v>
          </cell>
          <cell r="K173">
            <v>45212</v>
          </cell>
          <cell r="L173" t="str">
            <v>829054</v>
          </cell>
          <cell r="M173" t="str">
            <v/>
          </cell>
          <cell r="N173" t="str">
            <v/>
          </cell>
          <cell r="O173" t="str">
            <v/>
          </cell>
          <cell r="P173" t="str">
            <v/>
          </cell>
          <cell r="Q173" t="str">
            <v/>
          </cell>
          <cell r="R173" t="str">
            <v/>
          </cell>
          <cell r="S173" t="str">
            <v/>
          </cell>
          <cell r="T173" t="str">
            <v/>
          </cell>
          <cell r="U173" t="str">
            <v/>
          </cell>
          <cell r="V173" t="str">
            <v>N52</v>
          </cell>
          <cell r="W173" t="str">
            <v/>
          </cell>
          <cell r="X173" t="str">
            <v/>
          </cell>
          <cell r="Y173" t="str">
            <v/>
          </cell>
          <cell r="Z173" t="str">
            <v/>
          </cell>
          <cell r="AA173" t="str">
            <v/>
          </cell>
          <cell r="AB173" t="str">
            <v>BU_4172021-CF.7005-4</v>
          </cell>
          <cell r="AC173">
            <v>4</v>
          </cell>
          <cell r="AD173" t="str">
            <v/>
          </cell>
          <cell r="AE173">
            <v>0</v>
          </cell>
          <cell r="AF173" t="str">
            <v/>
          </cell>
          <cell r="AG173" t="str">
            <v>12491366</v>
          </cell>
          <cell r="AH173">
            <v>44624.977187500001</v>
          </cell>
          <cell r="AI173" t="str">
            <v>N52</v>
          </cell>
          <cell r="AJ173" t="str">
            <v>F</v>
          </cell>
          <cell r="AK173" t="str">
            <v/>
          </cell>
        </row>
        <row r="174">
          <cell r="A174" t="str">
            <v>12491366829053</v>
          </cell>
          <cell r="B174" t="e">
            <v>#N/A</v>
          </cell>
          <cell r="C174">
            <v>13</v>
          </cell>
          <cell r="D174" t="str">
            <v>EK65</v>
          </cell>
          <cell r="E174" t="str">
            <v>522622</v>
          </cell>
          <cell r="F174" t="str">
            <v>E</v>
          </cell>
          <cell r="G174" t="str">
            <v>12491366</v>
          </cell>
          <cell r="H174" t="str">
            <v>Beilage 8,5mm</v>
          </cell>
          <cell r="I174">
            <v>1781</v>
          </cell>
          <cell r="J174" t="str">
            <v>Stk</v>
          </cell>
          <cell r="K174">
            <v>45212</v>
          </cell>
          <cell r="L174" t="str">
            <v>829053</v>
          </cell>
          <cell r="M174" t="str">
            <v/>
          </cell>
          <cell r="N174" t="str">
            <v/>
          </cell>
          <cell r="O174" t="str">
            <v/>
          </cell>
          <cell r="P174" t="str">
            <v/>
          </cell>
          <cell r="Q174" t="str">
            <v/>
          </cell>
          <cell r="R174" t="str">
            <v/>
          </cell>
          <cell r="S174" t="str">
            <v/>
          </cell>
          <cell r="T174" t="str">
            <v/>
          </cell>
          <cell r="U174" t="str">
            <v/>
          </cell>
          <cell r="V174" t="str">
            <v>N52</v>
          </cell>
          <cell r="W174" t="str">
            <v/>
          </cell>
          <cell r="X174" t="str">
            <v/>
          </cell>
          <cell r="Y174" t="str">
            <v/>
          </cell>
          <cell r="Z174" t="str">
            <v/>
          </cell>
          <cell r="AA174" t="str">
            <v/>
          </cell>
          <cell r="AB174" t="str">
            <v>BU_4172021-CF.7005-4</v>
          </cell>
          <cell r="AC174">
            <v>4</v>
          </cell>
          <cell r="AD174" t="str">
            <v/>
          </cell>
          <cell r="AE174">
            <v>0</v>
          </cell>
          <cell r="AF174" t="str">
            <v/>
          </cell>
          <cell r="AG174" t="str">
            <v>12491366</v>
          </cell>
          <cell r="AH174">
            <v>44624.977187500001</v>
          </cell>
          <cell r="AI174" t="str">
            <v>N52</v>
          </cell>
          <cell r="AJ174" t="str">
            <v>F</v>
          </cell>
          <cell r="AK174" t="str">
            <v/>
          </cell>
        </row>
        <row r="175">
          <cell r="A175" t="str">
            <v>12491366829051</v>
          </cell>
          <cell r="B175" t="e">
            <v>#N/A</v>
          </cell>
          <cell r="C175">
            <v>13</v>
          </cell>
          <cell r="D175" t="str">
            <v>EK65</v>
          </cell>
          <cell r="E175" t="str">
            <v>522623</v>
          </cell>
          <cell r="F175" t="str">
            <v>E</v>
          </cell>
          <cell r="G175" t="str">
            <v>12491366</v>
          </cell>
          <cell r="H175" t="str">
            <v>Beilage 8,5mm</v>
          </cell>
          <cell r="I175">
            <v>4885</v>
          </cell>
          <cell r="J175" t="str">
            <v>Stk</v>
          </cell>
          <cell r="K175">
            <v>45317</v>
          </cell>
          <cell r="L175" t="str">
            <v>829051</v>
          </cell>
          <cell r="M175" t="str">
            <v/>
          </cell>
          <cell r="N175" t="str">
            <v/>
          </cell>
          <cell r="O175" t="str">
            <v/>
          </cell>
          <cell r="P175" t="str">
            <v/>
          </cell>
          <cell r="Q175" t="str">
            <v/>
          </cell>
          <cell r="R175" t="str">
            <v/>
          </cell>
          <cell r="S175" t="str">
            <v/>
          </cell>
          <cell r="T175" t="str">
            <v/>
          </cell>
          <cell r="U175" t="str">
            <v/>
          </cell>
          <cell r="V175" t="str">
            <v>N52</v>
          </cell>
          <cell r="W175" t="str">
            <v/>
          </cell>
          <cell r="X175" t="str">
            <v/>
          </cell>
          <cell r="Y175" t="str">
            <v/>
          </cell>
          <cell r="Z175" t="str">
            <v/>
          </cell>
          <cell r="AA175" t="str">
            <v/>
          </cell>
          <cell r="AB175" t="str">
            <v>BU_4172021-CF.7005-4</v>
          </cell>
          <cell r="AC175">
            <v>4</v>
          </cell>
          <cell r="AD175" t="str">
            <v/>
          </cell>
          <cell r="AE175">
            <v>0</v>
          </cell>
          <cell r="AF175" t="str">
            <v/>
          </cell>
          <cell r="AG175" t="str">
            <v>12491366</v>
          </cell>
          <cell r="AH175">
            <v>44624.977187500001</v>
          </cell>
          <cell r="AI175" t="str">
            <v>N52</v>
          </cell>
          <cell r="AJ175" t="str">
            <v>F</v>
          </cell>
          <cell r="AK175" t="str">
            <v/>
          </cell>
        </row>
        <row r="176">
          <cell r="A176" t="str">
            <v>12491366829052</v>
          </cell>
          <cell r="B176" t="e">
            <v>#N/A</v>
          </cell>
          <cell r="C176">
            <v>13</v>
          </cell>
          <cell r="D176" t="str">
            <v>EK65</v>
          </cell>
          <cell r="E176" t="str">
            <v>522624</v>
          </cell>
          <cell r="F176" t="str">
            <v>E</v>
          </cell>
          <cell r="G176" t="str">
            <v>12491366</v>
          </cell>
          <cell r="H176" t="str">
            <v>Beilage 8,5mm</v>
          </cell>
          <cell r="I176">
            <v>1685</v>
          </cell>
          <cell r="J176" t="str">
            <v>Stk</v>
          </cell>
          <cell r="K176">
            <v>45350</v>
          </cell>
          <cell r="L176" t="str">
            <v>829052</v>
          </cell>
          <cell r="M176" t="str">
            <v/>
          </cell>
          <cell r="N176" t="str">
            <v/>
          </cell>
          <cell r="O176" t="str">
            <v/>
          </cell>
          <cell r="P176" t="str">
            <v/>
          </cell>
          <cell r="Q176" t="str">
            <v/>
          </cell>
          <cell r="R176" t="str">
            <v/>
          </cell>
          <cell r="S176" t="str">
            <v/>
          </cell>
          <cell r="T176" t="str">
            <v/>
          </cell>
          <cell r="U176" t="str">
            <v/>
          </cell>
          <cell r="V176" t="str">
            <v>N52</v>
          </cell>
          <cell r="W176" t="str">
            <v/>
          </cell>
          <cell r="X176" t="str">
            <v/>
          </cell>
          <cell r="Y176" t="str">
            <v/>
          </cell>
          <cell r="Z176" t="str">
            <v/>
          </cell>
          <cell r="AA176" t="str">
            <v/>
          </cell>
          <cell r="AB176" t="str">
            <v>BU_4172021-CF.7005-4</v>
          </cell>
          <cell r="AC176">
            <v>4</v>
          </cell>
          <cell r="AD176" t="str">
            <v/>
          </cell>
          <cell r="AE176">
            <v>0</v>
          </cell>
          <cell r="AF176" t="str">
            <v/>
          </cell>
          <cell r="AG176" t="str">
            <v>12491366</v>
          </cell>
          <cell r="AH176">
            <v>44624.977187500001</v>
          </cell>
          <cell r="AI176" t="str">
            <v>N52</v>
          </cell>
          <cell r="AJ176" t="str">
            <v>F</v>
          </cell>
          <cell r="AK176" t="str">
            <v/>
          </cell>
        </row>
        <row r="177">
          <cell r="A177" t="str">
            <v>12491696829054</v>
          </cell>
          <cell r="B177" t="e">
            <v>#N/A</v>
          </cell>
          <cell r="C177">
            <v>13</v>
          </cell>
          <cell r="D177" t="str">
            <v>EK65</v>
          </cell>
          <cell r="E177" t="str">
            <v>522625</v>
          </cell>
          <cell r="F177" t="str">
            <v>E</v>
          </cell>
          <cell r="G177" t="str">
            <v>12491696</v>
          </cell>
          <cell r="H177" t="str">
            <v>Dehnhuelse</v>
          </cell>
          <cell r="I177">
            <v>644</v>
          </cell>
          <cell r="J177" t="str">
            <v>Stk</v>
          </cell>
          <cell r="K177">
            <v>45212</v>
          </cell>
          <cell r="L177" t="str">
            <v>829054</v>
          </cell>
          <cell r="M177" t="str">
            <v/>
          </cell>
          <cell r="N177" t="str">
            <v/>
          </cell>
          <cell r="O177" t="str">
            <v/>
          </cell>
          <cell r="P177" t="str">
            <v/>
          </cell>
          <cell r="Q177" t="str">
            <v/>
          </cell>
          <cell r="R177" t="str">
            <v/>
          </cell>
          <cell r="S177" t="str">
            <v/>
          </cell>
          <cell r="T177" t="str">
            <v/>
          </cell>
          <cell r="U177" t="str">
            <v/>
          </cell>
          <cell r="V177" t="str">
            <v>N52</v>
          </cell>
          <cell r="W177" t="str">
            <v/>
          </cell>
          <cell r="X177" t="str">
            <v/>
          </cell>
          <cell r="Y177" t="str">
            <v/>
          </cell>
          <cell r="Z177" t="str">
            <v/>
          </cell>
          <cell r="AA177" t="str">
            <v/>
          </cell>
          <cell r="AB177" t="str">
            <v>PA_4453547-CF.7005-4</v>
          </cell>
          <cell r="AC177">
            <v>4</v>
          </cell>
          <cell r="AD177" t="str">
            <v/>
          </cell>
          <cell r="AE177">
            <v>0</v>
          </cell>
          <cell r="AF177" t="str">
            <v/>
          </cell>
          <cell r="AG177" t="str">
            <v>12491696</v>
          </cell>
          <cell r="AH177">
            <v>44624.97729166667</v>
          </cell>
          <cell r="AI177" t="str">
            <v>N52</v>
          </cell>
          <cell r="AJ177" t="str">
            <v>F</v>
          </cell>
          <cell r="AK177" t="str">
            <v/>
          </cell>
        </row>
        <row r="178">
          <cell r="A178" t="str">
            <v>12491696829053</v>
          </cell>
          <cell r="B178" t="e">
            <v>#N/A</v>
          </cell>
          <cell r="C178">
            <v>13</v>
          </cell>
          <cell r="D178" t="str">
            <v>EK65</v>
          </cell>
          <cell r="E178" t="str">
            <v>522626</v>
          </cell>
          <cell r="F178" t="str">
            <v>E</v>
          </cell>
          <cell r="G178" t="str">
            <v>12491696</v>
          </cell>
          <cell r="H178" t="str">
            <v>Dehnhuelse</v>
          </cell>
          <cell r="I178">
            <v>1781</v>
          </cell>
          <cell r="J178" t="str">
            <v>Stk</v>
          </cell>
          <cell r="K178">
            <v>45212</v>
          </cell>
          <cell r="L178" t="str">
            <v>829053</v>
          </cell>
          <cell r="M178" t="str">
            <v/>
          </cell>
          <cell r="N178" t="str">
            <v/>
          </cell>
          <cell r="O178" t="str">
            <v/>
          </cell>
          <cell r="P178" t="str">
            <v/>
          </cell>
          <cell r="Q178" t="str">
            <v/>
          </cell>
          <cell r="R178" t="str">
            <v/>
          </cell>
          <cell r="S178" t="str">
            <v/>
          </cell>
          <cell r="T178" t="str">
            <v/>
          </cell>
          <cell r="U178" t="str">
            <v/>
          </cell>
          <cell r="V178" t="str">
            <v>N52</v>
          </cell>
          <cell r="W178" t="str">
            <v/>
          </cell>
          <cell r="X178" t="str">
            <v/>
          </cell>
          <cell r="Y178" t="str">
            <v/>
          </cell>
          <cell r="Z178" t="str">
            <v/>
          </cell>
          <cell r="AA178" t="str">
            <v/>
          </cell>
          <cell r="AB178" t="str">
            <v>PA_4453547-CF.7005-4</v>
          </cell>
          <cell r="AC178">
            <v>4</v>
          </cell>
          <cell r="AD178" t="str">
            <v/>
          </cell>
          <cell r="AE178">
            <v>0</v>
          </cell>
          <cell r="AF178" t="str">
            <v/>
          </cell>
          <cell r="AG178" t="str">
            <v>12491696</v>
          </cell>
          <cell r="AH178">
            <v>44624.97729166667</v>
          </cell>
          <cell r="AI178" t="str">
            <v>N52</v>
          </cell>
          <cell r="AJ178" t="str">
            <v>F</v>
          </cell>
          <cell r="AK178" t="str">
            <v/>
          </cell>
        </row>
        <row r="179">
          <cell r="A179" t="str">
            <v>12491696829051</v>
          </cell>
          <cell r="B179" t="e">
            <v>#N/A</v>
          </cell>
          <cell r="C179">
            <v>13</v>
          </cell>
          <cell r="D179" t="str">
            <v>EK65</v>
          </cell>
          <cell r="E179" t="str">
            <v>522627</v>
          </cell>
          <cell r="F179" t="str">
            <v>E</v>
          </cell>
          <cell r="G179" t="str">
            <v>12491696</v>
          </cell>
          <cell r="H179" t="str">
            <v>Dehnhuelse</v>
          </cell>
          <cell r="I179">
            <v>4885</v>
          </cell>
          <cell r="J179" t="str">
            <v>Stk</v>
          </cell>
          <cell r="K179">
            <v>45317</v>
          </cell>
          <cell r="L179" t="str">
            <v>829051</v>
          </cell>
          <cell r="M179" t="str">
            <v/>
          </cell>
          <cell r="N179" t="str">
            <v/>
          </cell>
          <cell r="O179" t="str">
            <v/>
          </cell>
          <cell r="P179" t="str">
            <v/>
          </cell>
          <cell r="Q179" t="str">
            <v/>
          </cell>
          <cell r="R179" t="str">
            <v/>
          </cell>
          <cell r="S179" t="str">
            <v/>
          </cell>
          <cell r="T179" t="str">
            <v/>
          </cell>
          <cell r="U179" t="str">
            <v/>
          </cell>
          <cell r="V179" t="str">
            <v>N52</v>
          </cell>
          <cell r="W179" t="str">
            <v/>
          </cell>
          <cell r="X179" t="str">
            <v/>
          </cell>
          <cell r="Y179" t="str">
            <v/>
          </cell>
          <cell r="Z179" t="str">
            <v/>
          </cell>
          <cell r="AA179" t="str">
            <v/>
          </cell>
          <cell r="AB179" t="str">
            <v>PA_4453547-CF.7005-4</v>
          </cell>
          <cell r="AC179">
            <v>4</v>
          </cell>
          <cell r="AD179" t="str">
            <v/>
          </cell>
          <cell r="AE179">
            <v>0</v>
          </cell>
          <cell r="AF179" t="str">
            <v/>
          </cell>
          <cell r="AG179" t="str">
            <v>12491696</v>
          </cell>
          <cell r="AH179">
            <v>44624.97729166667</v>
          </cell>
          <cell r="AI179" t="str">
            <v>N52</v>
          </cell>
          <cell r="AJ179" t="str">
            <v>F</v>
          </cell>
          <cell r="AK179" t="str">
            <v/>
          </cell>
        </row>
        <row r="180">
          <cell r="A180" t="str">
            <v>12491696829052</v>
          </cell>
          <cell r="B180" t="e">
            <v>#N/A</v>
          </cell>
          <cell r="C180">
            <v>13</v>
          </cell>
          <cell r="D180" t="str">
            <v>EK65</v>
          </cell>
          <cell r="E180" t="str">
            <v>522628</v>
          </cell>
          <cell r="F180" t="str">
            <v>E</v>
          </cell>
          <cell r="G180" t="str">
            <v>12491696</v>
          </cell>
          <cell r="H180" t="str">
            <v>Dehnhuelse</v>
          </cell>
          <cell r="I180">
            <v>1685</v>
          </cell>
          <cell r="J180" t="str">
            <v>Stk</v>
          </cell>
          <cell r="K180">
            <v>45350</v>
          </cell>
          <cell r="L180" t="str">
            <v>829052</v>
          </cell>
          <cell r="M180" t="str">
            <v/>
          </cell>
          <cell r="N180" t="str">
            <v/>
          </cell>
          <cell r="O180" t="str">
            <v/>
          </cell>
          <cell r="P180" t="str">
            <v/>
          </cell>
          <cell r="Q180" t="str">
            <v/>
          </cell>
          <cell r="R180" t="str">
            <v/>
          </cell>
          <cell r="S180" t="str">
            <v/>
          </cell>
          <cell r="T180" t="str">
            <v/>
          </cell>
          <cell r="U180" t="str">
            <v/>
          </cell>
          <cell r="V180" t="str">
            <v>N52</v>
          </cell>
          <cell r="W180" t="str">
            <v/>
          </cell>
          <cell r="X180" t="str">
            <v/>
          </cell>
          <cell r="Y180" t="str">
            <v/>
          </cell>
          <cell r="Z180" t="str">
            <v/>
          </cell>
          <cell r="AA180" t="str">
            <v/>
          </cell>
          <cell r="AB180" t="str">
            <v>PA_4453547-CF.7005-4</v>
          </cell>
          <cell r="AC180">
            <v>4</v>
          </cell>
          <cell r="AD180" t="str">
            <v/>
          </cell>
          <cell r="AE180">
            <v>0</v>
          </cell>
          <cell r="AF180" t="str">
            <v/>
          </cell>
          <cell r="AG180" t="str">
            <v>12491696</v>
          </cell>
          <cell r="AH180">
            <v>44624.97729166667</v>
          </cell>
          <cell r="AI180" t="str">
            <v>N52</v>
          </cell>
          <cell r="AJ180" t="str">
            <v>F</v>
          </cell>
          <cell r="AK180" t="str">
            <v/>
          </cell>
        </row>
        <row r="181">
          <cell r="A181" t="str">
            <v>12494948829054</v>
          </cell>
          <cell r="B181" t="e">
            <v>#N/A</v>
          </cell>
          <cell r="C181">
            <v>14</v>
          </cell>
          <cell r="D181" t="str">
            <v>EK65</v>
          </cell>
          <cell r="E181" t="str">
            <v>522629</v>
          </cell>
          <cell r="F181" t="str">
            <v>E</v>
          </cell>
          <cell r="G181" t="str">
            <v>12494948</v>
          </cell>
          <cell r="H181" t="str">
            <v>Luftfilterhalter</v>
          </cell>
          <cell r="I181">
            <v>17</v>
          </cell>
          <cell r="J181" t="str">
            <v>Stk</v>
          </cell>
          <cell r="K181">
            <v>45213</v>
          </cell>
          <cell r="L181" t="str">
            <v>829054</v>
          </cell>
          <cell r="M181" t="str">
            <v/>
          </cell>
          <cell r="N181" t="str">
            <v/>
          </cell>
          <cell r="O181" t="str">
            <v/>
          </cell>
          <cell r="P181" t="str">
            <v/>
          </cell>
          <cell r="Q181" t="str">
            <v/>
          </cell>
          <cell r="R181" t="str">
            <v/>
          </cell>
          <cell r="S181" t="str">
            <v/>
          </cell>
          <cell r="T181" t="str">
            <v/>
          </cell>
          <cell r="U181" t="str">
            <v/>
          </cell>
          <cell r="V181" t="str">
            <v>N52</v>
          </cell>
          <cell r="W181" t="str">
            <v/>
          </cell>
          <cell r="X181" t="str">
            <v/>
          </cell>
          <cell r="Y181" t="str">
            <v/>
          </cell>
          <cell r="Z181" t="str">
            <v/>
          </cell>
          <cell r="AA181" t="str">
            <v/>
          </cell>
          <cell r="AB181" t="str">
            <v>PA_4318459-QE.7005-4</v>
          </cell>
          <cell r="AC181">
            <v>1</v>
          </cell>
          <cell r="AD181" t="str">
            <v/>
          </cell>
          <cell r="AE181">
            <v>0</v>
          </cell>
          <cell r="AF181" t="str">
            <v/>
          </cell>
          <cell r="AG181" t="str">
            <v>12494948</v>
          </cell>
          <cell r="AH181">
            <v>44624.977465277778</v>
          </cell>
          <cell r="AI181" t="str">
            <v>N52</v>
          </cell>
          <cell r="AJ181" t="str">
            <v>F</v>
          </cell>
          <cell r="AK181" t="str">
            <v/>
          </cell>
        </row>
        <row r="182">
          <cell r="A182" t="str">
            <v>12494948829053</v>
          </cell>
          <cell r="B182" t="e">
            <v>#N/A</v>
          </cell>
          <cell r="C182">
            <v>14</v>
          </cell>
          <cell r="D182" t="str">
            <v>EK65</v>
          </cell>
          <cell r="E182" t="str">
            <v>522630</v>
          </cell>
          <cell r="F182" t="str">
            <v>E</v>
          </cell>
          <cell r="G182" t="str">
            <v>12494948</v>
          </cell>
          <cell r="H182" t="str">
            <v>Luftfilterhalter</v>
          </cell>
          <cell r="I182">
            <v>49</v>
          </cell>
          <cell r="J182" t="str">
            <v>Stk</v>
          </cell>
          <cell r="K182">
            <v>45217</v>
          </cell>
          <cell r="L182" t="str">
            <v>829053</v>
          </cell>
          <cell r="M182" t="str">
            <v/>
          </cell>
          <cell r="N182" t="str">
            <v/>
          </cell>
          <cell r="O182" t="str">
            <v/>
          </cell>
          <cell r="P182" t="str">
            <v/>
          </cell>
          <cell r="Q182" t="str">
            <v/>
          </cell>
          <cell r="R182" t="str">
            <v/>
          </cell>
          <cell r="S182" t="str">
            <v/>
          </cell>
          <cell r="T182" t="str">
            <v/>
          </cell>
          <cell r="U182" t="str">
            <v/>
          </cell>
          <cell r="V182" t="str">
            <v>N52</v>
          </cell>
          <cell r="W182" t="str">
            <v/>
          </cell>
          <cell r="X182" t="str">
            <v/>
          </cell>
          <cell r="Y182" t="str">
            <v/>
          </cell>
          <cell r="Z182" t="str">
            <v/>
          </cell>
          <cell r="AA182" t="str">
            <v/>
          </cell>
          <cell r="AB182" t="str">
            <v>PA_4318459-QE.7005-4</v>
          </cell>
          <cell r="AC182">
            <v>1</v>
          </cell>
          <cell r="AD182" t="str">
            <v/>
          </cell>
          <cell r="AE182">
            <v>0</v>
          </cell>
          <cell r="AF182" t="str">
            <v/>
          </cell>
          <cell r="AG182" t="str">
            <v>12494948</v>
          </cell>
          <cell r="AH182">
            <v>44624.977465277778</v>
          </cell>
          <cell r="AI182" t="str">
            <v>N52</v>
          </cell>
          <cell r="AJ182" t="str">
            <v>F</v>
          </cell>
          <cell r="AK182" t="str">
            <v/>
          </cell>
        </row>
        <row r="183">
          <cell r="A183" t="str">
            <v>12494959829054</v>
          </cell>
          <cell r="B183" t="e">
            <v>#N/A</v>
          </cell>
          <cell r="C183">
            <v>12</v>
          </cell>
          <cell r="D183" t="str">
            <v>EK65</v>
          </cell>
          <cell r="E183" t="str">
            <v>522631</v>
          </cell>
          <cell r="F183" t="str">
            <v>E</v>
          </cell>
          <cell r="G183" t="str">
            <v>12494959</v>
          </cell>
          <cell r="H183" t="str">
            <v>Lasche</v>
          </cell>
          <cell r="I183">
            <v>18</v>
          </cell>
          <cell r="J183" t="str">
            <v>Stk</v>
          </cell>
          <cell r="K183">
            <v>45212</v>
          </cell>
          <cell r="L183" t="str">
            <v>829054</v>
          </cell>
          <cell r="M183" t="str">
            <v/>
          </cell>
          <cell r="N183" t="str">
            <v/>
          </cell>
          <cell r="O183" t="str">
            <v/>
          </cell>
          <cell r="P183" t="str">
            <v/>
          </cell>
          <cell r="Q183" t="str">
            <v/>
          </cell>
          <cell r="R183" t="str">
            <v/>
          </cell>
          <cell r="S183" t="str">
            <v/>
          </cell>
          <cell r="T183" t="str">
            <v/>
          </cell>
          <cell r="U183" t="str">
            <v/>
          </cell>
          <cell r="V183" t="str">
            <v>N52</v>
          </cell>
          <cell r="W183" t="str">
            <v/>
          </cell>
          <cell r="X183" t="str">
            <v/>
          </cell>
          <cell r="Y183" t="str">
            <v/>
          </cell>
          <cell r="Z183" t="str">
            <v/>
          </cell>
          <cell r="AA183" t="str">
            <v/>
          </cell>
          <cell r="AB183" t="str">
            <v>PA_2338412-QE.7005-4</v>
          </cell>
          <cell r="AC183">
            <v>1</v>
          </cell>
          <cell r="AD183" t="str">
            <v/>
          </cell>
          <cell r="AE183">
            <v>0</v>
          </cell>
          <cell r="AF183" t="str">
            <v/>
          </cell>
          <cell r="AG183" t="str">
            <v>12494959</v>
          </cell>
          <cell r="AH183">
            <v>44624.977488425924</v>
          </cell>
          <cell r="AI183" t="str">
            <v>N52</v>
          </cell>
          <cell r="AJ183" t="str">
            <v>F</v>
          </cell>
          <cell r="AK183" t="str">
            <v/>
          </cell>
        </row>
        <row r="184">
          <cell r="A184" t="str">
            <v>12494959829053</v>
          </cell>
          <cell r="B184" t="e">
            <v>#N/A</v>
          </cell>
          <cell r="C184">
            <v>12</v>
          </cell>
          <cell r="D184" t="str">
            <v>EK65</v>
          </cell>
          <cell r="E184" t="str">
            <v>522632</v>
          </cell>
          <cell r="F184" t="str">
            <v>E</v>
          </cell>
          <cell r="G184" t="str">
            <v>12494959</v>
          </cell>
          <cell r="H184" t="str">
            <v>Lasche</v>
          </cell>
          <cell r="I184">
            <v>48</v>
          </cell>
          <cell r="J184" t="str">
            <v>Stk</v>
          </cell>
          <cell r="K184">
            <v>45223</v>
          </cell>
          <cell r="L184" t="str">
            <v>829053</v>
          </cell>
          <cell r="M184" t="str">
            <v/>
          </cell>
          <cell r="N184" t="str">
            <v/>
          </cell>
          <cell r="O184" t="str">
            <v/>
          </cell>
          <cell r="P184" t="str">
            <v/>
          </cell>
          <cell r="Q184" t="str">
            <v/>
          </cell>
          <cell r="R184" t="str">
            <v/>
          </cell>
          <cell r="S184" t="str">
            <v/>
          </cell>
          <cell r="T184" t="str">
            <v/>
          </cell>
          <cell r="U184" t="str">
            <v/>
          </cell>
          <cell r="V184" t="str">
            <v>N52</v>
          </cell>
          <cell r="W184" t="str">
            <v/>
          </cell>
          <cell r="X184" t="str">
            <v/>
          </cell>
          <cell r="Y184" t="str">
            <v/>
          </cell>
          <cell r="Z184" t="str">
            <v/>
          </cell>
          <cell r="AA184" t="str">
            <v/>
          </cell>
          <cell r="AB184" t="str">
            <v>PA_2338412-QE.7005-4</v>
          </cell>
          <cell r="AC184">
            <v>1</v>
          </cell>
          <cell r="AD184" t="str">
            <v/>
          </cell>
          <cell r="AE184">
            <v>0</v>
          </cell>
          <cell r="AF184" t="str">
            <v/>
          </cell>
          <cell r="AG184" t="str">
            <v>12494959</v>
          </cell>
          <cell r="AH184">
            <v>44624.977488425924</v>
          </cell>
          <cell r="AI184" t="str">
            <v>N52</v>
          </cell>
          <cell r="AJ184" t="str">
            <v>F</v>
          </cell>
          <cell r="AK184" t="str">
            <v/>
          </cell>
        </row>
        <row r="185">
          <cell r="A185" t="str">
            <v>12496461829053</v>
          </cell>
          <cell r="B185" t="e">
            <v>#N/A</v>
          </cell>
          <cell r="C185">
            <v>7</v>
          </cell>
          <cell r="D185" t="str">
            <v>EK65</v>
          </cell>
          <cell r="E185" t="str">
            <v>522635</v>
          </cell>
          <cell r="F185" t="str">
            <v>E</v>
          </cell>
          <cell r="G185" t="str">
            <v>12496461</v>
          </cell>
          <cell r="H185" t="str">
            <v>Halter</v>
          </cell>
          <cell r="I185">
            <v>308</v>
          </cell>
          <cell r="J185" t="str">
            <v>Stk</v>
          </cell>
          <cell r="K185">
            <v>45205</v>
          </cell>
          <cell r="L185" t="str">
            <v>829053</v>
          </cell>
          <cell r="M185" t="str">
            <v/>
          </cell>
          <cell r="N185" t="str">
            <v/>
          </cell>
          <cell r="O185" t="str">
            <v/>
          </cell>
          <cell r="P185" t="str">
            <v/>
          </cell>
          <cell r="Q185" t="str">
            <v/>
          </cell>
          <cell r="R185" t="str">
            <v/>
          </cell>
          <cell r="S185" t="str">
            <v/>
          </cell>
          <cell r="T185" t="str">
            <v/>
          </cell>
          <cell r="U185" t="str">
            <v/>
          </cell>
          <cell r="V185" t="str">
            <v>N52</v>
          </cell>
          <cell r="W185" t="str">
            <v/>
          </cell>
          <cell r="X185" t="str">
            <v/>
          </cell>
          <cell r="Y185" t="str">
            <v/>
          </cell>
          <cell r="Z185" t="str">
            <v/>
          </cell>
          <cell r="AA185" t="str">
            <v/>
          </cell>
          <cell r="AB185" t="str">
            <v>PA_4375245-LC.7005-3</v>
          </cell>
          <cell r="AC185">
            <v>1</v>
          </cell>
          <cell r="AD185" t="str">
            <v/>
          </cell>
          <cell r="AE185">
            <v>0</v>
          </cell>
          <cell r="AF185" t="str">
            <v/>
          </cell>
          <cell r="AG185" t="str">
            <v>12496461</v>
          </cell>
          <cell r="AH185">
            <v>44624.977858796294</v>
          </cell>
          <cell r="AI185" t="str">
            <v>N52</v>
          </cell>
          <cell r="AJ185" t="str">
            <v>F</v>
          </cell>
          <cell r="AK185" t="str">
            <v/>
          </cell>
        </row>
        <row r="186">
          <cell r="A186" t="str">
            <v>12497116829053</v>
          </cell>
          <cell r="B186" t="e">
            <v>#N/A</v>
          </cell>
          <cell r="C186">
            <v>14</v>
          </cell>
          <cell r="D186" t="str">
            <v>EK65</v>
          </cell>
          <cell r="E186" t="str">
            <v>522636</v>
          </cell>
          <cell r="F186" t="str">
            <v>E</v>
          </cell>
          <cell r="G186" t="str">
            <v>12497116</v>
          </cell>
          <cell r="H186" t="str">
            <v>Deckenwinkel</v>
          </cell>
          <cell r="I186">
            <v>408</v>
          </cell>
          <cell r="J186" t="str">
            <v>Stk</v>
          </cell>
          <cell r="K186">
            <v>45212</v>
          </cell>
          <cell r="L186" t="str">
            <v>829053</v>
          </cell>
          <cell r="M186" t="str">
            <v/>
          </cell>
          <cell r="N186" t="str">
            <v/>
          </cell>
          <cell r="O186" t="str">
            <v/>
          </cell>
          <cell r="P186" t="str">
            <v/>
          </cell>
          <cell r="Q186" t="str">
            <v/>
          </cell>
          <cell r="R186" t="str">
            <v/>
          </cell>
          <cell r="S186" t="str">
            <v/>
          </cell>
          <cell r="T186" t="str">
            <v/>
          </cell>
          <cell r="U186" t="str">
            <v/>
          </cell>
          <cell r="V186" t="str">
            <v>N52</v>
          </cell>
          <cell r="W186" t="str">
            <v/>
          </cell>
          <cell r="X186" t="str">
            <v/>
          </cell>
          <cell r="Y186" t="str">
            <v/>
          </cell>
          <cell r="Z186" t="str">
            <v/>
          </cell>
          <cell r="AA186" t="str">
            <v/>
          </cell>
          <cell r="AB186" t="str">
            <v>PA_4393854-CD.7005-3</v>
          </cell>
          <cell r="AC186">
            <v>1</v>
          </cell>
          <cell r="AD186" t="str">
            <v/>
          </cell>
          <cell r="AE186">
            <v>0</v>
          </cell>
          <cell r="AF186" t="str">
            <v/>
          </cell>
          <cell r="AG186" t="str">
            <v>12497116</v>
          </cell>
          <cell r="AH186">
            <v>44624.978078703702</v>
          </cell>
          <cell r="AI186" t="str">
            <v>N52</v>
          </cell>
          <cell r="AJ186" t="str">
            <v>F</v>
          </cell>
          <cell r="AK186" t="str">
            <v/>
          </cell>
        </row>
        <row r="187">
          <cell r="A187" t="str">
            <v>12497116829054</v>
          </cell>
          <cell r="B187" t="e">
            <v>#N/A</v>
          </cell>
          <cell r="C187">
            <v>14</v>
          </cell>
          <cell r="D187" t="str">
            <v>EK65</v>
          </cell>
          <cell r="E187" t="str">
            <v>522637</v>
          </cell>
          <cell r="F187" t="str">
            <v>E</v>
          </cell>
          <cell r="G187" t="str">
            <v>12497116</v>
          </cell>
          <cell r="H187" t="str">
            <v>Deckenwinkel</v>
          </cell>
          <cell r="I187">
            <v>142</v>
          </cell>
          <cell r="J187" t="str">
            <v>Stk</v>
          </cell>
          <cell r="K187">
            <v>45220</v>
          </cell>
          <cell r="L187" t="str">
            <v>829054</v>
          </cell>
          <cell r="M187" t="str">
            <v/>
          </cell>
          <cell r="N187" t="str">
            <v/>
          </cell>
          <cell r="O187" t="str">
            <v/>
          </cell>
          <cell r="P187" t="str">
            <v/>
          </cell>
          <cell r="Q187" t="str">
            <v/>
          </cell>
          <cell r="R187" t="str">
            <v/>
          </cell>
          <cell r="S187" t="str">
            <v/>
          </cell>
          <cell r="T187" t="str">
            <v/>
          </cell>
          <cell r="U187" t="str">
            <v/>
          </cell>
          <cell r="V187" t="str">
            <v>N52</v>
          </cell>
          <cell r="W187" t="str">
            <v/>
          </cell>
          <cell r="X187" t="str">
            <v/>
          </cell>
          <cell r="Y187" t="str">
            <v/>
          </cell>
          <cell r="Z187" t="str">
            <v/>
          </cell>
          <cell r="AA187" t="str">
            <v/>
          </cell>
          <cell r="AB187" t="str">
            <v>PA_4393854-CD.7005-3</v>
          </cell>
          <cell r="AC187">
            <v>1</v>
          </cell>
          <cell r="AD187" t="str">
            <v/>
          </cell>
          <cell r="AE187">
            <v>0</v>
          </cell>
          <cell r="AF187" t="str">
            <v/>
          </cell>
          <cell r="AG187" t="str">
            <v>12497116</v>
          </cell>
          <cell r="AH187">
            <v>44624.978078703702</v>
          </cell>
          <cell r="AI187" t="str">
            <v>N52</v>
          </cell>
          <cell r="AJ187" t="str">
            <v>F</v>
          </cell>
          <cell r="AK187" t="str">
            <v/>
          </cell>
        </row>
        <row r="188">
          <cell r="A188" t="str">
            <v>12501361829053</v>
          </cell>
          <cell r="B188" t="e">
            <v>#N/A</v>
          </cell>
          <cell r="C188">
            <v>14</v>
          </cell>
          <cell r="D188" t="str">
            <v>EK65</v>
          </cell>
          <cell r="E188" t="str">
            <v>522638</v>
          </cell>
          <cell r="F188" t="str">
            <v>E</v>
          </cell>
          <cell r="G188" t="str">
            <v>12501361</v>
          </cell>
          <cell r="H188" t="str">
            <v>Halter</v>
          </cell>
          <cell r="I188">
            <v>308</v>
          </cell>
          <cell r="J188" t="str">
            <v>Stk</v>
          </cell>
          <cell r="K188">
            <v>45205</v>
          </cell>
          <cell r="L188" t="str">
            <v>829053</v>
          </cell>
          <cell r="M188" t="str">
            <v/>
          </cell>
          <cell r="N188" t="str">
            <v/>
          </cell>
          <cell r="O188" t="str">
            <v/>
          </cell>
          <cell r="P188" t="str">
            <v/>
          </cell>
          <cell r="Q188" t="str">
            <v/>
          </cell>
          <cell r="R188" t="str">
            <v/>
          </cell>
          <cell r="S188" t="str">
            <v/>
          </cell>
          <cell r="T188" t="str">
            <v/>
          </cell>
          <cell r="U188" t="str">
            <v/>
          </cell>
          <cell r="V188" t="str">
            <v>N52</v>
          </cell>
          <cell r="W188" t="str">
            <v/>
          </cell>
          <cell r="X188" t="str">
            <v/>
          </cell>
          <cell r="Y188" t="str">
            <v/>
          </cell>
          <cell r="Z188" t="str">
            <v/>
          </cell>
          <cell r="AA188" t="str">
            <v/>
          </cell>
          <cell r="AB188" t="str">
            <v>PA_2343371-LC.7005-3</v>
          </cell>
          <cell r="AC188">
            <v>1</v>
          </cell>
          <cell r="AD188" t="str">
            <v/>
          </cell>
          <cell r="AE188">
            <v>0</v>
          </cell>
          <cell r="AF188" t="str">
            <v/>
          </cell>
          <cell r="AG188" t="str">
            <v>12501361</v>
          </cell>
          <cell r="AH188">
            <v>44624.978703703702</v>
          </cell>
          <cell r="AI188" t="str">
            <v>N52</v>
          </cell>
          <cell r="AJ188" t="str">
            <v>F</v>
          </cell>
          <cell r="AK188" t="str">
            <v/>
          </cell>
        </row>
        <row r="189">
          <cell r="A189" t="str">
            <v>12501361829054</v>
          </cell>
          <cell r="B189" t="e">
            <v>#N/A</v>
          </cell>
          <cell r="C189">
            <v>14</v>
          </cell>
          <cell r="D189" t="str">
            <v>EK65</v>
          </cell>
          <cell r="E189" t="str">
            <v>522639</v>
          </cell>
          <cell r="F189" t="str">
            <v>E</v>
          </cell>
          <cell r="G189" t="str">
            <v>12501361</v>
          </cell>
          <cell r="H189" t="str">
            <v>Halter</v>
          </cell>
          <cell r="I189">
            <v>187</v>
          </cell>
          <cell r="J189" t="str">
            <v>Stk</v>
          </cell>
          <cell r="K189">
            <v>45237</v>
          </cell>
          <cell r="L189" t="str">
            <v>829054</v>
          </cell>
          <cell r="M189" t="str">
            <v/>
          </cell>
          <cell r="N189" t="str">
            <v/>
          </cell>
          <cell r="O189" t="str">
            <v/>
          </cell>
          <cell r="P189" t="str">
            <v/>
          </cell>
          <cell r="Q189" t="str">
            <v/>
          </cell>
          <cell r="R189" t="str">
            <v/>
          </cell>
          <cell r="S189" t="str">
            <v/>
          </cell>
          <cell r="T189" t="str">
            <v/>
          </cell>
          <cell r="U189" t="str">
            <v/>
          </cell>
          <cell r="V189" t="str">
            <v>N52</v>
          </cell>
          <cell r="W189" t="str">
            <v/>
          </cell>
          <cell r="X189" t="str">
            <v/>
          </cell>
          <cell r="Y189" t="str">
            <v/>
          </cell>
          <cell r="Z189" t="str">
            <v/>
          </cell>
          <cell r="AA189" t="str">
            <v/>
          </cell>
          <cell r="AB189" t="str">
            <v>PA_2343371-LC.7005-3</v>
          </cell>
          <cell r="AC189">
            <v>1</v>
          </cell>
          <cell r="AD189" t="str">
            <v/>
          </cell>
          <cell r="AE189">
            <v>0</v>
          </cell>
          <cell r="AF189" t="str">
            <v/>
          </cell>
          <cell r="AG189" t="str">
            <v>12501361</v>
          </cell>
          <cell r="AH189">
            <v>44624.978703703702</v>
          </cell>
          <cell r="AI189" t="str">
            <v>N52</v>
          </cell>
          <cell r="AJ189" t="str">
            <v>F</v>
          </cell>
          <cell r="AK189" t="str">
            <v/>
          </cell>
        </row>
        <row r="190">
          <cell r="A190" t="str">
            <v>12501393829053</v>
          </cell>
          <cell r="B190" t="e">
            <v>#N/A</v>
          </cell>
          <cell r="C190">
            <v>7</v>
          </cell>
          <cell r="D190" t="str">
            <v>EK65</v>
          </cell>
          <cell r="E190" t="str">
            <v>522640</v>
          </cell>
          <cell r="F190" t="str">
            <v>E</v>
          </cell>
          <cell r="G190" t="str">
            <v>12501393</v>
          </cell>
          <cell r="H190" t="str">
            <v>Halter w.g.</v>
          </cell>
          <cell r="I190">
            <v>51</v>
          </cell>
          <cell r="J190" t="str">
            <v>Stk</v>
          </cell>
          <cell r="K190">
            <v>45209</v>
          </cell>
          <cell r="L190" t="str">
            <v>829053</v>
          </cell>
          <cell r="M190" t="str">
            <v/>
          </cell>
          <cell r="N190" t="str">
            <v/>
          </cell>
          <cell r="O190" t="str">
            <v/>
          </cell>
          <cell r="P190" t="str">
            <v/>
          </cell>
          <cell r="Q190" t="str">
            <v/>
          </cell>
          <cell r="R190" t="str">
            <v/>
          </cell>
          <cell r="S190" t="str">
            <v/>
          </cell>
          <cell r="T190" t="str">
            <v/>
          </cell>
          <cell r="U190" t="str">
            <v/>
          </cell>
          <cell r="V190" t="str">
            <v>N52</v>
          </cell>
          <cell r="W190" t="str">
            <v/>
          </cell>
          <cell r="X190" t="str">
            <v/>
          </cell>
          <cell r="Y190" t="str">
            <v/>
          </cell>
          <cell r="Z190" t="str">
            <v/>
          </cell>
          <cell r="AA190" t="str">
            <v/>
          </cell>
          <cell r="AB190" t="str">
            <v>PA_4298909-LC.7005-3</v>
          </cell>
          <cell r="AC190">
            <v>1</v>
          </cell>
          <cell r="AD190" t="str">
            <v/>
          </cell>
          <cell r="AE190">
            <v>0</v>
          </cell>
          <cell r="AF190" t="str">
            <v/>
          </cell>
          <cell r="AG190" t="str">
            <v>12501393</v>
          </cell>
          <cell r="AH190">
            <v>44624.978715277779</v>
          </cell>
          <cell r="AI190" t="str">
            <v>N52</v>
          </cell>
          <cell r="AJ190" t="str">
            <v>F</v>
          </cell>
          <cell r="AK190" t="str">
            <v/>
          </cell>
        </row>
        <row r="191">
          <cell r="A191" t="str">
            <v>12501395829053</v>
          </cell>
          <cell r="B191" t="e">
            <v>#N/A</v>
          </cell>
          <cell r="C191">
            <v>7</v>
          </cell>
          <cell r="D191" t="str">
            <v>EK65</v>
          </cell>
          <cell r="E191" t="str">
            <v>522641</v>
          </cell>
          <cell r="F191" t="str">
            <v>E</v>
          </cell>
          <cell r="G191" t="str">
            <v>12501395</v>
          </cell>
          <cell r="H191" t="str">
            <v>Halter sp.g.</v>
          </cell>
          <cell r="I191">
            <v>51</v>
          </cell>
          <cell r="J191" t="str">
            <v>Stk</v>
          </cell>
          <cell r="K191">
            <v>45209</v>
          </cell>
          <cell r="L191" t="str">
            <v>829053</v>
          </cell>
          <cell r="M191" t="str">
            <v/>
          </cell>
          <cell r="N191" t="str">
            <v/>
          </cell>
          <cell r="O191" t="str">
            <v/>
          </cell>
          <cell r="P191" t="str">
            <v/>
          </cell>
          <cell r="Q191" t="str">
            <v/>
          </cell>
          <cell r="R191" t="str">
            <v/>
          </cell>
          <cell r="S191" t="str">
            <v/>
          </cell>
          <cell r="T191" t="str">
            <v/>
          </cell>
          <cell r="U191" t="str">
            <v/>
          </cell>
          <cell r="V191" t="str">
            <v>N52</v>
          </cell>
          <cell r="W191" t="str">
            <v/>
          </cell>
          <cell r="X191" t="str">
            <v/>
          </cell>
          <cell r="Y191" t="str">
            <v/>
          </cell>
          <cell r="Z191" t="str">
            <v/>
          </cell>
          <cell r="AA191" t="str">
            <v/>
          </cell>
          <cell r="AB191" t="str">
            <v>PA_4298909-LC.7005-3</v>
          </cell>
          <cell r="AC191">
            <v>1</v>
          </cell>
          <cell r="AD191" t="str">
            <v/>
          </cell>
          <cell r="AE191">
            <v>0</v>
          </cell>
          <cell r="AF191" t="str">
            <v/>
          </cell>
          <cell r="AG191" t="str">
            <v>12501395</v>
          </cell>
          <cell r="AH191">
            <v>44624.978738425925</v>
          </cell>
          <cell r="AI191" t="str">
            <v>N52</v>
          </cell>
          <cell r="AJ191" t="str">
            <v>F</v>
          </cell>
          <cell r="AK191" t="str">
            <v/>
          </cell>
        </row>
        <row r="192">
          <cell r="A192" t="str">
            <v>12501724829053</v>
          </cell>
          <cell r="B192" t="e">
            <v>#N/A</v>
          </cell>
          <cell r="C192">
            <v>6</v>
          </cell>
          <cell r="D192" t="str">
            <v>EK65</v>
          </cell>
          <cell r="E192" t="str">
            <v>522644</v>
          </cell>
          <cell r="F192" t="str">
            <v>E</v>
          </cell>
          <cell r="G192" t="str">
            <v>12501724</v>
          </cell>
          <cell r="H192" t="str">
            <v>Halter oben</v>
          </cell>
          <cell r="I192">
            <v>51</v>
          </cell>
          <cell r="J192" t="str">
            <v>Stk</v>
          </cell>
          <cell r="K192">
            <v>45212</v>
          </cell>
          <cell r="L192" t="str">
            <v>829053</v>
          </cell>
          <cell r="M192" t="str">
            <v/>
          </cell>
          <cell r="N192" t="str">
            <v/>
          </cell>
          <cell r="O192" t="str">
            <v/>
          </cell>
          <cell r="P192" t="str">
            <v/>
          </cell>
          <cell r="Q192" t="str">
            <v/>
          </cell>
          <cell r="R192" t="str">
            <v/>
          </cell>
          <cell r="S192" t="str">
            <v/>
          </cell>
          <cell r="T192" t="str">
            <v/>
          </cell>
          <cell r="U192" t="str">
            <v/>
          </cell>
          <cell r="V192" t="str">
            <v>N52</v>
          </cell>
          <cell r="W192" t="str">
            <v/>
          </cell>
          <cell r="X192" t="str">
            <v/>
          </cell>
          <cell r="Y192" t="str">
            <v/>
          </cell>
          <cell r="Z192" t="str">
            <v/>
          </cell>
          <cell r="AA192" t="str">
            <v/>
          </cell>
          <cell r="AB192" t="str">
            <v>PA_4266264-UA.7005-2</v>
          </cell>
          <cell r="AC192">
            <v>1</v>
          </cell>
          <cell r="AD192" t="str">
            <v/>
          </cell>
          <cell r="AE192">
            <v>0</v>
          </cell>
          <cell r="AF192" t="str">
            <v/>
          </cell>
          <cell r="AG192" t="str">
            <v>12501724</v>
          </cell>
          <cell r="AH192">
            <v>44624.978796296295</v>
          </cell>
          <cell r="AI192" t="str">
            <v>N52</v>
          </cell>
          <cell r="AJ192" t="str">
            <v>F</v>
          </cell>
          <cell r="AK192" t="str">
            <v/>
          </cell>
        </row>
        <row r="193">
          <cell r="A193" t="str">
            <v>12501734829053</v>
          </cell>
          <cell r="B193" t="e">
            <v>#N/A</v>
          </cell>
          <cell r="C193">
            <v>14</v>
          </cell>
          <cell r="D193" t="str">
            <v>EK65</v>
          </cell>
          <cell r="E193" t="str">
            <v>522645</v>
          </cell>
          <cell r="F193" t="str">
            <v>E</v>
          </cell>
          <cell r="G193" t="str">
            <v>12501734</v>
          </cell>
          <cell r="H193" t="str">
            <v>Halter unten</v>
          </cell>
          <cell r="I193">
            <v>51</v>
          </cell>
          <cell r="J193" t="str">
            <v>Stk</v>
          </cell>
          <cell r="K193">
            <v>45212</v>
          </cell>
          <cell r="L193" t="str">
            <v>829053</v>
          </cell>
          <cell r="M193" t="str">
            <v/>
          </cell>
          <cell r="N193" t="str">
            <v/>
          </cell>
          <cell r="O193" t="str">
            <v/>
          </cell>
          <cell r="P193" t="str">
            <v/>
          </cell>
          <cell r="Q193" t="str">
            <v/>
          </cell>
          <cell r="R193" t="str">
            <v/>
          </cell>
          <cell r="S193" t="str">
            <v/>
          </cell>
          <cell r="T193" t="str">
            <v/>
          </cell>
          <cell r="U193" t="str">
            <v/>
          </cell>
          <cell r="V193" t="str">
            <v>N52</v>
          </cell>
          <cell r="W193" t="str">
            <v/>
          </cell>
          <cell r="X193" t="str">
            <v/>
          </cell>
          <cell r="Y193" t="str">
            <v/>
          </cell>
          <cell r="Z193" t="str">
            <v/>
          </cell>
          <cell r="AA193" t="str">
            <v/>
          </cell>
          <cell r="AB193" t="str">
            <v>PA_4268112-UA.7005-3</v>
          </cell>
          <cell r="AC193">
            <v>1</v>
          </cell>
          <cell r="AD193" t="str">
            <v/>
          </cell>
          <cell r="AE193">
            <v>0</v>
          </cell>
          <cell r="AF193" t="str">
            <v/>
          </cell>
          <cell r="AG193" t="str">
            <v>12501734</v>
          </cell>
          <cell r="AH193">
            <v>44624.978819444441</v>
          </cell>
          <cell r="AI193" t="str">
            <v>N52</v>
          </cell>
          <cell r="AJ193" t="str">
            <v>F</v>
          </cell>
          <cell r="AK193" t="str">
            <v/>
          </cell>
        </row>
        <row r="194">
          <cell r="A194" t="str">
            <v>12501737829053</v>
          </cell>
          <cell r="B194" t="e">
            <v>#N/A</v>
          </cell>
          <cell r="C194">
            <v>7</v>
          </cell>
          <cell r="D194" t="str">
            <v>EK65</v>
          </cell>
          <cell r="E194" t="str">
            <v>522646</v>
          </cell>
          <cell r="F194" t="str">
            <v>E</v>
          </cell>
          <cell r="G194" t="str">
            <v>12501737</v>
          </cell>
          <cell r="H194" t="str">
            <v>Winkel</v>
          </cell>
          <cell r="I194">
            <v>408</v>
          </cell>
          <cell r="J194" t="str">
            <v>Stk</v>
          </cell>
          <cell r="K194">
            <v>45212</v>
          </cell>
          <cell r="L194" t="str">
            <v>829053</v>
          </cell>
          <cell r="M194" t="str">
            <v/>
          </cell>
          <cell r="N194" t="str">
            <v/>
          </cell>
          <cell r="O194" t="str">
            <v/>
          </cell>
          <cell r="P194" t="str">
            <v/>
          </cell>
          <cell r="Q194" t="str">
            <v/>
          </cell>
          <cell r="R194" t="str">
            <v/>
          </cell>
          <cell r="S194" t="str">
            <v/>
          </cell>
          <cell r="T194" t="str">
            <v/>
          </cell>
          <cell r="U194" t="str">
            <v/>
          </cell>
          <cell r="V194" t="str">
            <v>N52</v>
          </cell>
          <cell r="W194" t="str">
            <v/>
          </cell>
          <cell r="X194" t="str">
            <v/>
          </cell>
          <cell r="Y194" t="str">
            <v/>
          </cell>
          <cell r="Z194" t="str">
            <v/>
          </cell>
          <cell r="AA194" t="str">
            <v/>
          </cell>
          <cell r="AB194" t="str">
            <v>PA_4388852-CD.7005-3</v>
          </cell>
          <cell r="AC194">
            <v>1</v>
          </cell>
          <cell r="AD194" t="str">
            <v/>
          </cell>
          <cell r="AE194">
            <v>0</v>
          </cell>
          <cell r="AF194" t="str">
            <v/>
          </cell>
          <cell r="AG194" t="str">
            <v>12501737</v>
          </cell>
          <cell r="AH194">
            <v>44624.978831018518</v>
          </cell>
          <cell r="AI194" t="str">
            <v>N52</v>
          </cell>
          <cell r="AJ194" t="str">
            <v>F</v>
          </cell>
          <cell r="AK194" t="str">
            <v/>
          </cell>
        </row>
        <row r="195">
          <cell r="A195" t="str">
            <v>12501746829053</v>
          </cell>
          <cell r="B195" t="e">
            <v>#N/A</v>
          </cell>
          <cell r="C195">
            <v>7</v>
          </cell>
          <cell r="D195" t="str">
            <v>EK65</v>
          </cell>
          <cell r="E195" t="str">
            <v>522647</v>
          </cell>
          <cell r="F195" t="str">
            <v>E</v>
          </cell>
          <cell r="G195" t="str">
            <v>12501746</v>
          </cell>
          <cell r="H195" t="str">
            <v>Winkel</v>
          </cell>
          <cell r="I195">
            <v>102</v>
          </cell>
          <cell r="J195" t="str">
            <v>Stk</v>
          </cell>
          <cell r="K195">
            <v>45212</v>
          </cell>
          <cell r="L195" t="str">
            <v>829053</v>
          </cell>
          <cell r="M195" t="str">
            <v/>
          </cell>
          <cell r="N195" t="str">
            <v/>
          </cell>
          <cell r="O195" t="str">
            <v/>
          </cell>
          <cell r="P195" t="str">
            <v/>
          </cell>
          <cell r="Q195" t="str">
            <v/>
          </cell>
          <cell r="R195" t="str">
            <v/>
          </cell>
          <cell r="S195" t="str">
            <v/>
          </cell>
          <cell r="T195" t="str">
            <v/>
          </cell>
          <cell r="U195" t="str">
            <v/>
          </cell>
          <cell r="V195" t="str">
            <v>N52</v>
          </cell>
          <cell r="W195" t="str">
            <v/>
          </cell>
          <cell r="X195" t="str">
            <v/>
          </cell>
          <cell r="Y195" t="str">
            <v/>
          </cell>
          <cell r="Z195" t="str">
            <v/>
          </cell>
          <cell r="AA195" t="str">
            <v/>
          </cell>
          <cell r="AB195" t="str">
            <v>PA_4304167-TB.7005-3</v>
          </cell>
          <cell r="AC195">
            <v>1</v>
          </cell>
          <cell r="AD195" t="str">
            <v/>
          </cell>
          <cell r="AE195">
            <v>0</v>
          </cell>
          <cell r="AF195" t="str">
            <v/>
          </cell>
          <cell r="AG195" t="str">
            <v>12501746</v>
          </cell>
          <cell r="AH195">
            <v>44624.978842592594</v>
          </cell>
          <cell r="AI195" t="str">
            <v>N52</v>
          </cell>
          <cell r="AJ195" t="str">
            <v>F</v>
          </cell>
          <cell r="AK195" t="str">
            <v/>
          </cell>
        </row>
        <row r="196">
          <cell r="A196" t="str">
            <v>12501910829053</v>
          </cell>
          <cell r="B196" t="e">
            <v>#N/A</v>
          </cell>
          <cell r="C196">
            <v>14</v>
          </cell>
          <cell r="D196" t="str">
            <v>EK65</v>
          </cell>
          <cell r="E196" t="str">
            <v>522648</v>
          </cell>
          <cell r="F196" t="str">
            <v>E</v>
          </cell>
          <cell r="G196" t="str">
            <v>12501910</v>
          </cell>
          <cell r="H196" t="str">
            <v>Beilage</v>
          </cell>
          <cell r="I196">
            <v>70</v>
          </cell>
          <cell r="J196" t="str">
            <v>Stk</v>
          </cell>
          <cell r="K196">
            <v>45399</v>
          </cell>
          <cell r="L196" t="str">
            <v>829053</v>
          </cell>
          <cell r="M196" t="str">
            <v/>
          </cell>
          <cell r="N196" t="str">
            <v/>
          </cell>
          <cell r="O196" t="str">
            <v/>
          </cell>
          <cell r="P196" t="str">
            <v/>
          </cell>
          <cell r="Q196" t="str">
            <v/>
          </cell>
          <cell r="R196" t="str">
            <v/>
          </cell>
          <cell r="S196" t="str">
            <v/>
          </cell>
          <cell r="T196" t="str">
            <v/>
          </cell>
          <cell r="U196" t="str">
            <v/>
          </cell>
          <cell r="V196" t="str">
            <v>N52</v>
          </cell>
          <cell r="W196" t="str">
            <v/>
          </cell>
          <cell r="X196" t="str">
            <v/>
          </cell>
          <cell r="Y196" t="str">
            <v/>
          </cell>
          <cell r="Z196" t="str">
            <v/>
          </cell>
          <cell r="AA196" t="str">
            <v/>
          </cell>
          <cell r="AB196" t="str">
            <v>PA_4470070-CD.7005-4</v>
          </cell>
          <cell r="AC196">
            <v>1</v>
          </cell>
          <cell r="AD196" t="str">
            <v/>
          </cell>
          <cell r="AE196">
            <v>0</v>
          </cell>
          <cell r="AF196" t="str">
            <v/>
          </cell>
          <cell r="AG196" t="str">
            <v>12501910</v>
          </cell>
          <cell r="AH196">
            <v>44624.979016203702</v>
          </cell>
          <cell r="AI196" t="str">
            <v>N52</v>
          </cell>
          <cell r="AJ196" t="str">
            <v>F</v>
          </cell>
          <cell r="AK196" t="str">
            <v/>
          </cell>
        </row>
        <row r="197">
          <cell r="A197" t="str">
            <v>12501910829051</v>
          </cell>
          <cell r="B197" t="e">
            <v>#N/A</v>
          </cell>
          <cell r="C197">
            <v>14</v>
          </cell>
          <cell r="D197" t="str">
            <v>EK65</v>
          </cell>
          <cell r="E197" t="str">
            <v>522649</v>
          </cell>
          <cell r="F197" t="str">
            <v>E</v>
          </cell>
          <cell r="G197" t="str">
            <v>12501910</v>
          </cell>
          <cell r="H197" t="str">
            <v>Beilage</v>
          </cell>
          <cell r="I197">
            <v>194</v>
          </cell>
          <cell r="J197" t="str">
            <v>Stk</v>
          </cell>
          <cell r="K197">
            <v>45518</v>
          </cell>
          <cell r="L197" t="str">
            <v>829051</v>
          </cell>
          <cell r="M197" t="str">
            <v/>
          </cell>
          <cell r="N197" t="str">
            <v/>
          </cell>
          <cell r="O197" t="str">
            <v/>
          </cell>
          <cell r="P197" t="str">
            <v/>
          </cell>
          <cell r="Q197" t="str">
            <v/>
          </cell>
          <cell r="R197" t="str">
            <v/>
          </cell>
          <cell r="S197" t="str">
            <v/>
          </cell>
          <cell r="T197" t="str">
            <v/>
          </cell>
          <cell r="U197" t="str">
            <v/>
          </cell>
          <cell r="V197" t="str">
            <v>N52</v>
          </cell>
          <cell r="W197" t="str">
            <v/>
          </cell>
          <cell r="X197" t="str">
            <v/>
          </cell>
          <cell r="Y197" t="str">
            <v/>
          </cell>
          <cell r="Z197" t="str">
            <v/>
          </cell>
          <cell r="AA197" t="str">
            <v/>
          </cell>
          <cell r="AB197" t="str">
            <v>PA_4470070-CD.7005-4</v>
          </cell>
          <cell r="AC197">
            <v>1</v>
          </cell>
          <cell r="AD197" t="str">
            <v/>
          </cell>
          <cell r="AE197">
            <v>0</v>
          </cell>
          <cell r="AF197" t="str">
            <v/>
          </cell>
          <cell r="AG197" t="str">
            <v>12501910</v>
          </cell>
          <cell r="AH197">
            <v>44624.979016203702</v>
          </cell>
          <cell r="AI197" t="str">
            <v>N52</v>
          </cell>
          <cell r="AJ197" t="str">
            <v>F</v>
          </cell>
          <cell r="AK197" t="str">
            <v/>
          </cell>
        </row>
        <row r="198">
          <cell r="A198" t="str">
            <v>12502433829053</v>
          </cell>
          <cell r="B198" t="e">
            <v>#N/A</v>
          </cell>
          <cell r="C198">
            <v>14</v>
          </cell>
          <cell r="D198" t="str">
            <v>EK65</v>
          </cell>
          <cell r="E198" t="str">
            <v>522650</v>
          </cell>
          <cell r="F198" t="str">
            <v>E</v>
          </cell>
          <cell r="G198" t="str">
            <v>12502433</v>
          </cell>
          <cell r="H198" t="str">
            <v>Blech</v>
          </cell>
          <cell r="I198">
            <v>106</v>
          </cell>
          <cell r="J198" t="str">
            <v>Stk</v>
          </cell>
          <cell r="K198">
            <v>45210</v>
          </cell>
          <cell r="L198" t="str">
            <v>829053</v>
          </cell>
          <cell r="M198" t="str">
            <v/>
          </cell>
          <cell r="N198" t="str">
            <v/>
          </cell>
          <cell r="O198" t="str">
            <v/>
          </cell>
          <cell r="P198" t="str">
            <v/>
          </cell>
          <cell r="Q198" t="str">
            <v/>
          </cell>
          <cell r="R198" t="str">
            <v/>
          </cell>
          <cell r="S198" t="str">
            <v/>
          </cell>
          <cell r="T198" t="str">
            <v/>
          </cell>
          <cell r="U198" t="str">
            <v/>
          </cell>
          <cell r="V198" t="str">
            <v>N52</v>
          </cell>
          <cell r="W198" t="str">
            <v/>
          </cell>
          <cell r="X198" t="str">
            <v/>
          </cell>
          <cell r="Y198" t="str">
            <v/>
          </cell>
          <cell r="Z198" t="str">
            <v/>
          </cell>
          <cell r="AA198" t="str">
            <v/>
          </cell>
          <cell r="AB198" t="str">
            <v>PA_4304750-CD.7005-3</v>
          </cell>
          <cell r="AC198">
            <v>1</v>
          </cell>
          <cell r="AD198" t="str">
            <v/>
          </cell>
          <cell r="AE198">
            <v>0</v>
          </cell>
          <cell r="AF198" t="str">
            <v/>
          </cell>
          <cell r="AG198" t="str">
            <v>12502433</v>
          </cell>
          <cell r="AH198">
            <v>44624.979212962964</v>
          </cell>
          <cell r="AI198" t="str">
            <v>N52</v>
          </cell>
          <cell r="AJ198" t="str">
            <v>F</v>
          </cell>
          <cell r="AK198" t="str">
            <v/>
          </cell>
        </row>
        <row r="199">
          <cell r="A199" t="str">
            <v>12502433829054</v>
          </cell>
          <cell r="B199" t="e">
            <v>#N/A</v>
          </cell>
          <cell r="C199">
            <v>14</v>
          </cell>
          <cell r="D199" t="str">
            <v>EK65</v>
          </cell>
          <cell r="E199" t="str">
            <v>522651</v>
          </cell>
          <cell r="F199" t="str">
            <v>E</v>
          </cell>
          <cell r="G199" t="str">
            <v>12502433</v>
          </cell>
          <cell r="H199" t="str">
            <v>Blech</v>
          </cell>
          <cell r="I199">
            <v>66</v>
          </cell>
          <cell r="J199" t="str">
            <v>Stk</v>
          </cell>
          <cell r="K199">
            <v>45223</v>
          </cell>
          <cell r="L199" t="str">
            <v>829054</v>
          </cell>
          <cell r="M199" t="str">
            <v/>
          </cell>
          <cell r="N199" t="str">
            <v/>
          </cell>
          <cell r="O199" t="str">
            <v/>
          </cell>
          <cell r="P199" t="str">
            <v/>
          </cell>
          <cell r="Q199" t="str">
            <v/>
          </cell>
          <cell r="R199" t="str">
            <v/>
          </cell>
          <cell r="S199" t="str">
            <v/>
          </cell>
          <cell r="T199" t="str">
            <v/>
          </cell>
          <cell r="U199" t="str">
            <v/>
          </cell>
          <cell r="V199" t="str">
            <v>N52</v>
          </cell>
          <cell r="W199" t="str">
            <v/>
          </cell>
          <cell r="X199" t="str">
            <v/>
          </cell>
          <cell r="Y199" t="str">
            <v/>
          </cell>
          <cell r="Z199" t="str">
            <v/>
          </cell>
          <cell r="AA199" t="str">
            <v/>
          </cell>
          <cell r="AB199" t="str">
            <v>PA_4304750-CD.7005-3</v>
          </cell>
          <cell r="AC199">
            <v>1</v>
          </cell>
          <cell r="AD199" t="str">
            <v/>
          </cell>
          <cell r="AE199">
            <v>0</v>
          </cell>
          <cell r="AF199" t="str">
            <v/>
          </cell>
          <cell r="AG199" t="str">
            <v>12502433</v>
          </cell>
          <cell r="AH199">
            <v>44624.979212962964</v>
          </cell>
          <cell r="AI199" t="str">
            <v>N52</v>
          </cell>
          <cell r="AJ199" t="str">
            <v>F</v>
          </cell>
          <cell r="AK199" t="str">
            <v/>
          </cell>
        </row>
        <row r="200">
          <cell r="A200" t="str">
            <v>12502469829053</v>
          </cell>
          <cell r="B200" t="e">
            <v>#N/A</v>
          </cell>
          <cell r="C200">
            <v>16</v>
          </cell>
          <cell r="D200" t="str">
            <v>EK65</v>
          </cell>
          <cell r="E200" t="str">
            <v>522652</v>
          </cell>
          <cell r="F200" t="str">
            <v>E</v>
          </cell>
          <cell r="G200" t="str">
            <v>12502469</v>
          </cell>
          <cell r="H200" t="str">
            <v>Dehnhuelse</v>
          </cell>
          <cell r="I200">
            <v>825</v>
          </cell>
          <cell r="J200" t="str">
            <v>Stk</v>
          </cell>
          <cell r="K200">
            <v>45212</v>
          </cell>
          <cell r="L200" t="str">
            <v>829053</v>
          </cell>
          <cell r="M200" t="str">
            <v/>
          </cell>
          <cell r="N200" t="str">
            <v/>
          </cell>
          <cell r="O200" t="str">
            <v/>
          </cell>
          <cell r="P200" t="str">
            <v/>
          </cell>
          <cell r="Q200" t="str">
            <v/>
          </cell>
          <cell r="R200" t="str">
            <v/>
          </cell>
          <cell r="S200" t="str">
            <v/>
          </cell>
          <cell r="T200" t="str">
            <v/>
          </cell>
          <cell r="U200" t="str">
            <v/>
          </cell>
          <cell r="V200" t="str">
            <v>N52</v>
          </cell>
          <cell r="W200" t="str">
            <v/>
          </cell>
          <cell r="X200" t="str">
            <v/>
          </cell>
          <cell r="Y200" t="str">
            <v/>
          </cell>
          <cell r="Z200" t="str">
            <v/>
          </cell>
          <cell r="AA200" t="str">
            <v/>
          </cell>
          <cell r="AB200" t="str">
            <v>PA_4358347-DB.7005-4</v>
          </cell>
          <cell r="AC200">
            <v>1</v>
          </cell>
          <cell r="AD200" t="str">
            <v/>
          </cell>
          <cell r="AE200">
            <v>0</v>
          </cell>
          <cell r="AF200" t="str">
            <v/>
          </cell>
          <cell r="AG200" t="str">
            <v>12502469</v>
          </cell>
          <cell r="AH200">
            <v>44624.97923611111</v>
          </cell>
          <cell r="AI200" t="str">
            <v>N52</v>
          </cell>
          <cell r="AJ200" t="str">
            <v>F</v>
          </cell>
          <cell r="AK200" t="str">
            <v/>
          </cell>
        </row>
        <row r="201">
          <cell r="A201" t="str">
            <v>12502469829054</v>
          </cell>
          <cell r="B201" t="e">
            <v>#N/A</v>
          </cell>
          <cell r="C201">
            <v>16</v>
          </cell>
          <cell r="D201" t="str">
            <v>EK65</v>
          </cell>
          <cell r="E201" t="str">
            <v>522653</v>
          </cell>
          <cell r="F201" t="str">
            <v>E</v>
          </cell>
          <cell r="G201" t="str">
            <v>12502469</v>
          </cell>
          <cell r="H201" t="str">
            <v>Dehnhuelse</v>
          </cell>
          <cell r="I201">
            <v>568</v>
          </cell>
          <cell r="J201" t="str">
            <v>Stk</v>
          </cell>
          <cell r="K201">
            <v>45220</v>
          </cell>
          <cell r="L201" t="str">
            <v>829054</v>
          </cell>
          <cell r="M201" t="str">
            <v/>
          </cell>
          <cell r="N201" t="str">
            <v/>
          </cell>
          <cell r="O201" t="str">
            <v/>
          </cell>
          <cell r="P201" t="str">
            <v/>
          </cell>
          <cell r="Q201" t="str">
            <v/>
          </cell>
          <cell r="R201" t="str">
            <v/>
          </cell>
          <cell r="S201" t="str">
            <v/>
          </cell>
          <cell r="T201" t="str">
            <v/>
          </cell>
          <cell r="U201" t="str">
            <v/>
          </cell>
          <cell r="V201" t="str">
            <v>N52</v>
          </cell>
          <cell r="W201" t="str">
            <v/>
          </cell>
          <cell r="X201" t="str">
            <v/>
          </cell>
          <cell r="Y201" t="str">
            <v/>
          </cell>
          <cell r="Z201" t="str">
            <v/>
          </cell>
          <cell r="AA201" t="str">
            <v/>
          </cell>
          <cell r="AB201" t="str">
            <v>PA_4358347-DB.7005-4</v>
          </cell>
          <cell r="AC201">
            <v>1</v>
          </cell>
          <cell r="AD201" t="str">
            <v/>
          </cell>
          <cell r="AE201">
            <v>0</v>
          </cell>
          <cell r="AF201" t="str">
            <v/>
          </cell>
          <cell r="AG201" t="str">
            <v>12502469</v>
          </cell>
          <cell r="AH201">
            <v>44624.97923611111</v>
          </cell>
          <cell r="AI201" t="str">
            <v>N52</v>
          </cell>
          <cell r="AJ201" t="str">
            <v>F</v>
          </cell>
          <cell r="AK201" t="str">
            <v/>
          </cell>
        </row>
        <row r="202">
          <cell r="A202" t="str">
            <v>12502469829051</v>
          </cell>
          <cell r="B202" t="e">
            <v>#N/A</v>
          </cell>
          <cell r="C202">
            <v>16</v>
          </cell>
          <cell r="D202" t="str">
            <v>EK65</v>
          </cell>
          <cell r="E202" t="str">
            <v>522654</v>
          </cell>
          <cell r="F202" t="str">
            <v>E</v>
          </cell>
          <cell r="G202" t="str">
            <v>12502469</v>
          </cell>
          <cell r="H202" t="str">
            <v>Dehnhuelse</v>
          </cell>
          <cell r="I202">
            <v>2172</v>
          </cell>
          <cell r="J202" t="str">
            <v>Stk</v>
          </cell>
          <cell r="K202">
            <v>45324</v>
          </cell>
          <cell r="L202" t="str">
            <v>829051</v>
          </cell>
          <cell r="M202" t="str">
            <v/>
          </cell>
          <cell r="N202" t="str">
            <v/>
          </cell>
          <cell r="O202" t="str">
            <v/>
          </cell>
          <cell r="P202" t="str">
            <v/>
          </cell>
          <cell r="Q202" t="str">
            <v/>
          </cell>
          <cell r="R202" t="str">
            <v/>
          </cell>
          <cell r="S202" t="str">
            <v/>
          </cell>
          <cell r="T202" t="str">
            <v/>
          </cell>
          <cell r="U202" t="str">
            <v/>
          </cell>
          <cell r="V202" t="str">
            <v>N52</v>
          </cell>
          <cell r="W202" t="str">
            <v/>
          </cell>
          <cell r="X202" t="str">
            <v/>
          </cell>
          <cell r="Y202" t="str">
            <v/>
          </cell>
          <cell r="Z202" t="str">
            <v/>
          </cell>
          <cell r="AA202" t="str">
            <v/>
          </cell>
          <cell r="AB202" t="str">
            <v>PA_4358347-DB.7005-4</v>
          </cell>
          <cell r="AC202">
            <v>1</v>
          </cell>
          <cell r="AD202" t="str">
            <v/>
          </cell>
          <cell r="AE202">
            <v>0</v>
          </cell>
          <cell r="AF202" t="str">
            <v/>
          </cell>
          <cell r="AG202" t="str">
            <v>12502469</v>
          </cell>
          <cell r="AH202">
            <v>44624.97923611111</v>
          </cell>
          <cell r="AI202" t="str">
            <v>N52</v>
          </cell>
          <cell r="AJ202" t="str">
            <v>F</v>
          </cell>
          <cell r="AK202" t="str">
            <v/>
          </cell>
        </row>
        <row r="203">
          <cell r="A203" t="str">
            <v>12502567829053</v>
          </cell>
          <cell r="B203" t="e">
            <v>#N/A</v>
          </cell>
          <cell r="C203">
            <v>14</v>
          </cell>
          <cell r="D203" t="str">
            <v>EK65</v>
          </cell>
          <cell r="E203" t="str">
            <v>522656</v>
          </cell>
          <cell r="F203" t="str">
            <v>E</v>
          </cell>
          <cell r="G203" t="str">
            <v>12502567</v>
          </cell>
          <cell r="H203" t="str">
            <v>Blech w.g.</v>
          </cell>
          <cell r="I203">
            <v>51</v>
          </cell>
          <cell r="J203" t="str">
            <v>Stk</v>
          </cell>
          <cell r="K203">
            <v>45212</v>
          </cell>
          <cell r="L203" t="str">
            <v>829053</v>
          </cell>
          <cell r="M203" t="str">
            <v/>
          </cell>
          <cell r="N203" t="str">
            <v/>
          </cell>
          <cell r="O203" t="str">
            <v/>
          </cell>
          <cell r="P203" t="str">
            <v/>
          </cell>
          <cell r="Q203" t="str">
            <v/>
          </cell>
          <cell r="R203" t="str">
            <v/>
          </cell>
          <cell r="S203" t="str">
            <v/>
          </cell>
          <cell r="T203" t="str">
            <v/>
          </cell>
          <cell r="U203" t="str">
            <v/>
          </cell>
          <cell r="V203" t="str">
            <v>N52</v>
          </cell>
          <cell r="W203" t="str">
            <v/>
          </cell>
          <cell r="X203" t="str">
            <v/>
          </cell>
          <cell r="Y203" t="str">
            <v/>
          </cell>
          <cell r="Z203" t="str">
            <v/>
          </cell>
          <cell r="AA203" t="str">
            <v/>
          </cell>
          <cell r="AB203" t="str">
            <v>PA_4328097-CD.7005-3</v>
          </cell>
          <cell r="AC203">
            <v>1</v>
          </cell>
          <cell r="AD203" t="str">
            <v/>
          </cell>
          <cell r="AE203">
            <v>0</v>
          </cell>
          <cell r="AF203" t="str">
            <v/>
          </cell>
          <cell r="AG203" t="str">
            <v>12502567</v>
          </cell>
          <cell r="AH203">
            <v>44624.97929398148</v>
          </cell>
          <cell r="AI203" t="str">
            <v>N52</v>
          </cell>
          <cell r="AJ203" t="str">
            <v>F</v>
          </cell>
          <cell r="AK203" t="str">
            <v/>
          </cell>
        </row>
        <row r="204">
          <cell r="A204" t="str">
            <v>12502567829054</v>
          </cell>
          <cell r="B204" t="e">
            <v>#N/A</v>
          </cell>
          <cell r="C204">
            <v>14</v>
          </cell>
          <cell r="D204" t="str">
            <v>EK65</v>
          </cell>
          <cell r="E204" t="str">
            <v>522657</v>
          </cell>
          <cell r="F204" t="str">
            <v>E</v>
          </cell>
          <cell r="G204" t="str">
            <v>12502567</v>
          </cell>
          <cell r="H204" t="str">
            <v>Blech w.g.</v>
          </cell>
          <cell r="I204">
            <v>35</v>
          </cell>
          <cell r="J204" t="str">
            <v>Stk</v>
          </cell>
          <cell r="K204">
            <v>45220</v>
          </cell>
          <cell r="L204" t="str">
            <v>829054</v>
          </cell>
          <cell r="M204" t="str">
            <v/>
          </cell>
          <cell r="N204" t="str">
            <v/>
          </cell>
          <cell r="O204" t="str">
            <v/>
          </cell>
          <cell r="P204" t="str">
            <v/>
          </cell>
          <cell r="Q204" t="str">
            <v/>
          </cell>
          <cell r="R204" t="str">
            <v/>
          </cell>
          <cell r="S204" t="str">
            <v/>
          </cell>
          <cell r="T204" t="str">
            <v/>
          </cell>
          <cell r="U204" t="str">
            <v/>
          </cell>
          <cell r="V204" t="str">
            <v>N52</v>
          </cell>
          <cell r="W204" t="str">
            <v/>
          </cell>
          <cell r="X204" t="str">
            <v/>
          </cell>
          <cell r="Y204" t="str">
            <v/>
          </cell>
          <cell r="Z204" t="str">
            <v/>
          </cell>
          <cell r="AA204" t="str">
            <v/>
          </cell>
          <cell r="AB204" t="str">
            <v>PA_4328097-CD.7005-3</v>
          </cell>
          <cell r="AC204">
            <v>1</v>
          </cell>
          <cell r="AD204" t="str">
            <v/>
          </cell>
          <cell r="AE204">
            <v>0</v>
          </cell>
          <cell r="AF204" t="str">
            <v/>
          </cell>
          <cell r="AG204" t="str">
            <v>12502567</v>
          </cell>
          <cell r="AH204">
            <v>44624.97929398148</v>
          </cell>
          <cell r="AI204" t="str">
            <v>N52</v>
          </cell>
          <cell r="AJ204" t="str">
            <v>F</v>
          </cell>
          <cell r="AK204" t="str">
            <v/>
          </cell>
        </row>
        <row r="205">
          <cell r="A205" t="str">
            <v>12502578829053</v>
          </cell>
          <cell r="B205" t="e">
            <v>#N/A</v>
          </cell>
          <cell r="C205">
            <v>14</v>
          </cell>
          <cell r="D205" t="str">
            <v>EK65</v>
          </cell>
          <cell r="E205" t="str">
            <v>522658</v>
          </cell>
          <cell r="F205" t="str">
            <v>E</v>
          </cell>
          <cell r="G205" t="str">
            <v>12502578</v>
          </cell>
          <cell r="H205" t="str">
            <v>Blech sp.g.</v>
          </cell>
          <cell r="I205">
            <v>51</v>
          </cell>
          <cell r="J205" t="str">
            <v>Stk</v>
          </cell>
          <cell r="K205">
            <v>45212</v>
          </cell>
          <cell r="L205" t="str">
            <v>829053</v>
          </cell>
          <cell r="M205" t="str">
            <v/>
          </cell>
          <cell r="N205" t="str">
            <v/>
          </cell>
          <cell r="O205" t="str">
            <v/>
          </cell>
          <cell r="P205" t="str">
            <v/>
          </cell>
          <cell r="Q205" t="str">
            <v/>
          </cell>
          <cell r="R205" t="str">
            <v/>
          </cell>
          <cell r="S205" t="str">
            <v/>
          </cell>
          <cell r="T205" t="str">
            <v/>
          </cell>
          <cell r="U205" t="str">
            <v/>
          </cell>
          <cell r="V205" t="str">
            <v>N52</v>
          </cell>
          <cell r="W205" t="str">
            <v/>
          </cell>
          <cell r="X205" t="str">
            <v/>
          </cell>
          <cell r="Y205" t="str">
            <v/>
          </cell>
          <cell r="Z205" t="str">
            <v/>
          </cell>
          <cell r="AA205" t="str">
            <v/>
          </cell>
          <cell r="AB205" t="str">
            <v>PA_4328097-CD.7005-3</v>
          </cell>
          <cell r="AC205">
            <v>1</v>
          </cell>
          <cell r="AD205" t="str">
            <v/>
          </cell>
          <cell r="AE205">
            <v>0</v>
          </cell>
          <cell r="AF205" t="str">
            <v/>
          </cell>
          <cell r="AG205" t="str">
            <v>12502578</v>
          </cell>
          <cell r="AH205">
            <v>44624.979317129626</v>
          </cell>
          <cell r="AI205" t="str">
            <v>N52</v>
          </cell>
          <cell r="AJ205" t="str">
            <v>F</v>
          </cell>
          <cell r="AK205" t="str">
            <v/>
          </cell>
        </row>
        <row r="206">
          <cell r="A206" t="str">
            <v>12502578829054</v>
          </cell>
          <cell r="B206" t="e">
            <v>#N/A</v>
          </cell>
          <cell r="C206">
            <v>14</v>
          </cell>
          <cell r="D206" t="str">
            <v>EK65</v>
          </cell>
          <cell r="E206" t="str">
            <v>522659</v>
          </cell>
          <cell r="F206" t="str">
            <v>E</v>
          </cell>
          <cell r="G206" t="str">
            <v>12502578</v>
          </cell>
          <cell r="H206" t="str">
            <v>Blech sp.g.</v>
          </cell>
          <cell r="I206">
            <v>35</v>
          </cell>
          <cell r="J206" t="str">
            <v>Stk</v>
          </cell>
          <cell r="K206">
            <v>45220</v>
          </cell>
          <cell r="L206" t="str">
            <v>829054</v>
          </cell>
          <cell r="M206" t="str">
            <v/>
          </cell>
          <cell r="N206" t="str">
            <v/>
          </cell>
          <cell r="O206" t="str">
            <v/>
          </cell>
          <cell r="P206" t="str">
            <v/>
          </cell>
          <cell r="Q206" t="str">
            <v/>
          </cell>
          <cell r="R206" t="str">
            <v/>
          </cell>
          <cell r="S206" t="str">
            <v/>
          </cell>
          <cell r="T206" t="str">
            <v/>
          </cell>
          <cell r="U206" t="str">
            <v/>
          </cell>
          <cell r="V206" t="str">
            <v>N52</v>
          </cell>
          <cell r="W206" t="str">
            <v/>
          </cell>
          <cell r="X206" t="str">
            <v/>
          </cell>
          <cell r="Y206" t="str">
            <v/>
          </cell>
          <cell r="Z206" t="str">
            <v/>
          </cell>
          <cell r="AA206" t="str">
            <v/>
          </cell>
          <cell r="AB206" t="str">
            <v>PA_4328097-CD.7005-3</v>
          </cell>
          <cell r="AC206">
            <v>1</v>
          </cell>
          <cell r="AD206" t="str">
            <v/>
          </cell>
          <cell r="AE206">
            <v>0</v>
          </cell>
          <cell r="AF206" t="str">
            <v/>
          </cell>
          <cell r="AG206" t="str">
            <v>12502578</v>
          </cell>
          <cell r="AH206">
            <v>44624.979317129626</v>
          </cell>
          <cell r="AI206" t="str">
            <v>N52</v>
          </cell>
          <cell r="AJ206" t="str">
            <v>F</v>
          </cell>
          <cell r="AK206" t="str">
            <v/>
          </cell>
        </row>
        <row r="207">
          <cell r="A207" t="str">
            <v>12502942829053</v>
          </cell>
          <cell r="B207" t="e">
            <v>#N/A</v>
          </cell>
          <cell r="C207">
            <v>16</v>
          </cell>
          <cell r="D207" t="str">
            <v>EK65</v>
          </cell>
          <cell r="E207" t="str">
            <v>522660</v>
          </cell>
          <cell r="F207" t="str">
            <v>E</v>
          </cell>
          <cell r="G207" t="str">
            <v>12502942</v>
          </cell>
          <cell r="H207" t="str">
            <v>Dehnhuelse ID8,5 AD30 H24</v>
          </cell>
          <cell r="I207">
            <v>1240</v>
          </cell>
          <cell r="J207" t="str">
            <v>Stk</v>
          </cell>
          <cell r="K207">
            <v>45211</v>
          </cell>
          <cell r="L207" t="str">
            <v>829053</v>
          </cell>
          <cell r="M207" t="str">
            <v/>
          </cell>
          <cell r="N207" t="str">
            <v/>
          </cell>
          <cell r="O207" t="str">
            <v/>
          </cell>
          <cell r="P207" t="str">
            <v/>
          </cell>
          <cell r="Q207" t="str">
            <v/>
          </cell>
          <cell r="R207" t="str">
            <v/>
          </cell>
          <cell r="S207" t="str">
            <v/>
          </cell>
          <cell r="T207" t="str">
            <v/>
          </cell>
          <cell r="U207" t="str">
            <v/>
          </cell>
          <cell r="V207" t="str">
            <v>N52</v>
          </cell>
          <cell r="W207" t="str">
            <v/>
          </cell>
          <cell r="X207" t="str">
            <v/>
          </cell>
          <cell r="Y207" t="str">
            <v/>
          </cell>
          <cell r="Z207" t="str">
            <v/>
          </cell>
          <cell r="AA207" t="str">
            <v/>
          </cell>
          <cell r="AB207" t="str">
            <v>PA_4491914-CD.7005-4</v>
          </cell>
          <cell r="AC207">
            <v>1</v>
          </cell>
          <cell r="AD207" t="str">
            <v/>
          </cell>
          <cell r="AE207">
            <v>0</v>
          </cell>
          <cell r="AF207" t="str">
            <v/>
          </cell>
          <cell r="AG207" t="str">
            <v>12502942</v>
          </cell>
          <cell r="AH207">
            <v>44624.979444444441</v>
          </cell>
          <cell r="AI207" t="str">
            <v>N52</v>
          </cell>
          <cell r="AJ207" t="str">
            <v>F</v>
          </cell>
          <cell r="AK207" t="str">
            <v/>
          </cell>
        </row>
        <row r="208">
          <cell r="A208" t="str">
            <v>12502942829054</v>
          </cell>
          <cell r="B208" t="e">
            <v>#N/A</v>
          </cell>
          <cell r="C208">
            <v>16</v>
          </cell>
          <cell r="D208" t="str">
            <v>EK65</v>
          </cell>
          <cell r="E208" t="str">
            <v>522661</v>
          </cell>
          <cell r="F208" t="str">
            <v>E</v>
          </cell>
          <cell r="G208" t="str">
            <v>12502942</v>
          </cell>
          <cell r="H208" t="str">
            <v>Dehnhuelse ID8,5 AD30 H24</v>
          </cell>
          <cell r="I208">
            <v>857</v>
          </cell>
          <cell r="J208" t="str">
            <v>Stk</v>
          </cell>
          <cell r="K208">
            <v>45220</v>
          </cell>
          <cell r="L208" t="str">
            <v>829054</v>
          </cell>
          <cell r="M208" t="str">
            <v/>
          </cell>
          <cell r="N208" t="str">
            <v/>
          </cell>
          <cell r="O208" t="str">
            <v/>
          </cell>
          <cell r="P208" t="str">
            <v/>
          </cell>
          <cell r="Q208" t="str">
            <v/>
          </cell>
          <cell r="R208" t="str">
            <v/>
          </cell>
          <cell r="S208" t="str">
            <v/>
          </cell>
          <cell r="T208" t="str">
            <v/>
          </cell>
          <cell r="U208" t="str">
            <v/>
          </cell>
          <cell r="V208" t="str">
            <v>N52</v>
          </cell>
          <cell r="W208" t="str">
            <v/>
          </cell>
          <cell r="X208" t="str">
            <v/>
          </cell>
          <cell r="Y208" t="str">
            <v/>
          </cell>
          <cell r="Z208" t="str">
            <v/>
          </cell>
          <cell r="AA208" t="str">
            <v/>
          </cell>
          <cell r="AB208" t="str">
            <v>PA_4491914-CD.7005-4</v>
          </cell>
          <cell r="AC208">
            <v>1</v>
          </cell>
          <cell r="AD208" t="str">
            <v/>
          </cell>
          <cell r="AE208">
            <v>0</v>
          </cell>
          <cell r="AF208" t="str">
            <v/>
          </cell>
          <cell r="AG208" t="str">
            <v>12502942</v>
          </cell>
          <cell r="AH208">
            <v>44624.979444444441</v>
          </cell>
          <cell r="AI208" t="str">
            <v>N52</v>
          </cell>
          <cell r="AJ208" t="str">
            <v>F</v>
          </cell>
          <cell r="AK208" t="str">
            <v/>
          </cell>
        </row>
        <row r="209">
          <cell r="A209" t="str">
            <v>12502942829051</v>
          </cell>
          <cell r="B209" t="e">
            <v>#N/A</v>
          </cell>
          <cell r="C209">
            <v>16</v>
          </cell>
          <cell r="D209" t="str">
            <v>EK65</v>
          </cell>
          <cell r="E209" t="str">
            <v>522662</v>
          </cell>
          <cell r="F209" t="str">
            <v>E</v>
          </cell>
          <cell r="G209" t="str">
            <v>12502942</v>
          </cell>
          <cell r="H209" t="str">
            <v>Dehnhuelse ID8,5 AD30 H24</v>
          </cell>
          <cell r="I209">
            <v>725</v>
          </cell>
          <cell r="J209" t="str">
            <v>Stk</v>
          </cell>
          <cell r="K209">
            <v>45328</v>
          </cell>
          <cell r="L209" t="str">
            <v>829051</v>
          </cell>
          <cell r="M209" t="str">
            <v/>
          </cell>
          <cell r="N209" t="str">
            <v/>
          </cell>
          <cell r="O209" t="str">
            <v/>
          </cell>
          <cell r="P209" t="str">
            <v/>
          </cell>
          <cell r="Q209" t="str">
            <v/>
          </cell>
          <cell r="R209" t="str">
            <v/>
          </cell>
          <cell r="S209" t="str">
            <v/>
          </cell>
          <cell r="T209" t="str">
            <v/>
          </cell>
          <cell r="U209" t="str">
            <v/>
          </cell>
          <cell r="V209" t="str">
            <v>N52</v>
          </cell>
          <cell r="W209" t="str">
            <v/>
          </cell>
          <cell r="X209" t="str">
            <v/>
          </cell>
          <cell r="Y209" t="str">
            <v/>
          </cell>
          <cell r="Z209" t="str">
            <v/>
          </cell>
          <cell r="AA209" t="str">
            <v/>
          </cell>
          <cell r="AB209" t="str">
            <v>PA_4491914-CD.7005-4</v>
          </cell>
          <cell r="AC209">
            <v>1</v>
          </cell>
          <cell r="AD209" t="str">
            <v/>
          </cell>
          <cell r="AE209">
            <v>0</v>
          </cell>
          <cell r="AF209" t="str">
            <v/>
          </cell>
          <cell r="AG209" t="str">
            <v>12502942</v>
          </cell>
          <cell r="AH209">
            <v>44624.979444444441</v>
          </cell>
          <cell r="AI209" t="str">
            <v>N52</v>
          </cell>
          <cell r="AJ209" t="str">
            <v>F</v>
          </cell>
          <cell r="AK209" t="str">
            <v/>
          </cell>
        </row>
        <row r="210">
          <cell r="A210" t="str">
            <v>12502942829052</v>
          </cell>
          <cell r="B210" t="e">
            <v>#N/A</v>
          </cell>
          <cell r="C210">
            <v>16</v>
          </cell>
          <cell r="D210" t="str">
            <v>EK65</v>
          </cell>
          <cell r="E210" t="str">
            <v>522663</v>
          </cell>
          <cell r="F210" t="str">
            <v>E</v>
          </cell>
          <cell r="G210" t="str">
            <v>12502942</v>
          </cell>
          <cell r="H210" t="str">
            <v>Dehnhuelse ID8,5 AD30 H24</v>
          </cell>
          <cell r="I210">
            <v>496</v>
          </cell>
          <cell r="J210" t="str">
            <v>Stk</v>
          </cell>
          <cell r="K210">
            <v>45359</v>
          </cell>
          <cell r="L210" t="str">
            <v>829052</v>
          </cell>
          <cell r="M210" t="str">
            <v/>
          </cell>
          <cell r="N210" t="str">
            <v/>
          </cell>
          <cell r="O210" t="str">
            <v/>
          </cell>
          <cell r="P210" t="str">
            <v/>
          </cell>
          <cell r="Q210" t="str">
            <v/>
          </cell>
          <cell r="R210" t="str">
            <v/>
          </cell>
          <cell r="S210" t="str">
            <v/>
          </cell>
          <cell r="T210" t="str">
            <v/>
          </cell>
          <cell r="U210" t="str">
            <v/>
          </cell>
          <cell r="V210" t="str">
            <v>N52</v>
          </cell>
          <cell r="W210" t="str">
            <v/>
          </cell>
          <cell r="X210" t="str">
            <v/>
          </cell>
          <cell r="Y210" t="str">
            <v/>
          </cell>
          <cell r="Z210" t="str">
            <v/>
          </cell>
          <cell r="AA210" t="str">
            <v/>
          </cell>
          <cell r="AB210" t="str">
            <v>PA_4491914-CD.7005-4</v>
          </cell>
          <cell r="AC210">
            <v>1</v>
          </cell>
          <cell r="AD210" t="str">
            <v/>
          </cell>
          <cell r="AE210">
            <v>0</v>
          </cell>
          <cell r="AF210" t="str">
            <v/>
          </cell>
          <cell r="AG210" t="str">
            <v>12502942</v>
          </cell>
          <cell r="AH210">
            <v>44624.979444444441</v>
          </cell>
          <cell r="AI210" t="str">
            <v>N52</v>
          </cell>
          <cell r="AJ210" t="str">
            <v>F</v>
          </cell>
          <cell r="AK210" t="str">
            <v/>
          </cell>
        </row>
        <row r="211">
          <cell r="A211" t="str">
            <v>12503763829054</v>
          </cell>
          <cell r="B211" t="e">
            <v>#N/A</v>
          </cell>
          <cell r="C211">
            <v>14</v>
          </cell>
          <cell r="D211" t="str">
            <v>EK65</v>
          </cell>
          <cell r="E211" t="str">
            <v>522665</v>
          </cell>
          <cell r="F211" t="str">
            <v>E</v>
          </cell>
          <cell r="G211" t="str">
            <v>12503763</v>
          </cell>
          <cell r="H211" t="str">
            <v>Winkel w.g.</v>
          </cell>
          <cell r="I211">
            <v>33</v>
          </cell>
          <cell r="J211" t="str">
            <v>Stk</v>
          </cell>
          <cell r="K211">
            <v>45223</v>
          </cell>
          <cell r="L211" t="str">
            <v>829054</v>
          </cell>
          <cell r="M211" t="str">
            <v/>
          </cell>
          <cell r="N211" t="str">
            <v/>
          </cell>
          <cell r="O211" t="str">
            <v/>
          </cell>
          <cell r="P211" t="str">
            <v/>
          </cell>
          <cell r="Q211" t="str">
            <v/>
          </cell>
          <cell r="R211" t="str">
            <v/>
          </cell>
          <cell r="S211" t="str">
            <v/>
          </cell>
          <cell r="T211" t="str">
            <v/>
          </cell>
          <cell r="U211" t="str">
            <v/>
          </cell>
          <cell r="V211" t="str">
            <v>N52</v>
          </cell>
          <cell r="W211" t="str">
            <v/>
          </cell>
          <cell r="X211" t="str">
            <v/>
          </cell>
          <cell r="Y211" t="str">
            <v/>
          </cell>
          <cell r="Z211" t="str">
            <v/>
          </cell>
          <cell r="AA211" t="str">
            <v/>
          </cell>
          <cell r="AB211" t="str">
            <v>PA_4451653-CD.7005-3</v>
          </cell>
          <cell r="AC211">
            <v>1</v>
          </cell>
          <cell r="AD211" t="str">
            <v/>
          </cell>
          <cell r="AE211">
            <v>0</v>
          </cell>
          <cell r="AF211" t="str">
            <v/>
          </cell>
          <cell r="AG211" t="str">
            <v>12503763</v>
          </cell>
          <cell r="AH211">
            <v>44624.979953703703</v>
          </cell>
          <cell r="AI211" t="str">
            <v>N52</v>
          </cell>
          <cell r="AJ211" t="str">
            <v>F</v>
          </cell>
          <cell r="AK211" t="str">
            <v/>
          </cell>
        </row>
        <row r="212">
          <cell r="A212" t="str">
            <v>12503763829053</v>
          </cell>
          <cell r="B212" t="e">
            <v>#N/A</v>
          </cell>
          <cell r="C212">
            <v>14</v>
          </cell>
          <cell r="D212" t="str">
            <v>EK65</v>
          </cell>
          <cell r="E212" t="str">
            <v>522666</v>
          </cell>
          <cell r="F212" t="str">
            <v>E</v>
          </cell>
          <cell r="G212" t="str">
            <v>12503763</v>
          </cell>
          <cell r="H212" t="str">
            <v>Winkel w.g.</v>
          </cell>
          <cell r="I212">
            <v>46</v>
          </cell>
          <cell r="J212" t="str">
            <v>Stk</v>
          </cell>
          <cell r="K212">
            <v>45231</v>
          </cell>
          <cell r="L212" t="str">
            <v>829053</v>
          </cell>
          <cell r="M212" t="str">
            <v/>
          </cell>
          <cell r="N212" t="str">
            <v/>
          </cell>
          <cell r="O212" t="str">
            <v/>
          </cell>
          <cell r="P212" t="str">
            <v/>
          </cell>
          <cell r="Q212" t="str">
            <v/>
          </cell>
          <cell r="R212" t="str">
            <v/>
          </cell>
          <cell r="S212" t="str">
            <v/>
          </cell>
          <cell r="T212" t="str">
            <v/>
          </cell>
          <cell r="U212" t="str">
            <v/>
          </cell>
          <cell r="V212" t="str">
            <v>N52</v>
          </cell>
          <cell r="W212" t="str">
            <v/>
          </cell>
          <cell r="X212" t="str">
            <v/>
          </cell>
          <cell r="Y212" t="str">
            <v/>
          </cell>
          <cell r="Z212" t="str">
            <v/>
          </cell>
          <cell r="AA212" t="str">
            <v/>
          </cell>
          <cell r="AB212" t="str">
            <v>PA_4451653-CD.7005-3</v>
          </cell>
          <cell r="AC212">
            <v>1</v>
          </cell>
          <cell r="AD212" t="str">
            <v/>
          </cell>
          <cell r="AE212">
            <v>0</v>
          </cell>
          <cell r="AF212" t="str">
            <v/>
          </cell>
          <cell r="AG212" t="str">
            <v>12503763</v>
          </cell>
          <cell r="AH212">
            <v>44624.979953703703</v>
          </cell>
          <cell r="AI212" t="str">
            <v>N52</v>
          </cell>
          <cell r="AJ212" t="str">
            <v>F</v>
          </cell>
          <cell r="AK212" t="str">
            <v/>
          </cell>
        </row>
        <row r="213">
          <cell r="A213" t="str">
            <v>12503764829054</v>
          </cell>
          <cell r="B213" t="e">
            <v>#N/A</v>
          </cell>
          <cell r="C213">
            <v>14</v>
          </cell>
          <cell r="D213" t="str">
            <v>EK65</v>
          </cell>
          <cell r="E213" t="str">
            <v>522667</v>
          </cell>
          <cell r="F213" t="str">
            <v>E</v>
          </cell>
          <cell r="G213" t="str">
            <v>12503764</v>
          </cell>
          <cell r="H213" t="str">
            <v>Winkel sp.g.</v>
          </cell>
          <cell r="I213">
            <v>33</v>
          </cell>
          <cell r="J213" t="str">
            <v>Stk</v>
          </cell>
          <cell r="K213">
            <v>45223</v>
          </cell>
          <cell r="L213" t="str">
            <v>829054</v>
          </cell>
          <cell r="M213" t="str">
            <v/>
          </cell>
          <cell r="N213" t="str">
            <v/>
          </cell>
          <cell r="O213" t="str">
            <v/>
          </cell>
          <cell r="P213" t="str">
            <v/>
          </cell>
          <cell r="Q213" t="str">
            <v/>
          </cell>
          <cell r="R213" t="str">
            <v/>
          </cell>
          <cell r="S213" t="str">
            <v/>
          </cell>
          <cell r="T213" t="str">
            <v/>
          </cell>
          <cell r="U213" t="str">
            <v/>
          </cell>
          <cell r="V213" t="str">
            <v>N52</v>
          </cell>
          <cell r="W213" t="str">
            <v/>
          </cell>
          <cell r="X213" t="str">
            <v/>
          </cell>
          <cell r="Y213" t="str">
            <v/>
          </cell>
          <cell r="Z213" t="str">
            <v/>
          </cell>
          <cell r="AA213" t="str">
            <v/>
          </cell>
          <cell r="AB213" t="str">
            <v>PA_4451653-CD.7005-3</v>
          </cell>
          <cell r="AC213">
            <v>1</v>
          </cell>
          <cell r="AD213" t="str">
            <v/>
          </cell>
          <cell r="AE213">
            <v>0</v>
          </cell>
          <cell r="AF213" t="str">
            <v/>
          </cell>
          <cell r="AG213" t="str">
            <v>12503764</v>
          </cell>
          <cell r="AH213">
            <v>44624.97997685185</v>
          </cell>
          <cell r="AI213" t="str">
            <v>N52</v>
          </cell>
          <cell r="AJ213" t="str">
            <v>F</v>
          </cell>
          <cell r="AK213" t="str">
            <v/>
          </cell>
        </row>
        <row r="214">
          <cell r="A214" t="str">
            <v>12503764829053</v>
          </cell>
          <cell r="B214" t="e">
            <v>#N/A</v>
          </cell>
          <cell r="C214">
            <v>14</v>
          </cell>
          <cell r="D214" t="str">
            <v>EK65</v>
          </cell>
          <cell r="E214" t="str">
            <v>522668</v>
          </cell>
          <cell r="F214" t="str">
            <v>E</v>
          </cell>
          <cell r="G214" t="str">
            <v>12503764</v>
          </cell>
          <cell r="H214" t="str">
            <v>Winkel sp.g.</v>
          </cell>
          <cell r="I214">
            <v>48</v>
          </cell>
          <cell r="J214" t="str">
            <v>Stk</v>
          </cell>
          <cell r="K214">
            <v>45227</v>
          </cell>
          <cell r="L214" t="str">
            <v>829053</v>
          </cell>
          <cell r="M214" t="str">
            <v/>
          </cell>
          <cell r="N214" t="str">
            <v/>
          </cell>
          <cell r="O214" t="str">
            <v/>
          </cell>
          <cell r="P214" t="str">
            <v/>
          </cell>
          <cell r="Q214" t="str">
            <v/>
          </cell>
          <cell r="R214" t="str">
            <v/>
          </cell>
          <cell r="S214" t="str">
            <v/>
          </cell>
          <cell r="T214" t="str">
            <v/>
          </cell>
          <cell r="U214" t="str">
            <v/>
          </cell>
          <cell r="V214" t="str">
            <v>N52</v>
          </cell>
          <cell r="W214" t="str">
            <v/>
          </cell>
          <cell r="X214" t="str">
            <v/>
          </cell>
          <cell r="Y214" t="str">
            <v/>
          </cell>
          <cell r="Z214" t="str">
            <v/>
          </cell>
          <cell r="AA214" t="str">
            <v/>
          </cell>
          <cell r="AB214" t="str">
            <v>PA_4451653-CD.7005-3</v>
          </cell>
          <cell r="AC214">
            <v>1</v>
          </cell>
          <cell r="AD214" t="str">
            <v/>
          </cell>
          <cell r="AE214">
            <v>0</v>
          </cell>
          <cell r="AF214" t="str">
            <v/>
          </cell>
          <cell r="AG214" t="str">
            <v>12503764</v>
          </cell>
          <cell r="AH214">
            <v>44624.97997685185</v>
          </cell>
          <cell r="AI214" t="str">
            <v>N52</v>
          </cell>
          <cell r="AJ214" t="str">
            <v>F</v>
          </cell>
          <cell r="AK214" t="str">
            <v/>
          </cell>
        </row>
        <row r="215">
          <cell r="A215" t="str">
            <v>12503816829054</v>
          </cell>
          <cell r="B215" t="e">
            <v>#N/A</v>
          </cell>
          <cell r="C215">
            <v>12</v>
          </cell>
          <cell r="D215" t="str">
            <v>EK65</v>
          </cell>
          <cell r="E215" t="str">
            <v>522669</v>
          </cell>
          <cell r="F215" t="str">
            <v>E</v>
          </cell>
          <cell r="G215" t="str">
            <v>12503816</v>
          </cell>
          <cell r="H215" t="str">
            <v>Halter w.g.</v>
          </cell>
          <cell r="I215">
            <v>33</v>
          </cell>
          <cell r="J215" t="str">
            <v>Stk</v>
          </cell>
          <cell r="K215">
            <v>45223</v>
          </cell>
          <cell r="L215" t="str">
            <v>829054</v>
          </cell>
          <cell r="M215" t="str">
            <v/>
          </cell>
          <cell r="N215" t="str">
            <v/>
          </cell>
          <cell r="O215" t="str">
            <v/>
          </cell>
          <cell r="P215" t="str">
            <v/>
          </cell>
          <cell r="Q215" t="str">
            <v/>
          </cell>
          <cell r="R215" t="str">
            <v/>
          </cell>
          <cell r="S215" t="str">
            <v/>
          </cell>
          <cell r="T215" t="str">
            <v/>
          </cell>
          <cell r="U215" t="str">
            <v/>
          </cell>
          <cell r="V215" t="str">
            <v>N52</v>
          </cell>
          <cell r="W215" t="str">
            <v/>
          </cell>
          <cell r="X215" t="str">
            <v/>
          </cell>
          <cell r="Y215" t="str">
            <v/>
          </cell>
          <cell r="Z215" t="str">
            <v/>
          </cell>
          <cell r="AA215" t="str">
            <v/>
          </cell>
          <cell r="AB215" t="str">
            <v>PA_4350403-CD.7005-3</v>
          </cell>
          <cell r="AC215">
            <v>1</v>
          </cell>
          <cell r="AD215" t="str">
            <v/>
          </cell>
          <cell r="AE215">
            <v>0</v>
          </cell>
          <cell r="AF215" t="str">
            <v/>
          </cell>
          <cell r="AG215" t="str">
            <v>12503816</v>
          </cell>
          <cell r="AH215">
            <v>44624.98</v>
          </cell>
          <cell r="AI215" t="str">
            <v>N52</v>
          </cell>
          <cell r="AJ215" t="str">
            <v/>
          </cell>
          <cell r="AK215" t="str">
            <v/>
          </cell>
        </row>
        <row r="216">
          <cell r="A216" t="str">
            <v>12503816829053</v>
          </cell>
          <cell r="B216" t="e">
            <v>#N/A</v>
          </cell>
          <cell r="C216">
            <v>12</v>
          </cell>
          <cell r="D216" t="str">
            <v>EK65</v>
          </cell>
          <cell r="E216" t="str">
            <v>522670</v>
          </cell>
          <cell r="F216" t="str">
            <v>E</v>
          </cell>
          <cell r="G216" t="str">
            <v>12503816</v>
          </cell>
          <cell r="H216" t="str">
            <v>Halter w.g.</v>
          </cell>
          <cell r="I216">
            <v>48</v>
          </cell>
          <cell r="J216" t="str">
            <v>Stk</v>
          </cell>
          <cell r="K216">
            <v>45227</v>
          </cell>
          <cell r="L216" t="str">
            <v>829053</v>
          </cell>
          <cell r="M216" t="str">
            <v/>
          </cell>
          <cell r="N216" t="str">
            <v/>
          </cell>
          <cell r="O216" t="str">
            <v/>
          </cell>
          <cell r="P216" t="str">
            <v/>
          </cell>
          <cell r="Q216" t="str">
            <v/>
          </cell>
          <cell r="R216" t="str">
            <v/>
          </cell>
          <cell r="S216" t="str">
            <v/>
          </cell>
          <cell r="T216" t="str">
            <v/>
          </cell>
          <cell r="U216" t="str">
            <v/>
          </cell>
          <cell r="V216" t="str">
            <v>N52</v>
          </cell>
          <cell r="W216" t="str">
            <v/>
          </cell>
          <cell r="X216" t="str">
            <v/>
          </cell>
          <cell r="Y216" t="str">
            <v/>
          </cell>
          <cell r="Z216" t="str">
            <v/>
          </cell>
          <cell r="AA216" t="str">
            <v/>
          </cell>
          <cell r="AB216" t="str">
            <v>PA_4350403-CD.7005-3</v>
          </cell>
          <cell r="AC216">
            <v>1</v>
          </cell>
          <cell r="AD216" t="str">
            <v/>
          </cell>
          <cell r="AE216">
            <v>0</v>
          </cell>
          <cell r="AF216" t="str">
            <v/>
          </cell>
          <cell r="AG216" t="str">
            <v>12503816</v>
          </cell>
          <cell r="AH216">
            <v>44624.98</v>
          </cell>
          <cell r="AI216" t="str">
            <v>N52</v>
          </cell>
          <cell r="AJ216" t="str">
            <v/>
          </cell>
          <cell r="AK216" t="str">
            <v/>
          </cell>
        </row>
        <row r="217">
          <cell r="A217" t="str">
            <v>12503817829053</v>
          </cell>
          <cell r="B217" t="e">
            <v>#N/A</v>
          </cell>
          <cell r="C217">
            <v>12</v>
          </cell>
          <cell r="D217" t="str">
            <v>EK65</v>
          </cell>
          <cell r="E217" t="str">
            <v>522671</v>
          </cell>
          <cell r="F217" t="str">
            <v>E</v>
          </cell>
          <cell r="G217" t="str">
            <v>12503817</v>
          </cell>
          <cell r="H217" t="str">
            <v>Halter sp.g.</v>
          </cell>
          <cell r="I217">
            <v>50</v>
          </cell>
          <cell r="J217" t="str">
            <v>Stk</v>
          </cell>
          <cell r="K217">
            <v>45218</v>
          </cell>
          <cell r="L217" t="str">
            <v>829053</v>
          </cell>
          <cell r="M217" t="str">
            <v/>
          </cell>
          <cell r="N217" t="str">
            <v/>
          </cell>
          <cell r="O217" t="str">
            <v/>
          </cell>
          <cell r="P217" t="str">
            <v/>
          </cell>
          <cell r="Q217" t="str">
            <v/>
          </cell>
          <cell r="R217" t="str">
            <v/>
          </cell>
          <cell r="S217" t="str">
            <v/>
          </cell>
          <cell r="T217" t="str">
            <v/>
          </cell>
          <cell r="U217" t="str">
            <v/>
          </cell>
          <cell r="V217" t="str">
            <v>N52</v>
          </cell>
          <cell r="W217" t="str">
            <v/>
          </cell>
          <cell r="X217" t="str">
            <v/>
          </cell>
          <cell r="Y217" t="str">
            <v/>
          </cell>
          <cell r="Z217" t="str">
            <v/>
          </cell>
          <cell r="AA217" t="str">
            <v/>
          </cell>
          <cell r="AB217" t="str">
            <v>PA_4350403-CD.7005-3</v>
          </cell>
          <cell r="AC217">
            <v>1</v>
          </cell>
          <cell r="AD217" t="str">
            <v/>
          </cell>
          <cell r="AE217">
            <v>0</v>
          </cell>
          <cell r="AF217" t="str">
            <v/>
          </cell>
          <cell r="AG217" t="str">
            <v>12503817</v>
          </cell>
          <cell r="AH217">
            <v>44624.980023148149</v>
          </cell>
          <cell r="AI217" t="str">
            <v>N52</v>
          </cell>
          <cell r="AJ217" t="str">
            <v>F</v>
          </cell>
          <cell r="AK217" t="str">
            <v/>
          </cell>
        </row>
        <row r="218">
          <cell r="A218" t="str">
            <v>12503817829054</v>
          </cell>
          <cell r="B218" t="e">
            <v>#N/A</v>
          </cell>
          <cell r="C218">
            <v>12</v>
          </cell>
          <cell r="D218" t="str">
            <v>EK65</v>
          </cell>
          <cell r="E218" t="str">
            <v>522672</v>
          </cell>
          <cell r="F218" t="str">
            <v>E</v>
          </cell>
          <cell r="G218" t="str">
            <v>12503817</v>
          </cell>
          <cell r="H218" t="str">
            <v>Halter sp.g.</v>
          </cell>
          <cell r="I218">
            <v>33</v>
          </cell>
          <cell r="J218" t="str">
            <v>Stk</v>
          </cell>
          <cell r="K218">
            <v>45223</v>
          </cell>
          <cell r="L218" t="str">
            <v>829054</v>
          </cell>
          <cell r="M218" t="str">
            <v/>
          </cell>
          <cell r="N218" t="str">
            <v/>
          </cell>
          <cell r="O218" t="str">
            <v/>
          </cell>
          <cell r="P218" t="str">
            <v/>
          </cell>
          <cell r="Q218" t="str">
            <v/>
          </cell>
          <cell r="R218" t="str">
            <v/>
          </cell>
          <cell r="S218" t="str">
            <v/>
          </cell>
          <cell r="T218" t="str">
            <v/>
          </cell>
          <cell r="U218" t="str">
            <v/>
          </cell>
          <cell r="V218" t="str">
            <v>N52</v>
          </cell>
          <cell r="W218" t="str">
            <v/>
          </cell>
          <cell r="X218" t="str">
            <v/>
          </cell>
          <cell r="Y218" t="str">
            <v/>
          </cell>
          <cell r="Z218" t="str">
            <v/>
          </cell>
          <cell r="AA218" t="str">
            <v/>
          </cell>
          <cell r="AB218" t="str">
            <v>PA_4350403-CD.7005-3</v>
          </cell>
          <cell r="AC218">
            <v>1</v>
          </cell>
          <cell r="AD218" t="str">
            <v/>
          </cell>
          <cell r="AE218">
            <v>0</v>
          </cell>
          <cell r="AF218" t="str">
            <v/>
          </cell>
          <cell r="AG218" t="str">
            <v>12503817</v>
          </cell>
          <cell r="AH218">
            <v>44624.980023148149</v>
          </cell>
          <cell r="AI218" t="str">
            <v>N52</v>
          </cell>
          <cell r="AJ218" t="str">
            <v>F</v>
          </cell>
          <cell r="AK218" t="str">
            <v/>
          </cell>
        </row>
        <row r="219">
          <cell r="A219" t="str">
            <v>12503857829054</v>
          </cell>
          <cell r="B219" t="e">
            <v>#N/A</v>
          </cell>
          <cell r="C219">
            <v>12</v>
          </cell>
          <cell r="D219" t="str">
            <v>EK65</v>
          </cell>
          <cell r="E219" t="str">
            <v>522673</v>
          </cell>
          <cell r="F219" t="str">
            <v>E</v>
          </cell>
          <cell r="G219" t="str">
            <v>12503857</v>
          </cell>
          <cell r="H219" t="str">
            <v>Winkel w.g.</v>
          </cell>
          <cell r="I219">
            <v>33</v>
          </cell>
          <cell r="J219" t="str">
            <v>Stk</v>
          </cell>
          <cell r="K219">
            <v>45223</v>
          </cell>
          <cell r="L219" t="str">
            <v>829054</v>
          </cell>
          <cell r="M219" t="str">
            <v/>
          </cell>
          <cell r="N219" t="str">
            <v/>
          </cell>
          <cell r="O219" t="str">
            <v/>
          </cell>
          <cell r="P219" t="str">
            <v/>
          </cell>
          <cell r="Q219" t="str">
            <v/>
          </cell>
          <cell r="R219" t="str">
            <v/>
          </cell>
          <cell r="S219" t="str">
            <v/>
          </cell>
          <cell r="T219" t="str">
            <v/>
          </cell>
          <cell r="U219" t="str">
            <v/>
          </cell>
          <cell r="V219" t="str">
            <v>N52</v>
          </cell>
          <cell r="W219" t="str">
            <v/>
          </cell>
          <cell r="X219" t="str">
            <v/>
          </cell>
          <cell r="Y219" t="str">
            <v/>
          </cell>
          <cell r="Z219" t="str">
            <v/>
          </cell>
          <cell r="AA219" t="str">
            <v/>
          </cell>
          <cell r="AB219" t="str">
            <v>PA_4342667-CD.7005-3</v>
          </cell>
          <cell r="AC219">
            <v>1</v>
          </cell>
          <cell r="AD219" t="str">
            <v/>
          </cell>
          <cell r="AE219">
            <v>0</v>
          </cell>
          <cell r="AF219" t="str">
            <v/>
          </cell>
          <cell r="AG219" t="str">
            <v>12503857</v>
          </cell>
          <cell r="AH219">
            <v>44624.980046296296</v>
          </cell>
          <cell r="AI219" t="str">
            <v>N52</v>
          </cell>
          <cell r="AJ219" t="str">
            <v>F</v>
          </cell>
          <cell r="AK219" t="str">
            <v/>
          </cell>
        </row>
        <row r="220">
          <cell r="A220" t="str">
            <v>12503857829053</v>
          </cell>
          <cell r="B220" t="e">
            <v>#N/A</v>
          </cell>
          <cell r="C220">
            <v>12</v>
          </cell>
          <cell r="D220" t="str">
            <v>EK65</v>
          </cell>
          <cell r="E220" t="str">
            <v>522674</v>
          </cell>
          <cell r="F220" t="str">
            <v>E</v>
          </cell>
          <cell r="G220" t="str">
            <v>12503857</v>
          </cell>
          <cell r="H220" t="str">
            <v>Winkel w.g.</v>
          </cell>
          <cell r="I220">
            <v>48</v>
          </cell>
          <cell r="J220" t="str">
            <v>Stk</v>
          </cell>
          <cell r="K220">
            <v>45227</v>
          </cell>
          <cell r="L220" t="str">
            <v>829053</v>
          </cell>
          <cell r="M220" t="str">
            <v/>
          </cell>
          <cell r="N220" t="str">
            <v/>
          </cell>
          <cell r="O220" t="str">
            <v/>
          </cell>
          <cell r="P220" t="str">
            <v/>
          </cell>
          <cell r="Q220" t="str">
            <v/>
          </cell>
          <cell r="R220" t="str">
            <v/>
          </cell>
          <cell r="S220" t="str">
            <v/>
          </cell>
          <cell r="T220" t="str">
            <v/>
          </cell>
          <cell r="U220" t="str">
            <v/>
          </cell>
          <cell r="V220" t="str">
            <v>N52</v>
          </cell>
          <cell r="W220" t="str">
            <v/>
          </cell>
          <cell r="X220" t="str">
            <v/>
          </cell>
          <cell r="Y220" t="str">
            <v/>
          </cell>
          <cell r="Z220" t="str">
            <v/>
          </cell>
          <cell r="AA220" t="str">
            <v/>
          </cell>
          <cell r="AB220" t="str">
            <v>PA_4342667-CD.7005-3</v>
          </cell>
          <cell r="AC220">
            <v>1</v>
          </cell>
          <cell r="AD220" t="str">
            <v/>
          </cell>
          <cell r="AE220">
            <v>0</v>
          </cell>
          <cell r="AF220" t="str">
            <v/>
          </cell>
          <cell r="AG220" t="str">
            <v>12503857</v>
          </cell>
          <cell r="AH220">
            <v>44624.980046296296</v>
          </cell>
          <cell r="AI220" t="str">
            <v>N52</v>
          </cell>
          <cell r="AJ220" t="str">
            <v>F</v>
          </cell>
          <cell r="AK220" t="str">
            <v/>
          </cell>
        </row>
        <row r="221">
          <cell r="A221" t="str">
            <v>12503925829053</v>
          </cell>
          <cell r="B221" t="e">
            <v>#N/A</v>
          </cell>
          <cell r="C221">
            <v>12</v>
          </cell>
          <cell r="D221" t="str">
            <v>EK65</v>
          </cell>
          <cell r="E221" t="str">
            <v>522675</v>
          </cell>
          <cell r="F221" t="str">
            <v>E</v>
          </cell>
          <cell r="G221" t="str">
            <v>12503925</v>
          </cell>
          <cell r="H221" t="str">
            <v>Winkel</v>
          </cell>
          <cell r="I221">
            <v>106</v>
          </cell>
          <cell r="J221" t="str">
            <v>Stk</v>
          </cell>
          <cell r="K221">
            <v>45210</v>
          </cell>
          <cell r="L221" t="str">
            <v>829053</v>
          </cell>
          <cell r="M221" t="str">
            <v/>
          </cell>
          <cell r="N221" t="str">
            <v/>
          </cell>
          <cell r="O221" t="str">
            <v/>
          </cell>
          <cell r="P221" t="str">
            <v/>
          </cell>
          <cell r="Q221" t="str">
            <v/>
          </cell>
          <cell r="R221" t="str">
            <v/>
          </cell>
          <cell r="S221" t="str">
            <v/>
          </cell>
          <cell r="T221" t="str">
            <v/>
          </cell>
          <cell r="U221" t="str">
            <v/>
          </cell>
          <cell r="V221" t="str">
            <v>N52</v>
          </cell>
          <cell r="W221" t="str">
            <v/>
          </cell>
          <cell r="X221" t="str">
            <v/>
          </cell>
          <cell r="Y221" t="str">
            <v/>
          </cell>
          <cell r="Z221" t="str">
            <v/>
          </cell>
          <cell r="AA221" t="str">
            <v/>
          </cell>
          <cell r="AB221" t="str">
            <v>PA_4314912-CD.7005-3</v>
          </cell>
          <cell r="AC221">
            <v>1</v>
          </cell>
          <cell r="AD221" t="str">
            <v/>
          </cell>
          <cell r="AE221">
            <v>0</v>
          </cell>
          <cell r="AF221" t="str">
            <v/>
          </cell>
          <cell r="AG221" t="str">
            <v>12503925</v>
          </cell>
          <cell r="AH221">
            <v>44624.980624999997</v>
          </cell>
          <cell r="AI221" t="str">
            <v>N52</v>
          </cell>
          <cell r="AJ221" t="str">
            <v>F</v>
          </cell>
          <cell r="AK221" t="str">
            <v/>
          </cell>
        </row>
        <row r="222">
          <cell r="A222" t="str">
            <v>12503925829054</v>
          </cell>
          <cell r="B222" t="e">
            <v>#N/A</v>
          </cell>
          <cell r="C222">
            <v>12</v>
          </cell>
          <cell r="D222" t="str">
            <v>EK65</v>
          </cell>
          <cell r="E222" t="str">
            <v>522676</v>
          </cell>
          <cell r="F222" t="str">
            <v>E</v>
          </cell>
          <cell r="G222" t="str">
            <v>12503925</v>
          </cell>
          <cell r="H222" t="str">
            <v>Winkel</v>
          </cell>
          <cell r="I222">
            <v>66</v>
          </cell>
          <cell r="J222" t="str">
            <v>Stk</v>
          </cell>
          <cell r="K222">
            <v>45223</v>
          </cell>
          <cell r="L222" t="str">
            <v>829054</v>
          </cell>
          <cell r="M222" t="str">
            <v/>
          </cell>
          <cell r="N222" t="str">
            <v/>
          </cell>
          <cell r="O222" t="str">
            <v/>
          </cell>
          <cell r="P222" t="str">
            <v/>
          </cell>
          <cell r="Q222" t="str">
            <v/>
          </cell>
          <cell r="R222" t="str">
            <v/>
          </cell>
          <cell r="S222" t="str">
            <v/>
          </cell>
          <cell r="T222" t="str">
            <v/>
          </cell>
          <cell r="U222" t="str">
            <v/>
          </cell>
          <cell r="V222" t="str">
            <v>N52</v>
          </cell>
          <cell r="W222" t="str">
            <v/>
          </cell>
          <cell r="X222" t="str">
            <v/>
          </cell>
          <cell r="Y222" t="str">
            <v/>
          </cell>
          <cell r="Z222" t="str">
            <v/>
          </cell>
          <cell r="AA222" t="str">
            <v/>
          </cell>
          <cell r="AB222" t="str">
            <v>PA_4314912-CD.7005-3</v>
          </cell>
          <cell r="AC222">
            <v>1</v>
          </cell>
          <cell r="AD222" t="str">
            <v/>
          </cell>
          <cell r="AE222">
            <v>0</v>
          </cell>
          <cell r="AF222" t="str">
            <v/>
          </cell>
          <cell r="AG222" t="str">
            <v>12503925</v>
          </cell>
          <cell r="AH222">
            <v>44624.980624999997</v>
          </cell>
          <cell r="AI222" t="str">
            <v>N52</v>
          </cell>
          <cell r="AJ222" t="str">
            <v>F</v>
          </cell>
          <cell r="AK222" t="str">
            <v/>
          </cell>
        </row>
        <row r="223">
          <cell r="A223" t="str">
            <v>12505081829053</v>
          </cell>
          <cell r="B223" t="e">
            <v>#N/A</v>
          </cell>
          <cell r="C223">
            <v>20</v>
          </cell>
          <cell r="D223" t="str">
            <v>EK65</v>
          </cell>
          <cell r="E223" t="str">
            <v>522677</v>
          </cell>
          <cell r="F223" t="str">
            <v>E</v>
          </cell>
          <cell r="G223" t="str">
            <v>12505081</v>
          </cell>
          <cell r="H223" t="str">
            <v>Platte</v>
          </cell>
          <cell r="I223">
            <v>102</v>
          </cell>
          <cell r="J223" t="str">
            <v>Stk</v>
          </cell>
          <cell r="K223">
            <v>45212</v>
          </cell>
          <cell r="L223" t="str">
            <v>829053</v>
          </cell>
          <cell r="M223" t="str">
            <v/>
          </cell>
          <cell r="N223" t="str">
            <v/>
          </cell>
          <cell r="O223" t="str">
            <v/>
          </cell>
          <cell r="P223" t="str">
            <v/>
          </cell>
          <cell r="Q223" t="str">
            <v/>
          </cell>
          <cell r="R223" t="str">
            <v/>
          </cell>
          <cell r="S223" t="str">
            <v/>
          </cell>
          <cell r="T223" t="str">
            <v/>
          </cell>
          <cell r="U223" t="str">
            <v/>
          </cell>
          <cell r="V223" t="str">
            <v>N52</v>
          </cell>
          <cell r="W223" t="str">
            <v/>
          </cell>
          <cell r="X223" t="str">
            <v/>
          </cell>
          <cell r="Y223" t="str">
            <v/>
          </cell>
          <cell r="Z223" t="str">
            <v/>
          </cell>
          <cell r="AA223" t="str">
            <v/>
          </cell>
          <cell r="AB223" t="str">
            <v>PA_4459315-CD.7005-4</v>
          </cell>
          <cell r="AC223">
            <v>1</v>
          </cell>
          <cell r="AD223" t="str">
            <v/>
          </cell>
          <cell r="AE223">
            <v>0</v>
          </cell>
          <cell r="AF223" t="str">
            <v/>
          </cell>
          <cell r="AG223" t="str">
            <v>12505081</v>
          </cell>
          <cell r="AH223">
            <v>44624.981030092589</v>
          </cell>
          <cell r="AI223" t="str">
            <v>N52</v>
          </cell>
          <cell r="AJ223" t="str">
            <v>F</v>
          </cell>
          <cell r="AK223" t="str">
            <v/>
          </cell>
        </row>
        <row r="224">
          <cell r="A224" t="str">
            <v>12505081829054</v>
          </cell>
          <cell r="B224" t="e">
            <v>#N/A</v>
          </cell>
          <cell r="C224">
            <v>20</v>
          </cell>
          <cell r="D224" t="str">
            <v>EK65</v>
          </cell>
          <cell r="E224" t="str">
            <v>522678</v>
          </cell>
          <cell r="F224" t="str">
            <v>E</v>
          </cell>
          <cell r="G224" t="str">
            <v>12505081</v>
          </cell>
          <cell r="H224" t="str">
            <v>Platte</v>
          </cell>
          <cell r="I224">
            <v>66</v>
          </cell>
          <cell r="J224" t="str">
            <v>Stk</v>
          </cell>
          <cell r="K224">
            <v>45223</v>
          </cell>
          <cell r="L224" t="str">
            <v>829054</v>
          </cell>
          <cell r="M224" t="str">
            <v/>
          </cell>
          <cell r="N224" t="str">
            <v/>
          </cell>
          <cell r="O224" t="str">
            <v/>
          </cell>
          <cell r="P224" t="str">
            <v/>
          </cell>
          <cell r="Q224" t="str">
            <v/>
          </cell>
          <cell r="R224" t="str">
            <v/>
          </cell>
          <cell r="S224" t="str">
            <v/>
          </cell>
          <cell r="T224" t="str">
            <v/>
          </cell>
          <cell r="U224" t="str">
            <v/>
          </cell>
          <cell r="V224" t="str">
            <v>N52</v>
          </cell>
          <cell r="W224" t="str">
            <v/>
          </cell>
          <cell r="X224" t="str">
            <v/>
          </cell>
          <cell r="Y224" t="str">
            <v/>
          </cell>
          <cell r="Z224" t="str">
            <v/>
          </cell>
          <cell r="AA224" t="str">
            <v/>
          </cell>
          <cell r="AB224" t="str">
            <v>PA_4459315-CD.7005-4</v>
          </cell>
          <cell r="AC224">
            <v>1</v>
          </cell>
          <cell r="AD224" t="str">
            <v/>
          </cell>
          <cell r="AE224">
            <v>0</v>
          </cell>
          <cell r="AF224" t="str">
            <v/>
          </cell>
          <cell r="AG224" t="str">
            <v>12505081</v>
          </cell>
          <cell r="AH224">
            <v>44624.981030092589</v>
          </cell>
          <cell r="AI224" t="str">
            <v>N52</v>
          </cell>
          <cell r="AJ224" t="str">
            <v>F</v>
          </cell>
          <cell r="AK224" t="str">
            <v/>
          </cell>
        </row>
        <row r="225">
          <cell r="A225" t="str">
            <v>12505081829051</v>
          </cell>
          <cell r="B225" t="e">
            <v>#N/A</v>
          </cell>
          <cell r="C225">
            <v>20</v>
          </cell>
          <cell r="D225" t="str">
            <v>EK65</v>
          </cell>
          <cell r="E225" t="str">
            <v>522679</v>
          </cell>
          <cell r="F225" t="str">
            <v>E</v>
          </cell>
          <cell r="G225" t="str">
            <v>12505081</v>
          </cell>
          <cell r="H225" t="str">
            <v>Platte</v>
          </cell>
          <cell r="I225">
            <v>170</v>
          </cell>
          <cell r="J225" t="str">
            <v>Stk</v>
          </cell>
          <cell r="K225">
            <v>45350</v>
          </cell>
          <cell r="L225" t="str">
            <v>829051</v>
          </cell>
          <cell r="M225" t="str">
            <v/>
          </cell>
          <cell r="N225" t="str">
            <v/>
          </cell>
          <cell r="O225" t="str">
            <v/>
          </cell>
          <cell r="P225" t="str">
            <v/>
          </cell>
          <cell r="Q225" t="str">
            <v/>
          </cell>
          <cell r="R225" t="str">
            <v/>
          </cell>
          <cell r="S225" t="str">
            <v/>
          </cell>
          <cell r="T225" t="str">
            <v/>
          </cell>
          <cell r="U225" t="str">
            <v/>
          </cell>
          <cell r="V225" t="str">
            <v>N52</v>
          </cell>
          <cell r="W225" t="str">
            <v/>
          </cell>
          <cell r="X225" t="str">
            <v/>
          </cell>
          <cell r="Y225" t="str">
            <v/>
          </cell>
          <cell r="Z225" t="str">
            <v/>
          </cell>
          <cell r="AA225" t="str">
            <v/>
          </cell>
          <cell r="AB225" t="str">
            <v>PA_4459315-CD.7005-4</v>
          </cell>
          <cell r="AC225">
            <v>1</v>
          </cell>
          <cell r="AD225" t="str">
            <v/>
          </cell>
          <cell r="AE225">
            <v>0</v>
          </cell>
          <cell r="AF225" t="str">
            <v/>
          </cell>
          <cell r="AG225" t="str">
            <v>12505081</v>
          </cell>
          <cell r="AH225">
            <v>44624.981030092589</v>
          </cell>
          <cell r="AI225" t="str">
            <v>N52</v>
          </cell>
          <cell r="AJ225" t="str">
            <v>F</v>
          </cell>
          <cell r="AK225" t="str">
            <v/>
          </cell>
        </row>
        <row r="226">
          <cell r="A226" t="str">
            <v>12505081829052</v>
          </cell>
          <cell r="B226" t="e">
            <v>#N/A</v>
          </cell>
          <cell r="C226">
            <v>20</v>
          </cell>
          <cell r="D226" t="str">
            <v>EK65</v>
          </cell>
          <cell r="E226" t="str">
            <v>522680</v>
          </cell>
          <cell r="F226" t="str">
            <v>E</v>
          </cell>
          <cell r="G226" t="str">
            <v>12505081</v>
          </cell>
          <cell r="H226" t="str">
            <v>Platte</v>
          </cell>
          <cell r="I226">
            <v>125</v>
          </cell>
          <cell r="J226" t="str">
            <v>Stk</v>
          </cell>
          <cell r="K226">
            <v>45358</v>
          </cell>
          <cell r="L226" t="str">
            <v>829052</v>
          </cell>
          <cell r="M226" t="str">
            <v/>
          </cell>
          <cell r="N226" t="str">
            <v/>
          </cell>
          <cell r="O226" t="str">
            <v/>
          </cell>
          <cell r="P226" t="str">
            <v/>
          </cell>
          <cell r="Q226" t="str">
            <v/>
          </cell>
          <cell r="R226" t="str">
            <v/>
          </cell>
          <cell r="S226" t="str">
            <v/>
          </cell>
          <cell r="T226" t="str">
            <v/>
          </cell>
          <cell r="U226" t="str">
            <v/>
          </cell>
          <cell r="V226" t="str">
            <v>N52</v>
          </cell>
          <cell r="W226" t="str">
            <v/>
          </cell>
          <cell r="X226" t="str">
            <v/>
          </cell>
          <cell r="Y226" t="str">
            <v/>
          </cell>
          <cell r="Z226" t="str">
            <v/>
          </cell>
          <cell r="AA226" t="str">
            <v/>
          </cell>
          <cell r="AB226" t="str">
            <v>PA_4459315-CD.7005-4</v>
          </cell>
          <cell r="AC226">
            <v>1</v>
          </cell>
          <cell r="AD226" t="str">
            <v/>
          </cell>
          <cell r="AE226">
            <v>0</v>
          </cell>
          <cell r="AF226" t="str">
            <v/>
          </cell>
          <cell r="AG226" t="str">
            <v>12505081</v>
          </cell>
          <cell r="AH226">
            <v>44624.981030092589</v>
          </cell>
          <cell r="AI226" t="str">
            <v>N52</v>
          </cell>
          <cell r="AJ226" t="str">
            <v>F</v>
          </cell>
          <cell r="AK226" t="str">
            <v/>
          </cell>
        </row>
        <row r="227">
          <cell r="A227" t="str">
            <v>12505127829053</v>
          </cell>
          <cell r="B227" t="e">
            <v>#N/A</v>
          </cell>
          <cell r="C227">
            <v>8</v>
          </cell>
          <cell r="D227" t="str">
            <v>EK65</v>
          </cell>
          <cell r="E227" t="str">
            <v>522681</v>
          </cell>
          <cell r="F227" t="str">
            <v>E</v>
          </cell>
          <cell r="G227" t="str">
            <v>12505127</v>
          </cell>
          <cell r="H227" t="str">
            <v>Huelse</v>
          </cell>
          <cell r="I227">
            <v>563</v>
          </cell>
          <cell r="J227" t="str">
            <v>Stk</v>
          </cell>
          <cell r="K227">
            <v>45230</v>
          </cell>
          <cell r="L227" t="str">
            <v>829053</v>
          </cell>
          <cell r="M227" t="str">
            <v/>
          </cell>
          <cell r="N227" t="str">
            <v/>
          </cell>
          <cell r="O227" t="str">
            <v/>
          </cell>
          <cell r="P227" t="str">
            <v/>
          </cell>
          <cell r="Q227" t="str">
            <v/>
          </cell>
          <cell r="R227" t="str">
            <v/>
          </cell>
          <cell r="S227" t="str">
            <v/>
          </cell>
          <cell r="T227" t="str">
            <v/>
          </cell>
          <cell r="U227" t="str">
            <v/>
          </cell>
          <cell r="V227" t="str">
            <v>N52</v>
          </cell>
          <cell r="W227" t="str">
            <v/>
          </cell>
          <cell r="X227" t="str">
            <v/>
          </cell>
          <cell r="Y227" t="str">
            <v/>
          </cell>
          <cell r="Z227" t="str">
            <v/>
          </cell>
          <cell r="AA227" t="str">
            <v/>
          </cell>
          <cell r="AB227" t="str">
            <v>BU_4155476-CD.7005-4</v>
          </cell>
          <cell r="AC227">
            <v>1</v>
          </cell>
          <cell r="AD227" t="str">
            <v/>
          </cell>
          <cell r="AE227">
            <v>0</v>
          </cell>
          <cell r="AF227" t="str">
            <v/>
          </cell>
          <cell r="AG227" t="str">
            <v>12505127</v>
          </cell>
          <cell r="AH227">
            <v>44624.981076388889</v>
          </cell>
          <cell r="AI227" t="str">
            <v>N52</v>
          </cell>
          <cell r="AJ227" t="str">
            <v>F</v>
          </cell>
          <cell r="AK227" t="str">
            <v/>
          </cell>
        </row>
        <row r="228">
          <cell r="A228" t="str">
            <v>12505127829054</v>
          </cell>
          <cell r="B228" t="e">
            <v>#N/A</v>
          </cell>
          <cell r="C228">
            <v>8</v>
          </cell>
          <cell r="D228" t="str">
            <v>EK65</v>
          </cell>
          <cell r="E228" t="str">
            <v>522682</v>
          </cell>
          <cell r="F228" t="str">
            <v>E</v>
          </cell>
          <cell r="G228" t="str">
            <v>12505127</v>
          </cell>
          <cell r="H228" t="str">
            <v>Huelse</v>
          </cell>
          <cell r="I228">
            <v>363</v>
          </cell>
          <cell r="J228" t="str">
            <v>Stk</v>
          </cell>
          <cell r="K228">
            <v>45244</v>
          </cell>
          <cell r="L228" t="str">
            <v>829054</v>
          </cell>
          <cell r="M228" t="str">
            <v/>
          </cell>
          <cell r="N228" t="str">
            <v/>
          </cell>
          <cell r="O228" t="str">
            <v/>
          </cell>
          <cell r="P228" t="str">
            <v/>
          </cell>
          <cell r="Q228" t="str">
            <v/>
          </cell>
          <cell r="R228" t="str">
            <v/>
          </cell>
          <cell r="S228" t="str">
            <v/>
          </cell>
          <cell r="T228" t="str">
            <v/>
          </cell>
          <cell r="U228" t="str">
            <v/>
          </cell>
          <cell r="V228" t="str">
            <v>N52</v>
          </cell>
          <cell r="W228" t="str">
            <v/>
          </cell>
          <cell r="X228" t="str">
            <v/>
          </cell>
          <cell r="Y228" t="str">
            <v/>
          </cell>
          <cell r="Z228" t="str">
            <v/>
          </cell>
          <cell r="AA228" t="str">
            <v/>
          </cell>
          <cell r="AB228" t="str">
            <v>BU_4155476-CD.7005-4</v>
          </cell>
          <cell r="AC228">
            <v>1</v>
          </cell>
          <cell r="AD228" t="str">
            <v/>
          </cell>
          <cell r="AE228">
            <v>0</v>
          </cell>
          <cell r="AF228" t="str">
            <v/>
          </cell>
          <cell r="AG228" t="str">
            <v>12505127</v>
          </cell>
          <cell r="AH228">
            <v>44624.981076388889</v>
          </cell>
          <cell r="AI228" t="str">
            <v>N52</v>
          </cell>
          <cell r="AJ228" t="str">
            <v>F</v>
          </cell>
          <cell r="AK228" t="str">
            <v/>
          </cell>
        </row>
        <row r="229">
          <cell r="A229" t="str">
            <v>12505303829053</v>
          </cell>
          <cell r="B229" t="e">
            <v>#N/A</v>
          </cell>
          <cell r="C229">
            <v>6</v>
          </cell>
          <cell r="D229" t="str">
            <v>EK65</v>
          </cell>
          <cell r="E229" t="str">
            <v>522683</v>
          </cell>
          <cell r="F229" t="str">
            <v>E</v>
          </cell>
          <cell r="G229" t="str">
            <v>12505303</v>
          </cell>
          <cell r="H229" t="str">
            <v>Distanzstueck</v>
          </cell>
          <cell r="I229">
            <v>294</v>
          </cell>
          <cell r="J229" t="str">
            <v>Stk</v>
          </cell>
          <cell r="K229">
            <v>45140</v>
          </cell>
          <cell r="L229" t="str">
            <v>829053</v>
          </cell>
          <cell r="M229" t="str">
            <v/>
          </cell>
          <cell r="N229" t="str">
            <v/>
          </cell>
          <cell r="O229" t="str">
            <v/>
          </cell>
          <cell r="P229" t="str">
            <v/>
          </cell>
          <cell r="Q229" t="str">
            <v/>
          </cell>
          <cell r="R229" t="str">
            <v/>
          </cell>
          <cell r="S229" t="str">
            <v/>
          </cell>
          <cell r="T229" t="str">
            <v/>
          </cell>
          <cell r="U229" t="str">
            <v/>
          </cell>
          <cell r="V229" t="str">
            <v>N52</v>
          </cell>
          <cell r="W229" t="str">
            <v/>
          </cell>
          <cell r="X229" t="str">
            <v/>
          </cell>
          <cell r="Y229" t="str">
            <v/>
          </cell>
          <cell r="Z229" t="str">
            <v/>
          </cell>
          <cell r="AA229" t="str">
            <v/>
          </cell>
          <cell r="AB229" t="str">
            <v>PA_4328118-CD.7005-4</v>
          </cell>
          <cell r="AC229">
            <v>1</v>
          </cell>
          <cell r="AD229" t="str">
            <v/>
          </cell>
          <cell r="AE229">
            <v>0</v>
          </cell>
          <cell r="AF229" t="str">
            <v/>
          </cell>
          <cell r="AG229" t="str">
            <v>12505303</v>
          </cell>
          <cell r="AH229">
            <v>44624.981296296297</v>
          </cell>
          <cell r="AI229" t="str">
            <v>N52</v>
          </cell>
          <cell r="AJ229" t="str">
            <v>F</v>
          </cell>
          <cell r="AK229" t="str">
            <v/>
          </cell>
        </row>
        <row r="230">
          <cell r="A230" t="str">
            <v>12505303829054</v>
          </cell>
          <cell r="B230" t="e">
            <v>#N/A</v>
          </cell>
          <cell r="C230">
            <v>6</v>
          </cell>
          <cell r="D230" t="str">
            <v>EK65</v>
          </cell>
          <cell r="E230" t="str">
            <v>522684</v>
          </cell>
          <cell r="F230" t="str">
            <v>E</v>
          </cell>
          <cell r="G230" t="str">
            <v>12505303</v>
          </cell>
          <cell r="H230" t="str">
            <v>Distanzstueck</v>
          </cell>
          <cell r="I230">
            <v>139</v>
          </cell>
          <cell r="J230" t="str">
            <v>Stk</v>
          </cell>
          <cell r="K230">
            <v>45220</v>
          </cell>
          <cell r="L230" t="str">
            <v>829054</v>
          </cell>
          <cell r="M230" t="str">
            <v/>
          </cell>
          <cell r="N230" t="str">
            <v/>
          </cell>
          <cell r="O230" t="str">
            <v/>
          </cell>
          <cell r="P230" t="str">
            <v/>
          </cell>
          <cell r="Q230" t="str">
            <v/>
          </cell>
          <cell r="R230" t="str">
            <v/>
          </cell>
          <cell r="S230" t="str">
            <v/>
          </cell>
          <cell r="T230" t="str">
            <v/>
          </cell>
          <cell r="U230" t="str">
            <v/>
          </cell>
          <cell r="V230" t="str">
            <v>N52</v>
          </cell>
          <cell r="W230" t="str">
            <v/>
          </cell>
          <cell r="X230" t="str">
            <v/>
          </cell>
          <cell r="Y230" t="str">
            <v/>
          </cell>
          <cell r="Z230" t="str">
            <v/>
          </cell>
          <cell r="AA230" t="str">
            <v/>
          </cell>
          <cell r="AB230" t="str">
            <v>PA_4328118-CD.7005-4</v>
          </cell>
          <cell r="AC230">
            <v>1</v>
          </cell>
          <cell r="AD230" t="str">
            <v/>
          </cell>
          <cell r="AE230">
            <v>0</v>
          </cell>
          <cell r="AF230" t="str">
            <v/>
          </cell>
          <cell r="AG230" t="str">
            <v>12505303</v>
          </cell>
          <cell r="AH230">
            <v>44624.981296296297</v>
          </cell>
          <cell r="AI230" t="str">
            <v>N52</v>
          </cell>
          <cell r="AJ230" t="str">
            <v>F</v>
          </cell>
          <cell r="AK230" t="str">
            <v/>
          </cell>
        </row>
        <row r="231">
          <cell r="A231" t="str">
            <v>12505308829053</v>
          </cell>
          <cell r="B231" t="e">
            <v>#N/A</v>
          </cell>
          <cell r="C231">
            <v>7</v>
          </cell>
          <cell r="D231" t="str">
            <v>EK65</v>
          </cell>
          <cell r="E231" t="str">
            <v>522685</v>
          </cell>
          <cell r="F231" t="str">
            <v>E</v>
          </cell>
          <cell r="G231" t="str">
            <v>12505308</v>
          </cell>
          <cell r="H231" t="str">
            <v>Halter</v>
          </cell>
          <cell r="I231">
            <v>48</v>
          </cell>
          <cell r="J231" t="str">
            <v>Stk</v>
          </cell>
          <cell r="K231">
            <v>45232</v>
          </cell>
          <cell r="L231" t="str">
            <v>829053</v>
          </cell>
          <cell r="M231" t="str">
            <v/>
          </cell>
          <cell r="N231" t="str">
            <v/>
          </cell>
          <cell r="O231" t="str">
            <v/>
          </cell>
          <cell r="P231" t="str">
            <v/>
          </cell>
          <cell r="Q231" t="str">
            <v/>
          </cell>
          <cell r="R231" t="str">
            <v/>
          </cell>
          <cell r="S231" t="str">
            <v/>
          </cell>
          <cell r="T231" t="str">
            <v/>
          </cell>
          <cell r="U231" t="str">
            <v/>
          </cell>
          <cell r="V231" t="str">
            <v>N52</v>
          </cell>
          <cell r="W231" t="str">
            <v/>
          </cell>
          <cell r="X231" t="str">
            <v/>
          </cell>
          <cell r="Y231" t="str">
            <v/>
          </cell>
          <cell r="Z231" t="str">
            <v/>
          </cell>
          <cell r="AA231" t="str">
            <v/>
          </cell>
          <cell r="AB231" t="str">
            <v>PA_4400474-DF.7005-4</v>
          </cell>
          <cell r="AC231">
            <v>1</v>
          </cell>
          <cell r="AD231" t="str">
            <v/>
          </cell>
          <cell r="AE231">
            <v>0</v>
          </cell>
          <cell r="AF231" t="str">
            <v/>
          </cell>
          <cell r="AG231" t="str">
            <v>12505308</v>
          </cell>
          <cell r="AH231">
            <v>44624.981307870374</v>
          </cell>
          <cell r="AI231" t="str">
            <v>N52</v>
          </cell>
          <cell r="AJ231" t="str">
            <v>F</v>
          </cell>
          <cell r="AK231" t="str">
            <v/>
          </cell>
        </row>
        <row r="232">
          <cell r="A232" t="str">
            <v>12505638829053</v>
          </cell>
          <cell r="B232" t="e">
            <v>#N/A</v>
          </cell>
          <cell r="C232">
            <v>20</v>
          </cell>
          <cell r="D232" t="str">
            <v>EK65</v>
          </cell>
          <cell r="E232" t="str">
            <v>522686</v>
          </cell>
          <cell r="F232" t="str">
            <v>E</v>
          </cell>
          <cell r="G232" t="str">
            <v>12505638</v>
          </cell>
          <cell r="H232" t="str">
            <v>Gewindeplatte</v>
          </cell>
          <cell r="I232">
            <v>831</v>
          </cell>
          <cell r="J232" t="str">
            <v>Stk</v>
          </cell>
          <cell r="K232">
            <v>45196</v>
          </cell>
          <cell r="L232" t="str">
            <v>829053</v>
          </cell>
          <cell r="M232" t="str">
            <v/>
          </cell>
          <cell r="N232" t="str">
            <v/>
          </cell>
          <cell r="O232" t="str">
            <v/>
          </cell>
          <cell r="P232" t="str">
            <v/>
          </cell>
          <cell r="Q232" t="str">
            <v/>
          </cell>
          <cell r="R232" t="str">
            <v/>
          </cell>
          <cell r="S232" t="str">
            <v/>
          </cell>
          <cell r="T232" t="str">
            <v/>
          </cell>
          <cell r="U232" t="str">
            <v/>
          </cell>
          <cell r="V232" t="str">
            <v>N52</v>
          </cell>
          <cell r="W232" t="str">
            <v/>
          </cell>
          <cell r="X232" t="str">
            <v/>
          </cell>
          <cell r="Y232" t="str">
            <v/>
          </cell>
          <cell r="Z232" t="str">
            <v/>
          </cell>
          <cell r="AA232" t="str">
            <v/>
          </cell>
          <cell r="AB232" t="str">
            <v>PA_2329018-DB.7005-3</v>
          </cell>
          <cell r="AC232">
            <v>1</v>
          </cell>
          <cell r="AD232" t="str">
            <v/>
          </cell>
          <cell r="AE232">
            <v>0</v>
          </cell>
          <cell r="AF232" t="str">
            <v/>
          </cell>
          <cell r="AG232" t="str">
            <v>12505638</v>
          </cell>
          <cell r="AH232">
            <v>44624.981458333335</v>
          </cell>
          <cell r="AI232" t="str">
            <v>N52</v>
          </cell>
          <cell r="AJ232" t="str">
            <v>F</v>
          </cell>
          <cell r="AK232" t="str">
            <v/>
          </cell>
        </row>
        <row r="233">
          <cell r="A233" t="str">
            <v>12505638829054</v>
          </cell>
          <cell r="B233" t="e">
            <v>#N/A</v>
          </cell>
          <cell r="C233">
            <v>20</v>
          </cell>
          <cell r="D233" t="str">
            <v>EK65</v>
          </cell>
          <cell r="E233" t="str">
            <v>522687</v>
          </cell>
          <cell r="F233" t="str">
            <v>E</v>
          </cell>
          <cell r="G233" t="str">
            <v>12505638</v>
          </cell>
          <cell r="H233" t="str">
            <v>Gewindeplatte</v>
          </cell>
          <cell r="I233">
            <v>265</v>
          </cell>
          <cell r="J233" t="str">
            <v>Stk</v>
          </cell>
          <cell r="K233">
            <v>45206</v>
          </cell>
          <cell r="L233" t="str">
            <v>829054</v>
          </cell>
          <cell r="M233" t="str">
            <v/>
          </cell>
          <cell r="N233" t="str">
            <v/>
          </cell>
          <cell r="O233" t="str">
            <v/>
          </cell>
          <cell r="P233" t="str">
            <v/>
          </cell>
          <cell r="Q233" t="str">
            <v/>
          </cell>
          <cell r="R233" t="str">
            <v/>
          </cell>
          <cell r="S233" t="str">
            <v/>
          </cell>
          <cell r="T233" t="str">
            <v/>
          </cell>
          <cell r="U233" t="str">
            <v/>
          </cell>
          <cell r="V233" t="str">
            <v>N52</v>
          </cell>
          <cell r="W233" t="str">
            <v/>
          </cell>
          <cell r="X233" t="str">
            <v/>
          </cell>
          <cell r="Y233" t="str">
            <v/>
          </cell>
          <cell r="Z233" t="str">
            <v/>
          </cell>
          <cell r="AA233" t="str">
            <v/>
          </cell>
          <cell r="AB233" t="str">
            <v>PA_2329018-DB.7005-3</v>
          </cell>
          <cell r="AC233">
            <v>1</v>
          </cell>
          <cell r="AD233" t="str">
            <v/>
          </cell>
          <cell r="AE233">
            <v>0</v>
          </cell>
          <cell r="AF233" t="str">
            <v/>
          </cell>
          <cell r="AG233" t="str">
            <v>12505638</v>
          </cell>
          <cell r="AH233">
            <v>44624.981458333335</v>
          </cell>
          <cell r="AI233" t="str">
            <v>N52</v>
          </cell>
          <cell r="AJ233" t="str">
            <v>F</v>
          </cell>
          <cell r="AK233" t="str">
            <v/>
          </cell>
        </row>
        <row r="234">
          <cell r="A234" t="str">
            <v>12505638829051</v>
          </cell>
          <cell r="B234" t="e">
            <v>#N/A</v>
          </cell>
          <cell r="C234">
            <v>20</v>
          </cell>
          <cell r="D234" t="str">
            <v>EK65</v>
          </cell>
          <cell r="E234" t="str">
            <v>522688</v>
          </cell>
          <cell r="F234" t="str">
            <v>E</v>
          </cell>
          <cell r="G234" t="str">
            <v>12505638</v>
          </cell>
          <cell r="H234" t="str">
            <v>Gewindeplatte</v>
          </cell>
          <cell r="I234">
            <v>2172</v>
          </cell>
          <cell r="J234" t="str">
            <v>Stk</v>
          </cell>
          <cell r="K234">
            <v>45310</v>
          </cell>
          <cell r="L234" t="str">
            <v>829051</v>
          </cell>
          <cell r="M234" t="str">
            <v/>
          </cell>
          <cell r="N234" t="str">
            <v/>
          </cell>
          <cell r="O234" t="str">
            <v/>
          </cell>
          <cell r="P234" t="str">
            <v/>
          </cell>
          <cell r="Q234" t="str">
            <v/>
          </cell>
          <cell r="R234" t="str">
            <v/>
          </cell>
          <cell r="S234" t="str">
            <v/>
          </cell>
          <cell r="T234" t="str">
            <v/>
          </cell>
          <cell r="U234" t="str">
            <v/>
          </cell>
          <cell r="V234" t="str">
            <v>N52</v>
          </cell>
          <cell r="W234" t="str">
            <v/>
          </cell>
          <cell r="X234" t="str">
            <v/>
          </cell>
          <cell r="Y234" t="str">
            <v/>
          </cell>
          <cell r="Z234" t="str">
            <v/>
          </cell>
          <cell r="AA234" t="str">
            <v/>
          </cell>
          <cell r="AB234" t="str">
            <v>PA_2329018-DB.7005-3</v>
          </cell>
          <cell r="AC234">
            <v>1</v>
          </cell>
          <cell r="AD234" t="str">
            <v/>
          </cell>
          <cell r="AE234">
            <v>0</v>
          </cell>
          <cell r="AF234" t="str">
            <v/>
          </cell>
          <cell r="AG234" t="str">
            <v>12505638</v>
          </cell>
          <cell r="AH234">
            <v>44624.981458333335</v>
          </cell>
          <cell r="AI234" t="str">
            <v>N52</v>
          </cell>
          <cell r="AJ234" t="str">
            <v>F</v>
          </cell>
          <cell r="AK234" t="str">
            <v/>
          </cell>
        </row>
        <row r="235">
          <cell r="A235" t="str">
            <v>12505638829052</v>
          </cell>
          <cell r="B235" t="str">
            <v>BL20230413-2</v>
          </cell>
          <cell r="C235">
            <v>20</v>
          </cell>
          <cell r="D235" t="str">
            <v>EK65</v>
          </cell>
          <cell r="E235" t="str">
            <v>522689</v>
          </cell>
          <cell r="F235" t="str">
            <v>E</v>
          </cell>
          <cell r="G235" t="str">
            <v>12505638</v>
          </cell>
          <cell r="H235" t="str">
            <v>Gewindeplatte</v>
          </cell>
          <cell r="I235">
            <v>745</v>
          </cell>
          <cell r="J235" t="str">
            <v>Stk</v>
          </cell>
          <cell r="K235">
            <v>45343</v>
          </cell>
          <cell r="L235" t="str">
            <v>829052</v>
          </cell>
          <cell r="M235" t="str">
            <v/>
          </cell>
          <cell r="N235" t="str">
            <v/>
          </cell>
          <cell r="O235" t="str">
            <v/>
          </cell>
          <cell r="P235" t="str">
            <v/>
          </cell>
          <cell r="Q235" t="str">
            <v/>
          </cell>
          <cell r="R235" t="str">
            <v/>
          </cell>
          <cell r="S235" t="str">
            <v/>
          </cell>
          <cell r="T235" t="str">
            <v/>
          </cell>
          <cell r="U235" t="str">
            <v/>
          </cell>
          <cell r="V235" t="str">
            <v>N52</v>
          </cell>
          <cell r="W235" t="str">
            <v/>
          </cell>
          <cell r="X235" t="str">
            <v/>
          </cell>
          <cell r="Y235" t="str">
            <v/>
          </cell>
          <cell r="Z235" t="str">
            <v/>
          </cell>
          <cell r="AA235" t="str">
            <v/>
          </cell>
          <cell r="AB235" t="str">
            <v>PA_2329018-DB.7005-3</v>
          </cell>
          <cell r="AC235">
            <v>1</v>
          </cell>
          <cell r="AD235" t="str">
            <v/>
          </cell>
          <cell r="AE235">
            <v>0</v>
          </cell>
          <cell r="AF235" t="str">
            <v/>
          </cell>
          <cell r="AG235" t="str">
            <v>12505638</v>
          </cell>
          <cell r="AH235">
            <v>44624.981458333335</v>
          </cell>
          <cell r="AI235" t="str">
            <v>N52</v>
          </cell>
          <cell r="AJ235" t="str">
            <v>F</v>
          </cell>
          <cell r="AK235" t="str">
            <v/>
          </cell>
        </row>
        <row r="236">
          <cell r="A236" t="str">
            <v>12506557829053</v>
          </cell>
          <cell r="B236" t="e">
            <v>#N/A</v>
          </cell>
          <cell r="C236">
            <v>24</v>
          </cell>
          <cell r="D236" t="str">
            <v>EK65</v>
          </cell>
          <cell r="E236" t="str">
            <v>522695</v>
          </cell>
          <cell r="F236" t="str">
            <v>E</v>
          </cell>
          <cell r="G236" t="str">
            <v>12506557</v>
          </cell>
          <cell r="H236" t="str">
            <v>Gewindeplatte</v>
          </cell>
          <cell r="I236">
            <v>102</v>
          </cell>
          <cell r="J236" t="str">
            <v>Stk</v>
          </cell>
          <cell r="K236">
            <v>45213</v>
          </cell>
          <cell r="L236" t="str">
            <v>829053</v>
          </cell>
          <cell r="M236" t="str">
            <v/>
          </cell>
          <cell r="N236" t="str">
            <v/>
          </cell>
          <cell r="O236" t="str">
            <v/>
          </cell>
          <cell r="P236" t="str">
            <v/>
          </cell>
          <cell r="Q236" t="str">
            <v/>
          </cell>
          <cell r="R236" t="str">
            <v/>
          </cell>
          <cell r="S236" t="str">
            <v/>
          </cell>
          <cell r="T236" t="str">
            <v/>
          </cell>
          <cell r="U236" t="str">
            <v/>
          </cell>
          <cell r="V236" t="str">
            <v>N52</v>
          </cell>
          <cell r="W236" t="str">
            <v/>
          </cell>
          <cell r="X236" t="str">
            <v/>
          </cell>
          <cell r="Y236" t="str">
            <v/>
          </cell>
          <cell r="Z236" t="str">
            <v/>
          </cell>
          <cell r="AA236" t="str">
            <v/>
          </cell>
          <cell r="AB236" t="str">
            <v>PA_4379199-DB.7005-4</v>
          </cell>
          <cell r="AC236">
            <v>1</v>
          </cell>
          <cell r="AD236" t="str">
            <v/>
          </cell>
          <cell r="AE236">
            <v>0</v>
          </cell>
          <cell r="AF236" t="str">
            <v/>
          </cell>
          <cell r="AG236" t="str">
            <v>12506557</v>
          </cell>
          <cell r="AH236">
            <v>44624.981736111113</v>
          </cell>
          <cell r="AI236" t="str">
            <v>N52</v>
          </cell>
          <cell r="AJ236" t="str">
            <v>F</v>
          </cell>
          <cell r="AK236" t="str">
            <v/>
          </cell>
        </row>
        <row r="237">
          <cell r="A237" t="str">
            <v>12506557829054</v>
          </cell>
          <cell r="B237" t="e">
            <v>#N/A</v>
          </cell>
          <cell r="C237">
            <v>24</v>
          </cell>
          <cell r="D237" t="str">
            <v>EK65</v>
          </cell>
          <cell r="E237" t="str">
            <v>522696</v>
          </cell>
          <cell r="F237" t="str">
            <v>E</v>
          </cell>
          <cell r="G237" t="str">
            <v>12506557</v>
          </cell>
          <cell r="H237" t="str">
            <v>Gewindeplatte</v>
          </cell>
          <cell r="I237">
            <v>30</v>
          </cell>
          <cell r="J237" t="str">
            <v>Stk</v>
          </cell>
          <cell r="K237">
            <v>45245</v>
          </cell>
          <cell r="L237" t="str">
            <v>829054</v>
          </cell>
          <cell r="M237" t="str">
            <v/>
          </cell>
          <cell r="N237" t="str">
            <v/>
          </cell>
          <cell r="O237" t="str">
            <v/>
          </cell>
          <cell r="P237" t="str">
            <v/>
          </cell>
          <cell r="Q237" t="str">
            <v/>
          </cell>
          <cell r="R237" t="str">
            <v/>
          </cell>
          <cell r="S237" t="str">
            <v/>
          </cell>
          <cell r="T237" t="str">
            <v/>
          </cell>
          <cell r="U237" t="str">
            <v/>
          </cell>
          <cell r="V237" t="str">
            <v>N52</v>
          </cell>
          <cell r="W237" t="str">
            <v/>
          </cell>
          <cell r="X237" t="str">
            <v/>
          </cell>
          <cell r="Y237" t="str">
            <v/>
          </cell>
          <cell r="Z237" t="str">
            <v/>
          </cell>
          <cell r="AA237" t="str">
            <v/>
          </cell>
          <cell r="AB237" t="str">
            <v>PA_4379199-DB.7005-4</v>
          </cell>
          <cell r="AC237">
            <v>1</v>
          </cell>
          <cell r="AD237" t="str">
            <v/>
          </cell>
          <cell r="AE237">
            <v>0</v>
          </cell>
          <cell r="AF237" t="str">
            <v/>
          </cell>
          <cell r="AG237" t="str">
            <v>12506557</v>
          </cell>
          <cell r="AH237">
            <v>44624.981736111113</v>
          </cell>
          <cell r="AI237" t="str">
            <v>N52</v>
          </cell>
          <cell r="AJ237" t="str">
            <v>F</v>
          </cell>
          <cell r="AK237" t="str">
            <v/>
          </cell>
        </row>
        <row r="238">
          <cell r="A238" t="str">
            <v>12506557829051</v>
          </cell>
          <cell r="B238" t="e">
            <v>#N/A</v>
          </cell>
          <cell r="C238">
            <v>24</v>
          </cell>
          <cell r="D238" t="str">
            <v>EK65</v>
          </cell>
          <cell r="E238" t="str">
            <v>522697</v>
          </cell>
          <cell r="F238" t="str">
            <v>E</v>
          </cell>
          <cell r="G238" t="str">
            <v>12506557</v>
          </cell>
          <cell r="H238" t="str">
            <v>Gewindeplatte</v>
          </cell>
          <cell r="I238">
            <v>170</v>
          </cell>
          <cell r="J238" t="str">
            <v>Stk</v>
          </cell>
          <cell r="K238">
            <v>45351</v>
          </cell>
          <cell r="L238" t="str">
            <v>829051</v>
          </cell>
          <cell r="M238" t="str">
            <v/>
          </cell>
          <cell r="N238" t="str">
            <v/>
          </cell>
          <cell r="O238" t="str">
            <v/>
          </cell>
          <cell r="P238" t="str">
            <v/>
          </cell>
          <cell r="Q238" t="str">
            <v/>
          </cell>
          <cell r="R238" t="str">
            <v/>
          </cell>
          <cell r="S238" t="str">
            <v/>
          </cell>
          <cell r="T238" t="str">
            <v/>
          </cell>
          <cell r="U238" t="str">
            <v/>
          </cell>
          <cell r="V238" t="str">
            <v>N52</v>
          </cell>
          <cell r="W238" t="str">
            <v/>
          </cell>
          <cell r="X238" t="str">
            <v/>
          </cell>
          <cell r="Y238" t="str">
            <v/>
          </cell>
          <cell r="Z238" t="str">
            <v/>
          </cell>
          <cell r="AA238" t="str">
            <v/>
          </cell>
          <cell r="AB238" t="str">
            <v>PA_4379199-DB.7005-4</v>
          </cell>
          <cell r="AC238">
            <v>1</v>
          </cell>
          <cell r="AD238" t="str">
            <v/>
          </cell>
          <cell r="AE238">
            <v>0</v>
          </cell>
          <cell r="AF238" t="str">
            <v/>
          </cell>
          <cell r="AG238" t="str">
            <v>12506557</v>
          </cell>
          <cell r="AH238">
            <v>44624.981736111113</v>
          </cell>
          <cell r="AI238" t="str">
            <v>N52</v>
          </cell>
          <cell r="AJ238" t="str">
            <v>F</v>
          </cell>
          <cell r="AK238" t="str">
            <v/>
          </cell>
        </row>
        <row r="239">
          <cell r="A239" t="str">
            <v>12510100829053</v>
          </cell>
          <cell r="B239" t="e">
            <v>#N/A</v>
          </cell>
          <cell r="C239">
            <v>14</v>
          </cell>
          <cell r="D239" t="str">
            <v>EK65</v>
          </cell>
          <cell r="E239" t="str">
            <v>522701</v>
          </cell>
          <cell r="F239" t="str">
            <v>E</v>
          </cell>
          <cell r="G239" t="str">
            <v>12510100</v>
          </cell>
          <cell r="H239" t="str">
            <v>Beilage</v>
          </cell>
          <cell r="I239">
            <v>102</v>
          </cell>
          <cell r="J239" t="str">
            <v>Stk</v>
          </cell>
          <cell r="K239">
            <v>45213</v>
          </cell>
          <cell r="L239" t="str">
            <v>829053</v>
          </cell>
          <cell r="M239" t="str">
            <v/>
          </cell>
          <cell r="N239" t="str">
            <v/>
          </cell>
          <cell r="O239" t="str">
            <v/>
          </cell>
          <cell r="P239" t="str">
            <v/>
          </cell>
          <cell r="Q239" t="str">
            <v/>
          </cell>
          <cell r="R239" t="str">
            <v/>
          </cell>
          <cell r="S239" t="str">
            <v/>
          </cell>
          <cell r="T239" t="str">
            <v/>
          </cell>
          <cell r="U239" t="str">
            <v/>
          </cell>
          <cell r="V239" t="str">
            <v>N52</v>
          </cell>
          <cell r="W239" t="str">
            <v/>
          </cell>
          <cell r="X239" t="str">
            <v/>
          </cell>
          <cell r="Y239" t="str">
            <v/>
          </cell>
          <cell r="Z239" t="str">
            <v/>
          </cell>
          <cell r="AA239" t="str">
            <v/>
          </cell>
          <cell r="AB239" t="str">
            <v>PA_4432308-DB.7005-4</v>
          </cell>
          <cell r="AC239">
            <v>1</v>
          </cell>
          <cell r="AD239" t="str">
            <v/>
          </cell>
          <cell r="AE239">
            <v>0</v>
          </cell>
          <cell r="AF239" t="str">
            <v/>
          </cell>
          <cell r="AG239" t="str">
            <v>12510100</v>
          </cell>
          <cell r="AH239">
            <v>44624.983078703706</v>
          </cell>
          <cell r="AI239" t="str">
            <v>N52</v>
          </cell>
          <cell r="AJ239" t="str">
            <v>F</v>
          </cell>
          <cell r="AK239" t="str">
            <v/>
          </cell>
        </row>
        <row r="240">
          <cell r="A240" t="str">
            <v>12510100829051</v>
          </cell>
          <cell r="B240" t="str">
            <v>BL20230413-2</v>
          </cell>
          <cell r="C240">
            <v>14</v>
          </cell>
          <cell r="D240" t="str">
            <v>EK65</v>
          </cell>
          <cell r="E240" t="str">
            <v>522702</v>
          </cell>
          <cell r="F240" t="str">
            <v>E</v>
          </cell>
          <cell r="G240" t="str">
            <v>12510100</v>
          </cell>
          <cell r="H240" t="str">
            <v>Beilage</v>
          </cell>
          <cell r="I240">
            <v>170</v>
          </cell>
          <cell r="J240" t="str">
            <v>Stk</v>
          </cell>
          <cell r="K240">
            <v>45342</v>
          </cell>
          <cell r="L240" t="str">
            <v>829051</v>
          </cell>
          <cell r="M240" t="str">
            <v/>
          </cell>
          <cell r="N240" t="str">
            <v/>
          </cell>
          <cell r="O240" t="str">
            <v/>
          </cell>
          <cell r="P240" t="str">
            <v/>
          </cell>
          <cell r="Q240" t="str">
            <v/>
          </cell>
          <cell r="R240" t="str">
            <v/>
          </cell>
          <cell r="S240" t="str">
            <v/>
          </cell>
          <cell r="T240" t="str">
            <v/>
          </cell>
          <cell r="U240" t="str">
            <v/>
          </cell>
          <cell r="V240" t="str">
            <v>N52</v>
          </cell>
          <cell r="W240" t="str">
            <v/>
          </cell>
          <cell r="X240" t="str">
            <v/>
          </cell>
          <cell r="Y240" t="str">
            <v/>
          </cell>
          <cell r="Z240" t="str">
            <v/>
          </cell>
          <cell r="AA240" t="str">
            <v/>
          </cell>
          <cell r="AB240" t="str">
            <v>PA_4432308-DB.7005-4</v>
          </cell>
          <cell r="AC240">
            <v>1</v>
          </cell>
          <cell r="AD240" t="str">
            <v/>
          </cell>
          <cell r="AE240">
            <v>0</v>
          </cell>
          <cell r="AF240" t="str">
            <v/>
          </cell>
          <cell r="AG240" t="str">
            <v>12510100</v>
          </cell>
          <cell r="AH240">
            <v>44624.983078703706</v>
          </cell>
          <cell r="AI240" t="str">
            <v>N52</v>
          </cell>
          <cell r="AJ240" t="str">
            <v>F</v>
          </cell>
          <cell r="AK240" t="str">
            <v/>
          </cell>
        </row>
        <row r="241">
          <cell r="A241" t="str">
            <v>12510173829054</v>
          </cell>
          <cell r="B241" t="e">
            <v>#N/A</v>
          </cell>
          <cell r="C241">
            <v>24</v>
          </cell>
          <cell r="D241" t="str">
            <v>EK65</v>
          </cell>
          <cell r="E241" t="str">
            <v>522703</v>
          </cell>
          <cell r="F241" t="str">
            <v>E</v>
          </cell>
          <cell r="G241" t="str">
            <v>12510173</v>
          </cell>
          <cell r="H241" t="str">
            <v>Winkel</v>
          </cell>
          <cell r="I241">
            <v>1515</v>
          </cell>
          <cell r="J241" t="str">
            <v>Stk</v>
          </cell>
          <cell r="K241">
            <v>45195</v>
          </cell>
          <cell r="L241" t="str">
            <v>829054</v>
          </cell>
          <cell r="M241" t="str">
            <v/>
          </cell>
          <cell r="N241" t="str">
            <v/>
          </cell>
          <cell r="O241" t="str">
            <v/>
          </cell>
          <cell r="P241" t="str">
            <v/>
          </cell>
          <cell r="Q241" t="str">
            <v/>
          </cell>
          <cell r="R241" t="str">
            <v/>
          </cell>
          <cell r="S241" t="str">
            <v/>
          </cell>
          <cell r="T241" t="str">
            <v/>
          </cell>
          <cell r="U241" t="str">
            <v/>
          </cell>
          <cell r="V241" t="str">
            <v>N52</v>
          </cell>
          <cell r="W241" t="str">
            <v/>
          </cell>
          <cell r="X241" t="str">
            <v/>
          </cell>
          <cell r="Y241" t="str">
            <v/>
          </cell>
          <cell r="Z241" t="str">
            <v/>
          </cell>
          <cell r="AA241" t="str">
            <v/>
          </cell>
          <cell r="AB241" t="str">
            <v>PA_4439721-DB.7005-3</v>
          </cell>
          <cell r="AC241">
            <v>4</v>
          </cell>
          <cell r="AD241" t="str">
            <v/>
          </cell>
          <cell r="AE241">
            <v>0</v>
          </cell>
          <cell r="AF241" t="str">
            <v/>
          </cell>
          <cell r="AG241" t="str">
            <v>12510173</v>
          </cell>
          <cell r="AH241">
            <v>44624.983124999999</v>
          </cell>
          <cell r="AI241" t="str">
            <v>N52</v>
          </cell>
          <cell r="AJ241" t="str">
            <v>F</v>
          </cell>
          <cell r="AK241" t="str">
            <v/>
          </cell>
        </row>
        <row r="242">
          <cell r="A242" t="str">
            <v>12510173829053</v>
          </cell>
          <cell r="B242" t="e">
            <v>#N/A</v>
          </cell>
          <cell r="C242">
            <v>24</v>
          </cell>
          <cell r="D242" t="str">
            <v>EK65</v>
          </cell>
          <cell r="E242" t="str">
            <v>522704</v>
          </cell>
          <cell r="F242" t="str">
            <v>E</v>
          </cell>
          <cell r="G242" t="str">
            <v>12510173</v>
          </cell>
          <cell r="H242" t="str">
            <v>Winkel</v>
          </cell>
          <cell r="I242">
            <v>3630</v>
          </cell>
          <cell r="J242" t="str">
            <v>Stk</v>
          </cell>
          <cell r="K242">
            <v>45205</v>
          </cell>
          <cell r="L242" t="str">
            <v>829053</v>
          </cell>
          <cell r="M242" t="str">
            <v/>
          </cell>
          <cell r="N242" t="str">
            <v/>
          </cell>
          <cell r="O242" t="str">
            <v/>
          </cell>
          <cell r="P242" t="str">
            <v/>
          </cell>
          <cell r="Q242" t="str">
            <v/>
          </cell>
          <cell r="R242" t="str">
            <v/>
          </cell>
          <cell r="S242" t="str">
            <v/>
          </cell>
          <cell r="T242" t="str">
            <v/>
          </cell>
          <cell r="U242" t="str">
            <v/>
          </cell>
          <cell r="V242" t="str">
            <v>N52</v>
          </cell>
          <cell r="W242" t="str">
            <v/>
          </cell>
          <cell r="X242" t="str">
            <v/>
          </cell>
          <cell r="Y242" t="str">
            <v/>
          </cell>
          <cell r="Z242" t="str">
            <v/>
          </cell>
          <cell r="AA242" t="str">
            <v/>
          </cell>
          <cell r="AB242" t="str">
            <v>PA_4439721-DB.7005-3</v>
          </cell>
          <cell r="AC242">
            <v>4</v>
          </cell>
          <cell r="AD242" t="str">
            <v/>
          </cell>
          <cell r="AE242">
            <v>0</v>
          </cell>
          <cell r="AF242" t="str">
            <v/>
          </cell>
          <cell r="AG242" t="str">
            <v>12510173</v>
          </cell>
          <cell r="AH242">
            <v>44624.983124999999</v>
          </cell>
          <cell r="AI242" t="str">
            <v>N52</v>
          </cell>
          <cell r="AJ242" t="str">
            <v>F</v>
          </cell>
          <cell r="AK242" t="str">
            <v/>
          </cell>
        </row>
        <row r="243">
          <cell r="A243" t="str">
            <v>12510173829051</v>
          </cell>
          <cell r="B243" t="e">
            <v>#N/A</v>
          </cell>
          <cell r="C243">
            <v>24</v>
          </cell>
          <cell r="D243" t="str">
            <v>EK65</v>
          </cell>
          <cell r="E243" t="str">
            <v>522705</v>
          </cell>
          <cell r="F243" t="str">
            <v>E</v>
          </cell>
          <cell r="G243" t="str">
            <v>12510173</v>
          </cell>
          <cell r="H243" t="str">
            <v>Winkel</v>
          </cell>
          <cell r="I243">
            <v>10162</v>
          </cell>
          <cell r="J243" t="str">
            <v>Stk</v>
          </cell>
          <cell r="K243">
            <v>45317</v>
          </cell>
          <cell r="L243" t="str">
            <v>829051</v>
          </cell>
          <cell r="M243" t="str">
            <v/>
          </cell>
          <cell r="N243" t="str">
            <v/>
          </cell>
          <cell r="O243" t="str">
            <v/>
          </cell>
          <cell r="P243" t="str">
            <v/>
          </cell>
          <cell r="Q243" t="str">
            <v/>
          </cell>
          <cell r="R243" t="str">
            <v/>
          </cell>
          <cell r="S243" t="str">
            <v/>
          </cell>
          <cell r="T243" t="str">
            <v/>
          </cell>
          <cell r="U243" t="str">
            <v/>
          </cell>
          <cell r="V243" t="str">
            <v>N52</v>
          </cell>
          <cell r="W243" t="str">
            <v/>
          </cell>
          <cell r="X243" t="str">
            <v/>
          </cell>
          <cell r="Y243" t="str">
            <v/>
          </cell>
          <cell r="Z243" t="str">
            <v/>
          </cell>
          <cell r="AA243" t="str">
            <v/>
          </cell>
          <cell r="AB243" t="str">
            <v>PA_4439721-DB.7005-3</v>
          </cell>
          <cell r="AC243">
            <v>4</v>
          </cell>
          <cell r="AD243" t="str">
            <v/>
          </cell>
          <cell r="AE243">
            <v>0</v>
          </cell>
          <cell r="AF243" t="str">
            <v/>
          </cell>
          <cell r="AG243" t="str">
            <v>12510173</v>
          </cell>
          <cell r="AH243">
            <v>44624.983124999999</v>
          </cell>
          <cell r="AI243" t="str">
            <v>N52</v>
          </cell>
          <cell r="AJ243" t="str">
            <v>F</v>
          </cell>
          <cell r="AK243" t="str">
            <v/>
          </cell>
        </row>
        <row r="244">
          <cell r="A244" t="str">
            <v>12510173829052</v>
          </cell>
          <cell r="B244" t="e">
            <v>#N/A</v>
          </cell>
          <cell r="C244">
            <v>24</v>
          </cell>
          <cell r="D244" t="str">
            <v>EK65</v>
          </cell>
          <cell r="E244" t="str">
            <v>522706</v>
          </cell>
          <cell r="F244" t="str">
            <v>E</v>
          </cell>
          <cell r="G244" t="str">
            <v>12510173</v>
          </cell>
          <cell r="H244" t="str">
            <v>Winkel</v>
          </cell>
          <cell r="I244">
            <v>5241</v>
          </cell>
          <cell r="J244" t="str">
            <v>Stk</v>
          </cell>
          <cell r="K244">
            <v>45350</v>
          </cell>
          <cell r="L244" t="str">
            <v>829052</v>
          </cell>
          <cell r="M244" t="str">
            <v/>
          </cell>
          <cell r="N244" t="str">
            <v/>
          </cell>
          <cell r="O244" t="str">
            <v/>
          </cell>
          <cell r="P244" t="str">
            <v/>
          </cell>
          <cell r="Q244" t="str">
            <v/>
          </cell>
          <cell r="R244" t="str">
            <v/>
          </cell>
          <cell r="S244" t="str">
            <v/>
          </cell>
          <cell r="T244" t="str">
            <v/>
          </cell>
          <cell r="U244" t="str">
            <v/>
          </cell>
          <cell r="V244" t="str">
            <v>N52</v>
          </cell>
          <cell r="W244" t="str">
            <v/>
          </cell>
          <cell r="X244" t="str">
            <v/>
          </cell>
          <cell r="Y244" t="str">
            <v/>
          </cell>
          <cell r="Z244" t="str">
            <v/>
          </cell>
          <cell r="AA244" t="str">
            <v/>
          </cell>
          <cell r="AB244" t="str">
            <v>PA_4439721-DB.7005-3</v>
          </cell>
          <cell r="AC244">
            <v>4</v>
          </cell>
          <cell r="AD244" t="str">
            <v/>
          </cell>
          <cell r="AE244">
            <v>0</v>
          </cell>
          <cell r="AF244" t="str">
            <v/>
          </cell>
          <cell r="AG244" t="str">
            <v>12510173</v>
          </cell>
          <cell r="AH244">
            <v>44624.983124999999</v>
          </cell>
          <cell r="AI244" t="str">
            <v>N52</v>
          </cell>
          <cell r="AJ244" t="str">
            <v>F</v>
          </cell>
          <cell r="AK244" t="str">
            <v/>
          </cell>
        </row>
        <row r="245">
          <cell r="A245" t="str">
            <v>12510206829053</v>
          </cell>
          <cell r="B245" t="e">
            <v>#N/A</v>
          </cell>
          <cell r="C245">
            <v>12</v>
          </cell>
          <cell r="D245" t="str">
            <v>EK65</v>
          </cell>
          <cell r="E245" t="str">
            <v>522707</v>
          </cell>
          <cell r="F245" t="str">
            <v>E</v>
          </cell>
          <cell r="G245" t="str">
            <v>12510206</v>
          </cell>
          <cell r="H245" t="str">
            <v>Winkel</v>
          </cell>
          <cell r="I245">
            <v>722</v>
          </cell>
          <cell r="J245" t="str">
            <v>Stk</v>
          </cell>
          <cell r="K245">
            <v>45205</v>
          </cell>
          <cell r="L245" t="str">
            <v>829053</v>
          </cell>
          <cell r="M245" t="str">
            <v/>
          </cell>
          <cell r="N245" t="str">
            <v/>
          </cell>
          <cell r="O245" t="str">
            <v/>
          </cell>
          <cell r="P245" t="str">
            <v/>
          </cell>
          <cell r="Q245" t="str">
            <v/>
          </cell>
          <cell r="R245" t="str">
            <v/>
          </cell>
          <cell r="S245" t="str">
            <v/>
          </cell>
          <cell r="T245" t="str">
            <v/>
          </cell>
          <cell r="U245" t="str">
            <v/>
          </cell>
          <cell r="V245" t="str">
            <v>N52</v>
          </cell>
          <cell r="W245" t="str">
            <v/>
          </cell>
          <cell r="X245" t="str">
            <v/>
          </cell>
          <cell r="Y245" t="str">
            <v/>
          </cell>
          <cell r="Z245" t="str">
            <v/>
          </cell>
          <cell r="AA245" t="str">
            <v/>
          </cell>
          <cell r="AB245" t="str">
            <v>PA_4452841-DB.7005-3</v>
          </cell>
          <cell r="AC245">
            <v>1</v>
          </cell>
          <cell r="AD245" t="str">
            <v/>
          </cell>
          <cell r="AE245">
            <v>0</v>
          </cell>
          <cell r="AF245" t="str">
            <v/>
          </cell>
          <cell r="AG245" t="str">
            <v>12510206</v>
          </cell>
          <cell r="AH245">
            <v>44624.983182870368</v>
          </cell>
          <cell r="AI245" t="str">
            <v>N52</v>
          </cell>
          <cell r="AJ245" t="str">
            <v>F</v>
          </cell>
          <cell r="AK245" t="str">
            <v/>
          </cell>
        </row>
        <row r="246">
          <cell r="A246" t="str">
            <v>12510206829054</v>
          </cell>
          <cell r="B246" t="e">
            <v>#N/A</v>
          </cell>
          <cell r="C246">
            <v>12</v>
          </cell>
          <cell r="D246" t="str">
            <v>EK65</v>
          </cell>
          <cell r="E246" t="str">
            <v>522708</v>
          </cell>
          <cell r="F246" t="str">
            <v>E</v>
          </cell>
          <cell r="G246" t="str">
            <v>12510206</v>
          </cell>
          <cell r="H246" t="str">
            <v>Winkel</v>
          </cell>
          <cell r="I246">
            <v>499</v>
          </cell>
          <cell r="J246" t="str">
            <v>Stk</v>
          </cell>
          <cell r="K246">
            <v>45213</v>
          </cell>
          <cell r="L246" t="str">
            <v>829054</v>
          </cell>
          <cell r="M246" t="str">
            <v/>
          </cell>
          <cell r="N246" t="str">
            <v/>
          </cell>
          <cell r="O246" t="str">
            <v/>
          </cell>
          <cell r="P246" t="str">
            <v/>
          </cell>
          <cell r="Q246" t="str">
            <v/>
          </cell>
          <cell r="R246" t="str">
            <v/>
          </cell>
          <cell r="S246" t="str">
            <v/>
          </cell>
          <cell r="T246" t="str">
            <v/>
          </cell>
          <cell r="U246" t="str">
            <v/>
          </cell>
          <cell r="V246" t="str">
            <v>N52</v>
          </cell>
          <cell r="W246" t="str">
            <v/>
          </cell>
          <cell r="X246" t="str">
            <v/>
          </cell>
          <cell r="Y246" t="str">
            <v/>
          </cell>
          <cell r="Z246" t="str">
            <v/>
          </cell>
          <cell r="AA246" t="str">
            <v/>
          </cell>
          <cell r="AB246" t="str">
            <v>PA_4452841-DB.7005-3</v>
          </cell>
          <cell r="AC246">
            <v>1</v>
          </cell>
          <cell r="AD246" t="str">
            <v/>
          </cell>
          <cell r="AE246">
            <v>0</v>
          </cell>
          <cell r="AF246" t="str">
            <v/>
          </cell>
          <cell r="AG246" t="str">
            <v>12510206</v>
          </cell>
          <cell r="AH246">
            <v>44624.983182870368</v>
          </cell>
          <cell r="AI246" t="str">
            <v>N52</v>
          </cell>
          <cell r="AJ246" t="str">
            <v>F</v>
          </cell>
          <cell r="AK246" t="str">
            <v/>
          </cell>
        </row>
        <row r="247">
          <cell r="A247" t="str">
            <v>12517250829053</v>
          </cell>
          <cell r="B247" t="e">
            <v>#N/A</v>
          </cell>
          <cell r="C247">
            <v>24</v>
          </cell>
          <cell r="D247" t="str">
            <v>EK65</v>
          </cell>
          <cell r="E247" t="str">
            <v>522713</v>
          </cell>
          <cell r="F247" t="str">
            <v>E</v>
          </cell>
          <cell r="G247" t="str">
            <v>12517250</v>
          </cell>
          <cell r="H247" t="str">
            <v>Unterlagsblech</v>
          </cell>
          <cell r="I247">
            <v>567</v>
          </cell>
          <cell r="J247" t="str">
            <v>Stk</v>
          </cell>
          <cell r="K247">
            <v>45209</v>
          </cell>
          <cell r="L247" t="str">
            <v>829053</v>
          </cell>
          <cell r="M247" t="str">
            <v/>
          </cell>
          <cell r="N247" t="str">
            <v/>
          </cell>
          <cell r="O247" t="str">
            <v/>
          </cell>
          <cell r="P247" t="str">
            <v/>
          </cell>
          <cell r="Q247" t="str">
            <v/>
          </cell>
          <cell r="R247" t="str">
            <v/>
          </cell>
          <cell r="S247" t="str">
            <v/>
          </cell>
          <cell r="T247" t="str">
            <v/>
          </cell>
          <cell r="U247" t="str">
            <v/>
          </cell>
          <cell r="V247" t="str">
            <v>N52</v>
          </cell>
          <cell r="W247" t="str">
            <v/>
          </cell>
          <cell r="X247" t="str">
            <v/>
          </cell>
          <cell r="Y247" t="str">
            <v/>
          </cell>
          <cell r="Z247" t="str">
            <v/>
          </cell>
          <cell r="AA247" t="str">
            <v/>
          </cell>
          <cell r="AB247" t="str">
            <v>PA_4353250-UA.7005-4</v>
          </cell>
          <cell r="AC247">
            <v>1</v>
          </cell>
          <cell r="AD247" t="str">
            <v/>
          </cell>
          <cell r="AE247">
            <v>0</v>
          </cell>
          <cell r="AF247" t="str">
            <v/>
          </cell>
          <cell r="AG247" t="str">
            <v>12517250</v>
          </cell>
          <cell r="AH247">
            <v>44624.984849537039</v>
          </cell>
          <cell r="AI247" t="str">
            <v>N52</v>
          </cell>
          <cell r="AJ247" t="str">
            <v>F</v>
          </cell>
          <cell r="AK247" t="str">
            <v/>
          </cell>
        </row>
        <row r="248">
          <cell r="A248" t="str">
            <v>12517250829054</v>
          </cell>
          <cell r="B248" t="e">
            <v>#N/A</v>
          </cell>
          <cell r="C248">
            <v>24</v>
          </cell>
          <cell r="D248" t="str">
            <v>EK65</v>
          </cell>
          <cell r="E248" t="str">
            <v>522714</v>
          </cell>
          <cell r="F248" t="str">
            <v>E</v>
          </cell>
          <cell r="G248" t="str">
            <v>12517250</v>
          </cell>
          <cell r="H248" t="str">
            <v>Unterlagsblech</v>
          </cell>
          <cell r="I248">
            <v>225</v>
          </cell>
          <cell r="J248" t="str">
            <v>Stk</v>
          </cell>
          <cell r="K248">
            <v>45211</v>
          </cell>
          <cell r="L248" t="str">
            <v>829054</v>
          </cell>
          <cell r="M248" t="str">
            <v/>
          </cell>
          <cell r="N248" t="str">
            <v/>
          </cell>
          <cell r="O248" t="str">
            <v/>
          </cell>
          <cell r="P248" t="str">
            <v/>
          </cell>
          <cell r="Q248" t="str">
            <v/>
          </cell>
          <cell r="R248" t="str">
            <v/>
          </cell>
          <cell r="S248" t="str">
            <v/>
          </cell>
          <cell r="T248" t="str">
            <v/>
          </cell>
          <cell r="U248" t="str">
            <v/>
          </cell>
          <cell r="V248" t="str">
            <v>N52</v>
          </cell>
          <cell r="W248" t="str">
            <v/>
          </cell>
          <cell r="X248" t="str">
            <v/>
          </cell>
          <cell r="Y248" t="str">
            <v/>
          </cell>
          <cell r="Z248" t="str">
            <v/>
          </cell>
          <cell r="AA248" t="str">
            <v/>
          </cell>
          <cell r="AB248" t="str">
            <v>PA_4353250-UA.7005-4</v>
          </cell>
          <cell r="AC248">
            <v>1</v>
          </cell>
          <cell r="AD248" t="str">
            <v/>
          </cell>
          <cell r="AE248">
            <v>0</v>
          </cell>
          <cell r="AF248" t="str">
            <v/>
          </cell>
          <cell r="AG248" t="str">
            <v>12517250</v>
          </cell>
          <cell r="AH248">
            <v>44624.984849537039</v>
          </cell>
          <cell r="AI248" t="str">
            <v>N52</v>
          </cell>
          <cell r="AJ248" t="str">
            <v>F</v>
          </cell>
          <cell r="AK248" t="str">
            <v/>
          </cell>
        </row>
        <row r="249">
          <cell r="A249" t="str">
            <v>12517251829053</v>
          </cell>
          <cell r="B249" t="e">
            <v>#N/A</v>
          </cell>
          <cell r="C249">
            <v>12</v>
          </cell>
          <cell r="D249" t="str">
            <v>EK65</v>
          </cell>
          <cell r="E249" t="str">
            <v>522715</v>
          </cell>
          <cell r="F249" t="str">
            <v>E</v>
          </cell>
          <cell r="G249" t="str">
            <v>12517251</v>
          </cell>
          <cell r="H249" t="str">
            <v>Abdeckung</v>
          </cell>
          <cell r="I249">
            <v>51</v>
          </cell>
          <cell r="J249" t="str">
            <v>Stk</v>
          </cell>
          <cell r="K249">
            <v>45211</v>
          </cell>
          <cell r="L249" t="str">
            <v>829053</v>
          </cell>
          <cell r="M249" t="str">
            <v/>
          </cell>
          <cell r="N249" t="str">
            <v/>
          </cell>
          <cell r="O249" t="str">
            <v/>
          </cell>
          <cell r="P249" t="str">
            <v/>
          </cell>
          <cell r="Q249" t="str">
            <v/>
          </cell>
          <cell r="R249" t="str">
            <v/>
          </cell>
          <cell r="S249" t="str">
            <v/>
          </cell>
          <cell r="T249" t="str">
            <v/>
          </cell>
          <cell r="U249" t="str">
            <v/>
          </cell>
          <cell r="V249" t="str">
            <v>N52</v>
          </cell>
          <cell r="W249" t="str">
            <v/>
          </cell>
          <cell r="X249" t="str">
            <v/>
          </cell>
          <cell r="Y249" t="str">
            <v/>
          </cell>
          <cell r="Z249" t="str">
            <v/>
          </cell>
          <cell r="AA249" t="str">
            <v/>
          </cell>
          <cell r="AB249" t="str">
            <v>PA_4368268-UA.7005-3</v>
          </cell>
          <cell r="AC249">
            <v>1</v>
          </cell>
          <cell r="AD249" t="str">
            <v/>
          </cell>
          <cell r="AE249">
            <v>0</v>
          </cell>
          <cell r="AF249" t="str">
            <v/>
          </cell>
          <cell r="AG249" t="str">
            <v>12517251</v>
          </cell>
          <cell r="AH249">
            <v>44624.984884259262</v>
          </cell>
          <cell r="AI249" t="str">
            <v>N52</v>
          </cell>
          <cell r="AJ249" t="str">
            <v>F</v>
          </cell>
          <cell r="AK249" t="str">
            <v/>
          </cell>
        </row>
        <row r="250">
          <cell r="A250" t="str">
            <v>12517251829054</v>
          </cell>
          <cell r="B250" t="e">
            <v>#N/A</v>
          </cell>
          <cell r="C250">
            <v>12</v>
          </cell>
          <cell r="D250" t="str">
            <v>EK65</v>
          </cell>
          <cell r="E250" t="str">
            <v>522716</v>
          </cell>
          <cell r="F250" t="str">
            <v>E</v>
          </cell>
          <cell r="G250" t="str">
            <v>12517251</v>
          </cell>
          <cell r="H250" t="str">
            <v>Abdeckung</v>
          </cell>
          <cell r="I250">
            <v>35</v>
          </cell>
          <cell r="J250" t="str">
            <v>Stk</v>
          </cell>
          <cell r="K250">
            <v>45213</v>
          </cell>
          <cell r="L250" t="str">
            <v>829054</v>
          </cell>
          <cell r="M250" t="str">
            <v/>
          </cell>
          <cell r="N250" t="str">
            <v/>
          </cell>
          <cell r="O250" t="str">
            <v/>
          </cell>
          <cell r="P250" t="str">
            <v/>
          </cell>
          <cell r="Q250" t="str">
            <v/>
          </cell>
          <cell r="R250" t="str">
            <v/>
          </cell>
          <cell r="S250" t="str">
            <v/>
          </cell>
          <cell r="T250" t="str">
            <v/>
          </cell>
          <cell r="U250" t="str">
            <v/>
          </cell>
          <cell r="V250" t="str">
            <v>N52</v>
          </cell>
          <cell r="W250" t="str">
            <v/>
          </cell>
          <cell r="X250" t="str">
            <v/>
          </cell>
          <cell r="Y250" t="str">
            <v/>
          </cell>
          <cell r="Z250" t="str">
            <v/>
          </cell>
          <cell r="AA250" t="str">
            <v/>
          </cell>
          <cell r="AB250" t="str">
            <v>PA_4368268-UA.7005-3</v>
          </cell>
          <cell r="AC250">
            <v>1</v>
          </cell>
          <cell r="AD250" t="str">
            <v/>
          </cell>
          <cell r="AE250">
            <v>0</v>
          </cell>
          <cell r="AF250" t="str">
            <v/>
          </cell>
          <cell r="AG250" t="str">
            <v>12517251</v>
          </cell>
          <cell r="AH250">
            <v>44624.984884259262</v>
          </cell>
          <cell r="AI250" t="str">
            <v>N52</v>
          </cell>
          <cell r="AJ250" t="str">
            <v>F</v>
          </cell>
          <cell r="AK250" t="str">
            <v/>
          </cell>
        </row>
        <row r="251">
          <cell r="A251" t="str">
            <v>12517668829053</v>
          </cell>
          <cell r="B251" t="e">
            <v>#N/A</v>
          </cell>
          <cell r="C251">
            <v>26</v>
          </cell>
          <cell r="D251" t="str">
            <v>EK65</v>
          </cell>
          <cell r="E251" t="str">
            <v>522717</v>
          </cell>
          <cell r="F251" t="str">
            <v>E</v>
          </cell>
          <cell r="G251" t="str">
            <v>12517668</v>
          </cell>
          <cell r="H251" t="str">
            <v>Wandlerhalter vollst.</v>
          </cell>
          <cell r="I251">
            <v>21</v>
          </cell>
          <cell r="J251" t="str">
            <v>Stk</v>
          </cell>
          <cell r="K251">
            <v>45174</v>
          </cell>
          <cell r="L251" t="str">
            <v>829053</v>
          </cell>
          <cell r="M251" t="str">
            <v/>
          </cell>
          <cell r="N251" t="str">
            <v/>
          </cell>
          <cell r="O251" t="str">
            <v/>
          </cell>
          <cell r="P251" t="str">
            <v/>
          </cell>
          <cell r="Q251" t="str">
            <v/>
          </cell>
          <cell r="R251" t="str">
            <v/>
          </cell>
          <cell r="S251" t="str">
            <v/>
          </cell>
          <cell r="T251" t="str">
            <v/>
          </cell>
          <cell r="U251" t="str">
            <v/>
          </cell>
          <cell r="V251" t="str">
            <v>N52</v>
          </cell>
          <cell r="W251" t="str">
            <v/>
          </cell>
          <cell r="X251" t="str">
            <v/>
          </cell>
          <cell r="Y251" t="str">
            <v/>
          </cell>
          <cell r="Z251" t="str">
            <v/>
          </cell>
          <cell r="AA251" t="str">
            <v/>
          </cell>
          <cell r="AB251" t="str">
            <v>PA_4469058-UA.7005-3</v>
          </cell>
          <cell r="AC251">
            <v>1</v>
          </cell>
          <cell r="AD251" t="str">
            <v/>
          </cell>
          <cell r="AE251">
            <v>0</v>
          </cell>
          <cell r="AF251" t="str">
            <v/>
          </cell>
          <cell r="AG251" t="str">
            <v>12517668</v>
          </cell>
          <cell r="AH251">
            <v>44624.985069444447</v>
          </cell>
          <cell r="AI251" t="str">
            <v>N52</v>
          </cell>
          <cell r="AJ251" t="str">
            <v>F</v>
          </cell>
          <cell r="AK251" t="str">
            <v/>
          </cell>
        </row>
        <row r="252">
          <cell r="A252" t="str">
            <v>12517683829053</v>
          </cell>
          <cell r="B252" t="e">
            <v>#N/A</v>
          </cell>
          <cell r="C252">
            <v>10</v>
          </cell>
          <cell r="D252" t="str">
            <v>EK65</v>
          </cell>
          <cell r="E252" t="str">
            <v>522720</v>
          </cell>
          <cell r="F252" t="str">
            <v>E</v>
          </cell>
          <cell r="G252" t="str">
            <v>12517683</v>
          </cell>
          <cell r="H252" t="str">
            <v>Reduzierduese</v>
          </cell>
          <cell r="I252">
            <v>51</v>
          </cell>
          <cell r="J252" t="str">
            <v>Stk</v>
          </cell>
          <cell r="K252">
            <v>45212</v>
          </cell>
          <cell r="L252" t="str">
            <v>829053</v>
          </cell>
          <cell r="M252" t="str">
            <v/>
          </cell>
          <cell r="N252" t="str">
            <v/>
          </cell>
          <cell r="O252" t="str">
            <v/>
          </cell>
          <cell r="P252" t="str">
            <v/>
          </cell>
          <cell r="Q252" t="str">
            <v/>
          </cell>
          <cell r="R252" t="str">
            <v/>
          </cell>
          <cell r="S252" t="str">
            <v/>
          </cell>
          <cell r="T252" t="str">
            <v/>
          </cell>
          <cell r="U252" t="str">
            <v/>
          </cell>
          <cell r="V252" t="str">
            <v>N52</v>
          </cell>
          <cell r="W252" t="str">
            <v/>
          </cell>
          <cell r="X252" t="str">
            <v/>
          </cell>
          <cell r="Y252" t="str">
            <v/>
          </cell>
          <cell r="Z252" t="str">
            <v/>
          </cell>
          <cell r="AA252" t="str">
            <v/>
          </cell>
          <cell r="AB252" t="str">
            <v>PA_4550124-QE.7005-4</v>
          </cell>
          <cell r="AC252">
            <v>1</v>
          </cell>
          <cell r="AD252" t="str">
            <v/>
          </cell>
          <cell r="AE252">
            <v>0</v>
          </cell>
          <cell r="AF252" t="str">
            <v/>
          </cell>
          <cell r="AG252" t="str">
            <v>12517683</v>
          </cell>
          <cell r="AH252">
            <v>44624.985115740739</v>
          </cell>
          <cell r="AI252" t="str">
            <v>N52</v>
          </cell>
          <cell r="AJ252" t="str">
            <v>F</v>
          </cell>
          <cell r="AK252" t="str">
            <v/>
          </cell>
        </row>
        <row r="253">
          <cell r="A253" t="str">
            <v>12517727829053</v>
          </cell>
          <cell r="B253" t="e">
            <v>#N/A</v>
          </cell>
          <cell r="C253">
            <v>14</v>
          </cell>
          <cell r="D253" t="str">
            <v>EK65</v>
          </cell>
          <cell r="E253" t="str">
            <v>522721</v>
          </cell>
          <cell r="F253" t="str">
            <v>E</v>
          </cell>
          <cell r="G253" t="str">
            <v>12517727</v>
          </cell>
          <cell r="H253" t="str">
            <v>Spezial Unterlegsscheibe ID26,5 AD42 H1</v>
          </cell>
          <cell r="I253">
            <v>204</v>
          </cell>
          <cell r="J253" t="str">
            <v>Stk</v>
          </cell>
          <cell r="K253">
            <v>45205</v>
          </cell>
          <cell r="L253" t="str">
            <v>829053</v>
          </cell>
          <cell r="M253" t="str">
            <v/>
          </cell>
          <cell r="N253" t="str">
            <v/>
          </cell>
          <cell r="O253" t="str">
            <v/>
          </cell>
          <cell r="P253" t="str">
            <v/>
          </cell>
          <cell r="Q253" t="str">
            <v/>
          </cell>
          <cell r="R253" t="str">
            <v/>
          </cell>
          <cell r="S253" t="str">
            <v/>
          </cell>
          <cell r="T253" t="str">
            <v/>
          </cell>
          <cell r="U253" t="str">
            <v/>
          </cell>
          <cell r="V253" t="str">
            <v>N52</v>
          </cell>
          <cell r="W253" t="str">
            <v/>
          </cell>
          <cell r="X253" t="str">
            <v/>
          </cell>
          <cell r="Y253" t="str">
            <v/>
          </cell>
          <cell r="Z253" t="str">
            <v/>
          </cell>
          <cell r="AA253" t="str">
            <v/>
          </cell>
          <cell r="AB253" t="str">
            <v>PA_4561732-QA.7005-4</v>
          </cell>
          <cell r="AC253">
            <v>1</v>
          </cell>
          <cell r="AD253" t="str">
            <v/>
          </cell>
          <cell r="AE253">
            <v>0</v>
          </cell>
          <cell r="AF253" t="str">
            <v/>
          </cell>
          <cell r="AG253" t="str">
            <v>12517727</v>
          </cell>
          <cell r="AH253">
            <v>44624.985138888886</v>
          </cell>
          <cell r="AI253" t="str">
            <v>N52</v>
          </cell>
          <cell r="AJ253" t="str">
            <v>F</v>
          </cell>
          <cell r="AK253" t="str">
            <v/>
          </cell>
        </row>
        <row r="254">
          <cell r="A254" t="str">
            <v>12517727829051</v>
          </cell>
          <cell r="B254" t="e">
            <v>#N/A</v>
          </cell>
          <cell r="C254">
            <v>14</v>
          </cell>
          <cell r="D254" t="str">
            <v>EK65</v>
          </cell>
          <cell r="E254" t="str">
            <v>522722</v>
          </cell>
          <cell r="F254" t="str">
            <v>E</v>
          </cell>
          <cell r="G254" t="str">
            <v>12517727</v>
          </cell>
          <cell r="H254" t="str">
            <v>Spezial Unterlegsscheibe ID26,5 AD42 H1</v>
          </cell>
          <cell r="I254">
            <v>360</v>
          </cell>
          <cell r="J254" t="str">
            <v>Stk</v>
          </cell>
          <cell r="K254">
            <v>45324</v>
          </cell>
          <cell r="L254" t="str">
            <v>829051</v>
          </cell>
          <cell r="M254" t="str">
            <v/>
          </cell>
          <cell r="N254" t="str">
            <v/>
          </cell>
          <cell r="O254" t="str">
            <v/>
          </cell>
          <cell r="P254" t="str">
            <v/>
          </cell>
          <cell r="Q254" t="str">
            <v/>
          </cell>
          <cell r="R254" t="str">
            <v/>
          </cell>
          <cell r="S254" t="str">
            <v/>
          </cell>
          <cell r="T254" t="str">
            <v/>
          </cell>
          <cell r="U254" t="str">
            <v/>
          </cell>
          <cell r="V254" t="str">
            <v>N52</v>
          </cell>
          <cell r="W254" t="str">
            <v/>
          </cell>
          <cell r="X254" t="str">
            <v/>
          </cell>
          <cell r="Y254" t="str">
            <v/>
          </cell>
          <cell r="Z254" t="str">
            <v/>
          </cell>
          <cell r="AA254" t="str">
            <v/>
          </cell>
          <cell r="AB254" t="str">
            <v>PA_4561732-QA.7005-4</v>
          </cell>
          <cell r="AC254">
            <v>1</v>
          </cell>
          <cell r="AD254" t="str">
            <v/>
          </cell>
          <cell r="AE254">
            <v>0</v>
          </cell>
          <cell r="AF254" t="str">
            <v/>
          </cell>
          <cell r="AG254" t="str">
            <v>12517727</v>
          </cell>
          <cell r="AH254">
            <v>44624.985138888886</v>
          </cell>
          <cell r="AI254" t="str">
            <v>N52</v>
          </cell>
          <cell r="AJ254" t="str">
            <v>F</v>
          </cell>
          <cell r="AK254" t="str">
            <v/>
          </cell>
        </row>
        <row r="255">
          <cell r="A255" t="str">
            <v>12517730829053</v>
          </cell>
          <cell r="B255" t="e">
            <v>#N/A</v>
          </cell>
          <cell r="C255">
            <v>10</v>
          </cell>
          <cell r="D255" t="str">
            <v>EK65</v>
          </cell>
          <cell r="E255" t="str">
            <v>522723</v>
          </cell>
          <cell r="F255" t="str">
            <v>E</v>
          </cell>
          <cell r="G255" t="str">
            <v>12517730</v>
          </cell>
          <cell r="H255" t="str">
            <v>Spezial Unterlegsscheibe ID18,5 AD32 H1</v>
          </cell>
          <cell r="I255">
            <v>407</v>
          </cell>
          <cell r="J255" t="str">
            <v>Stk</v>
          </cell>
          <cell r="K255">
            <v>45205</v>
          </cell>
          <cell r="L255" t="str">
            <v>829053</v>
          </cell>
          <cell r="M255" t="str">
            <v/>
          </cell>
          <cell r="N255" t="str">
            <v/>
          </cell>
          <cell r="O255" t="str">
            <v/>
          </cell>
          <cell r="P255" t="str">
            <v/>
          </cell>
          <cell r="Q255" t="str">
            <v/>
          </cell>
          <cell r="R255" t="str">
            <v/>
          </cell>
          <cell r="S255" t="str">
            <v/>
          </cell>
          <cell r="T255" t="str">
            <v/>
          </cell>
          <cell r="U255" t="str">
            <v/>
          </cell>
          <cell r="V255" t="str">
            <v>N52</v>
          </cell>
          <cell r="W255" t="str">
            <v/>
          </cell>
          <cell r="X255" t="str">
            <v/>
          </cell>
          <cell r="Y255" t="str">
            <v/>
          </cell>
          <cell r="Z255" t="str">
            <v/>
          </cell>
          <cell r="AA255" t="str">
            <v/>
          </cell>
          <cell r="AB255" t="str">
            <v>PA_4561844-QA.7005-4</v>
          </cell>
          <cell r="AC255">
            <v>1</v>
          </cell>
          <cell r="AD255" t="str">
            <v/>
          </cell>
          <cell r="AE255">
            <v>0</v>
          </cell>
          <cell r="AF255" t="str">
            <v/>
          </cell>
          <cell r="AG255" t="str">
            <v>12517730</v>
          </cell>
          <cell r="AH255">
            <v>44624.985173611109</v>
          </cell>
          <cell r="AI255" t="str">
            <v>N52</v>
          </cell>
          <cell r="AJ255" t="str">
            <v>F</v>
          </cell>
          <cell r="AK255" t="str">
            <v/>
          </cell>
        </row>
        <row r="256">
          <cell r="A256" t="str">
            <v>12517730829051</v>
          </cell>
          <cell r="B256" t="e">
            <v>#N/A</v>
          </cell>
          <cell r="C256">
            <v>10</v>
          </cell>
          <cell r="D256" t="str">
            <v>EK65</v>
          </cell>
          <cell r="E256" t="str">
            <v>522724</v>
          </cell>
          <cell r="F256" t="str">
            <v>E</v>
          </cell>
          <cell r="G256" t="str">
            <v>12517730</v>
          </cell>
          <cell r="H256" t="str">
            <v>Spezial Unterlegsscheibe ID18,5 AD32 H1</v>
          </cell>
          <cell r="I256">
            <v>725</v>
          </cell>
          <cell r="J256" t="str">
            <v>Stk</v>
          </cell>
          <cell r="K256">
            <v>45317</v>
          </cell>
          <cell r="L256" t="str">
            <v>829051</v>
          </cell>
          <cell r="M256" t="str">
            <v/>
          </cell>
          <cell r="N256" t="str">
            <v/>
          </cell>
          <cell r="O256" t="str">
            <v/>
          </cell>
          <cell r="P256" t="str">
            <v/>
          </cell>
          <cell r="Q256" t="str">
            <v/>
          </cell>
          <cell r="R256" t="str">
            <v/>
          </cell>
          <cell r="S256" t="str">
            <v/>
          </cell>
          <cell r="T256" t="str">
            <v/>
          </cell>
          <cell r="U256" t="str">
            <v/>
          </cell>
          <cell r="V256" t="str">
            <v>N52</v>
          </cell>
          <cell r="W256" t="str">
            <v/>
          </cell>
          <cell r="X256" t="str">
            <v/>
          </cell>
          <cell r="Y256" t="str">
            <v/>
          </cell>
          <cell r="Z256" t="str">
            <v/>
          </cell>
          <cell r="AA256" t="str">
            <v/>
          </cell>
          <cell r="AB256" t="str">
            <v>PA_4561844-QA.7005-4</v>
          </cell>
          <cell r="AC256">
            <v>1</v>
          </cell>
          <cell r="AD256" t="str">
            <v/>
          </cell>
          <cell r="AE256">
            <v>0</v>
          </cell>
          <cell r="AF256" t="str">
            <v/>
          </cell>
          <cell r="AG256" t="str">
            <v>12517730</v>
          </cell>
          <cell r="AH256">
            <v>44624.985173611109</v>
          </cell>
          <cell r="AI256" t="str">
            <v>N52</v>
          </cell>
          <cell r="AJ256" t="str">
            <v>F</v>
          </cell>
          <cell r="AK256" t="str">
            <v/>
          </cell>
        </row>
        <row r="257">
          <cell r="A257" t="str">
            <v>12517746829053</v>
          </cell>
          <cell r="B257" t="e">
            <v>#N/A</v>
          </cell>
          <cell r="C257">
            <v>16</v>
          </cell>
          <cell r="D257" t="str">
            <v>EK65</v>
          </cell>
          <cell r="E257" t="str">
            <v>522725</v>
          </cell>
          <cell r="F257" t="str">
            <v>E</v>
          </cell>
          <cell r="G257" t="str">
            <v>12517746</v>
          </cell>
          <cell r="H257" t="str">
            <v>Dehnhuelse</v>
          </cell>
          <cell r="I257">
            <v>310</v>
          </cell>
          <cell r="J257" t="str">
            <v>Stk</v>
          </cell>
          <cell r="K257">
            <v>45205</v>
          </cell>
          <cell r="L257" t="str">
            <v>829053</v>
          </cell>
          <cell r="M257" t="str">
            <v/>
          </cell>
          <cell r="N257" t="str">
            <v/>
          </cell>
          <cell r="O257" t="str">
            <v/>
          </cell>
          <cell r="P257" t="str">
            <v/>
          </cell>
          <cell r="Q257" t="str">
            <v/>
          </cell>
          <cell r="R257" t="str">
            <v/>
          </cell>
          <cell r="S257" t="str">
            <v/>
          </cell>
          <cell r="T257" t="str">
            <v/>
          </cell>
          <cell r="U257" t="str">
            <v>Da35 Di10,5 L30</v>
          </cell>
          <cell r="V257" t="str">
            <v>N52</v>
          </cell>
          <cell r="W257" t="str">
            <v/>
          </cell>
          <cell r="X257" t="str">
            <v/>
          </cell>
          <cell r="Y257" t="str">
            <v/>
          </cell>
          <cell r="Z257" t="str">
            <v/>
          </cell>
          <cell r="AA257" t="str">
            <v/>
          </cell>
          <cell r="AB257" t="str">
            <v>PA_4526261-QE.7005-4</v>
          </cell>
          <cell r="AC257">
            <v>1</v>
          </cell>
          <cell r="AD257" t="str">
            <v/>
          </cell>
          <cell r="AE257">
            <v>0</v>
          </cell>
          <cell r="AF257" t="str">
            <v/>
          </cell>
          <cell r="AG257" t="str">
            <v>12517746</v>
          </cell>
          <cell r="AH257">
            <v>44624.985231481478</v>
          </cell>
          <cell r="AI257" t="str">
            <v>N52</v>
          </cell>
          <cell r="AJ257" t="str">
            <v>F</v>
          </cell>
          <cell r="AK257" t="str">
            <v/>
          </cell>
        </row>
        <row r="258">
          <cell r="A258" t="str">
            <v>12517746829054</v>
          </cell>
          <cell r="B258" t="e">
            <v>#N/A</v>
          </cell>
          <cell r="C258">
            <v>16</v>
          </cell>
          <cell r="D258" t="str">
            <v>EK65</v>
          </cell>
          <cell r="E258" t="str">
            <v>522726</v>
          </cell>
          <cell r="F258" t="str">
            <v>E</v>
          </cell>
          <cell r="G258" t="str">
            <v>12517746</v>
          </cell>
          <cell r="H258" t="str">
            <v>Dehnhuelse</v>
          </cell>
          <cell r="I258">
            <v>104</v>
          </cell>
          <cell r="J258" t="str">
            <v>Stk</v>
          </cell>
          <cell r="K258">
            <v>45212</v>
          </cell>
          <cell r="L258" t="str">
            <v>829054</v>
          </cell>
          <cell r="M258" t="str">
            <v/>
          </cell>
          <cell r="N258" t="str">
            <v/>
          </cell>
          <cell r="O258" t="str">
            <v/>
          </cell>
          <cell r="P258" t="str">
            <v/>
          </cell>
          <cell r="Q258" t="str">
            <v/>
          </cell>
          <cell r="R258" t="str">
            <v/>
          </cell>
          <cell r="S258" t="str">
            <v/>
          </cell>
          <cell r="T258" t="str">
            <v/>
          </cell>
          <cell r="U258" t="str">
            <v>Da35 Di10,5 L30</v>
          </cell>
          <cell r="V258" t="str">
            <v>N52</v>
          </cell>
          <cell r="W258" t="str">
            <v/>
          </cell>
          <cell r="X258" t="str">
            <v/>
          </cell>
          <cell r="Y258" t="str">
            <v/>
          </cell>
          <cell r="Z258" t="str">
            <v/>
          </cell>
          <cell r="AA258" t="str">
            <v/>
          </cell>
          <cell r="AB258" t="str">
            <v>PA_4526261-QE.7005-4</v>
          </cell>
          <cell r="AC258">
            <v>1</v>
          </cell>
          <cell r="AD258" t="str">
            <v/>
          </cell>
          <cell r="AE258">
            <v>0</v>
          </cell>
          <cell r="AF258" t="str">
            <v/>
          </cell>
          <cell r="AG258" t="str">
            <v>12517746</v>
          </cell>
          <cell r="AH258">
            <v>44624.985231481478</v>
          </cell>
          <cell r="AI258" t="str">
            <v>N52</v>
          </cell>
          <cell r="AJ258" t="str">
            <v>F</v>
          </cell>
          <cell r="AK258" t="str">
            <v/>
          </cell>
        </row>
        <row r="259">
          <cell r="A259" t="str">
            <v>12517746829051</v>
          </cell>
          <cell r="B259" t="e">
            <v>#N/A</v>
          </cell>
          <cell r="C259">
            <v>16</v>
          </cell>
          <cell r="D259" t="str">
            <v>EK65</v>
          </cell>
          <cell r="E259" t="str">
            <v>522727</v>
          </cell>
          <cell r="F259" t="str">
            <v>E</v>
          </cell>
          <cell r="G259" t="str">
            <v>12517746</v>
          </cell>
          <cell r="H259" t="str">
            <v>Dehnhuelse</v>
          </cell>
          <cell r="I259">
            <v>543</v>
          </cell>
          <cell r="J259" t="str">
            <v>Stk</v>
          </cell>
          <cell r="K259">
            <v>45317</v>
          </cell>
          <cell r="L259" t="str">
            <v>829051</v>
          </cell>
          <cell r="M259" t="str">
            <v/>
          </cell>
          <cell r="N259" t="str">
            <v/>
          </cell>
          <cell r="O259" t="str">
            <v/>
          </cell>
          <cell r="P259" t="str">
            <v/>
          </cell>
          <cell r="Q259" t="str">
            <v/>
          </cell>
          <cell r="R259" t="str">
            <v/>
          </cell>
          <cell r="S259" t="str">
            <v/>
          </cell>
          <cell r="T259" t="str">
            <v/>
          </cell>
          <cell r="U259" t="str">
            <v>Da35 Di10,5 L30</v>
          </cell>
          <cell r="V259" t="str">
            <v>N52</v>
          </cell>
          <cell r="W259" t="str">
            <v/>
          </cell>
          <cell r="X259" t="str">
            <v/>
          </cell>
          <cell r="Y259" t="str">
            <v/>
          </cell>
          <cell r="Z259" t="str">
            <v/>
          </cell>
          <cell r="AA259" t="str">
            <v/>
          </cell>
          <cell r="AB259" t="str">
            <v>PA_4526261-QE.7005-4</v>
          </cell>
          <cell r="AC259">
            <v>1</v>
          </cell>
          <cell r="AD259" t="str">
            <v/>
          </cell>
          <cell r="AE259">
            <v>0</v>
          </cell>
          <cell r="AF259" t="str">
            <v/>
          </cell>
          <cell r="AG259" t="str">
            <v>12517746</v>
          </cell>
          <cell r="AH259">
            <v>44624.985231481478</v>
          </cell>
          <cell r="AI259" t="str">
            <v>N52</v>
          </cell>
          <cell r="AJ259" t="str">
            <v>F</v>
          </cell>
          <cell r="AK259" t="str">
            <v/>
          </cell>
        </row>
        <row r="260">
          <cell r="A260" t="str">
            <v>12517746829052</v>
          </cell>
          <cell r="B260" t="e">
            <v>#N/A</v>
          </cell>
          <cell r="C260">
            <v>16</v>
          </cell>
          <cell r="D260" t="str">
            <v>EK65</v>
          </cell>
          <cell r="E260" t="str">
            <v>522728</v>
          </cell>
          <cell r="F260" t="str">
            <v>E</v>
          </cell>
          <cell r="G260" t="str">
            <v>12517746</v>
          </cell>
          <cell r="H260" t="str">
            <v>Dehnhuelse</v>
          </cell>
          <cell r="I260">
            <v>185</v>
          </cell>
          <cell r="J260" t="str">
            <v>Stk</v>
          </cell>
          <cell r="K260">
            <v>45351</v>
          </cell>
          <cell r="L260" t="str">
            <v>829052</v>
          </cell>
          <cell r="M260" t="str">
            <v/>
          </cell>
          <cell r="N260" t="str">
            <v/>
          </cell>
          <cell r="O260" t="str">
            <v/>
          </cell>
          <cell r="P260" t="str">
            <v/>
          </cell>
          <cell r="Q260" t="str">
            <v/>
          </cell>
          <cell r="R260" t="str">
            <v/>
          </cell>
          <cell r="S260" t="str">
            <v/>
          </cell>
          <cell r="T260" t="str">
            <v/>
          </cell>
          <cell r="U260" t="str">
            <v>Da35 Di10,5 L30</v>
          </cell>
          <cell r="V260" t="str">
            <v>N52</v>
          </cell>
          <cell r="W260" t="str">
            <v/>
          </cell>
          <cell r="X260" t="str">
            <v/>
          </cell>
          <cell r="Y260" t="str">
            <v/>
          </cell>
          <cell r="Z260" t="str">
            <v/>
          </cell>
          <cell r="AA260" t="str">
            <v/>
          </cell>
          <cell r="AB260" t="str">
            <v>PA_4526261-QE.7005-4</v>
          </cell>
          <cell r="AC260">
            <v>1</v>
          </cell>
          <cell r="AD260" t="str">
            <v/>
          </cell>
          <cell r="AE260">
            <v>0</v>
          </cell>
          <cell r="AF260" t="str">
            <v/>
          </cell>
          <cell r="AG260" t="str">
            <v>12517746</v>
          </cell>
          <cell r="AH260">
            <v>44624.985231481478</v>
          </cell>
          <cell r="AI260" t="str">
            <v>N52</v>
          </cell>
          <cell r="AJ260" t="str">
            <v>F</v>
          </cell>
          <cell r="AK260" t="str">
            <v/>
          </cell>
        </row>
        <row r="261">
          <cell r="A261" t="str">
            <v>12517893829053</v>
          </cell>
          <cell r="B261" t="e">
            <v>#N/A</v>
          </cell>
          <cell r="C261">
            <v>28</v>
          </cell>
          <cell r="D261" t="str">
            <v>EK65</v>
          </cell>
          <cell r="E261" t="str">
            <v>522729</v>
          </cell>
          <cell r="F261" t="str">
            <v>E</v>
          </cell>
          <cell r="G261" t="str">
            <v>12517893</v>
          </cell>
          <cell r="H261" t="str">
            <v>Klemmbuchse ID10,5 AD25 H6</v>
          </cell>
          <cell r="I261">
            <v>51</v>
          </cell>
          <cell r="J261" t="str">
            <v>Stk</v>
          </cell>
          <cell r="K261">
            <v>45211</v>
          </cell>
          <cell r="L261" t="str">
            <v>829053</v>
          </cell>
          <cell r="M261" t="str">
            <v/>
          </cell>
          <cell r="N261" t="str">
            <v/>
          </cell>
          <cell r="O261" t="str">
            <v/>
          </cell>
          <cell r="P261" t="str">
            <v/>
          </cell>
          <cell r="Q261" t="str">
            <v/>
          </cell>
          <cell r="R261" t="str">
            <v/>
          </cell>
          <cell r="S261" t="str">
            <v/>
          </cell>
          <cell r="T261" t="str">
            <v/>
          </cell>
          <cell r="U261" t="str">
            <v/>
          </cell>
          <cell r="V261" t="str">
            <v>N52</v>
          </cell>
          <cell r="W261" t="str">
            <v/>
          </cell>
          <cell r="X261" t="str">
            <v/>
          </cell>
          <cell r="Y261" t="str">
            <v/>
          </cell>
          <cell r="Z261" t="str">
            <v/>
          </cell>
          <cell r="AA261" t="str">
            <v/>
          </cell>
          <cell r="AB261" t="str">
            <v>PA_4363432-UA.7005-4</v>
          </cell>
          <cell r="AC261">
            <v>1</v>
          </cell>
          <cell r="AD261" t="str">
            <v/>
          </cell>
          <cell r="AE261">
            <v>0</v>
          </cell>
          <cell r="AF261" t="str">
            <v/>
          </cell>
          <cell r="AG261" t="str">
            <v>12517893</v>
          </cell>
          <cell r="AH261">
            <v>44624.985381944447</v>
          </cell>
          <cell r="AI261" t="str">
            <v>N52</v>
          </cell>
          <cell r="AJ261" t="str">
            <v>F</v>
          </cell>
          <cell r="AK261" t="str">
            <v/>
          </cell>
        </row>
        <row r="262">
          <cell r="A262" t="str">
            <v>12517893829054</v>
          </cell>
          <cell r="B262" t="e">
            <v>#N/A</v>
          </cell>
          <cell r="C262">
            <v>28</v>
          </cell>
          <cell r="D262" t="str">
            <v>EK65</v>
          </cell>
          <cell r="E262" t="str">
            <v>522730</v>
          </cell>
          <cell r="F262" t="str">
            <v>E</v>
          </cell>
          <cell r="G262" t="str">
            <v>12517893</v>
          </cell>
          <cell r="H262" t="str">
            <v>Klemmbuchse ID10,5 AD25 H6</v>
          </cell>
          <cell r="I262">
            <v>35</v>
          </cell>
          <cell r="J262" t="str">
            <v>Stk</v>
          </cell>
          <cell r="K262">
            <v>45213</v>
          </cell>
          <cell r="L262" t="str">
            <v>829054</v>
          </cell>
          <cell r="M262" t="str">
            <v/>
          </cell>
          <cell r="N262" t="str">
            <v/>
          </cell>
          <cell r="O262" t="str">
            <v/>
          </cell>
          <cell r="P262" t="str">
            <v/>
          </cell>
          <cell r="Q262" t="str">
            <v/>
          </cell>
          <cell r="R262" t="str">
            <v/>
          </cell>
          <cell r="S262" t="str">
            <v/>
          </cell>
          <cell r="T262" t="str">
            <v/>
          </cell>
          <cell r="U262" t="str">
            <v/>
          </cell>
          <cell r="V262" t="str">
            <v>N52</v>
          </cell>
          <cell r="W262" t="str">
            <v/>
          </cell>
          <cell r="X262" t="str">
            <v/>
          </cell>
          <cell r="Y262" t="str">
            <v/>
          </cell>
          <cell r="Z262" t="str">
            <v/>
          </cell>
          <cell r="AA262" t="str">
            <v/>
          </cell>
          <cell r="AB262" t="str">
            <v>PA_4363432-UA.7005-4</v>
          </cell>
          <cell r="AC262">
            <v>1</v>
          </cell>
          <cell r="AD262" t="str">
            <v/>
          </cell>
          <cell r="AE262">
            <v>0</v>
          </cell>
          <cell r="AF262" t="str">
            <v/>
          </cell>
          <cell r="AG262" t="str">
            <v>12517893</v>
          </cell>
          <cell r="AH262">
            <v>44624.985381944447</v>
          </cell>
          <cell r="AI262" t="str">
            <v>N52</v>
          </cell>
          <cell r="AJ262" t="str">
            <v>F</v>
          </cell>
          <cell r="AK262" t="str">
            <v/>
          </cell>
        </row>
        <row r="263">
          <cell r="A263" t="str">
            <v>12517894829053</v>
          </cell>
          <cell r="B263" t="e">
            <v>#N/A</v>
          </cell>
          <cell r="C263">
            <v>24</v>
          </cell>
          <cell r="D263" t="str">
            <v>EK65</v>
          </cell>
          <cell r="E263" t="str">
            <v>522731</v>
          </cell>
          <cell r="F263" t="str">
            <v>E</v>
          </cell>
          <cell r="G263" t="str">
            <v>12517894</v>
          </cell>
          <cell r="H263" t="str">
            <v>Klemmbuchse ID8,5 AD20 H5</v>
          </cell>
          <cell r="I263">
            <v>111</v>
          </cell>
          <cell r="J263" t="str">
            <v>Stk</v>
          </cell>
          <cell r="K263">
            <v>45196</v>
          </cell>
          <cell r="L263" t="str">
            <v>829053</v>
          </cell>
          <cell r="M263" t="str">
            <v/>
          </cell>
          <cell r="N263" t="str">
            <v/>
          </cell>
          <cell r="O263" t="str">
            <v/>
          </cell>
          <cell r="P263" t="str">
            <v/>
          </cell>
          <cell r="Q263" t="str">
            <v/>
          </cell>
          <cell r="R263" t="str">
            <v/>
          </cell>
          <cell r="S263" t="str">
            <v/>
          </cell>
          <cell r="T263" t="str">
            <v/>
          </cell>
          <cell r="U263" t="str">
            <v/>
          </cell>
          <cell r="V263" t="str">
            <v>N52</v>
          </cell>
          <cell r="W263" t="str">
            <v/>
          </cell>
          <cell r="X263" t="str">
            <v/>
          </cell>
          <cell r="Y263" t="str">
            <v/>
          </cell>
          <cell r="Z263" t="str">
            <v/>
          </cell>
          <cell r="AA263" t="str">
            <v/>
          </cell>
          <cell r="AB263" t="str">
            <v>PA_4364933-UA.7005-4</v>
          </cell>
          <cell r="AC263">
            <v>1</v>
          </cell>
          <cell r="AD263" t="str">
            <v/>
          </cell>
          <cell r="AE263">
            <v>0</v>
          </cell>
          <cell r="AF263" t="str">
            <v/>
          </cell>
          <cell r="AG263" t="str">
            <v>12517894</v>
          </cell>
          <cell r="AH263">
            <v>44624.985393518517</v>
          </cell>
          <cell r="AI263" t="str">
            <v>N52</v>
          </cell>
          <cell r="AJ263" t="str">
            <v>F</v>
          </cell>
          <cell r="AK263" t="str">
            <v/>
          </cell>
        </row>
        <row r="264">
          <cell r="A264" t="str">
            <v>12517894829054</v>
          </cell>
          <cell r="B264" t="e">
            <v>#N/A</v>
          </cell>
          <cell r="C264">
            <v>24</v>
          </cell>
          <cell r="D264" t="str">
            <v>EK65</v>
          </cell>
          <cell r="E264" t="str">
            <v>522732</v>
          </cell>
          <cell r="F264" t="str">
            <v>E</v>
          </cell>
          <cell r="G264" t="str">
            <v>12517894</v>
          </cell>
          <cell r="H264" t="str">
            <v>Klemmbuchse ID8,5 AD20 H5</v>
          </cell>
          <cell r="I264">
            <v>64</v>
          </cell>
          <cell r="J264" t="str">
            <v>Stk</v>
          </cell>
          <cell r="K264">
            <v>45237</v>
          </cell>
          <cell r="L264" t="str">
            <v>829054</v>
          </cell>
          <cell r="M264" t="str">
            <v/>
          </cell>
          <cell r="N264" t="str">
            <v/>
          </cell>
          <cell r="O264" t="str">
            <v/>
          </cell>
          <cell r="P264" t="str">
            <v/>
          </cell>
          <cell r="Q264" t="str">
            <v/>
          </cell>
          <cell r="R264" t="str">
            <v/>
          </cell>
          <cell r="S264" t="str">
            <v/>
          </cell>
          <cell r="T264" t="str">
            <v/>
          </cell>
          <cell r="U264" t="str">
            <v/>
          </cell>
          <cell r="V264" t="str">
            <v>N52</v>
          </cell>
          <cell r="W264" t="str">
            <v/>
          </cell>
          <cell r="X264" t="str">
            <v/>
          </cell>
          <cell r="Y264" t="str">
            <v/>
          </cell>
          <cell r="Z264" t="str">
            <v/>
          </cell>
          <cell r="AA264" t="str">
            <v/>
          </cell>
          <cell r="AB264" t="str">
            <v>PA_4364933-UA.7005-4</v>
          </cell>
          <cell r="AC264">
            <v>1</v>
          </cell>
          <cell r="AD264" t="str">
            <v/>
          </cell>
          <cell r="AE264">
            <v>0</v>
          </cell>
          <cell r="AF264" t="str">
            <v/>
          </cell>
          <cell r="AG264" t="str">
            <v>12517894</v>
          </cell>
          <cell r="AH264">
            <v>44624.985393518517</v>
          </cell>
          <cell r="AI264" t="str">
            <v>N52</v>
          </cell>
          <cell r="AJ264" t="str">
            <v>F</v>
          </cell>
          <cell r="AK264" t="str">
            <v/>
          </cell>
        </row>
        <row r="265">
          <cell r="A265" t="str">
            <v>12517895829053</v>
          </cell>
          <cell r="B265" t="e">
            <v>#N/A</v>
          </cell>
          <cell r="C265">
            <v>20</v>
          </cell>
          <cell r="D265" t="str">
            <v>EK65</v>
          </cell>
          <cell r="E265" t="str">
            <v>522733</v>
          </cell>
          <cell r="F265" t="str">
            <v>E</v>
          </cell>
          <cell r="G265" t="str">
            <v>12517895</v>
          </cell>
          <cell r="H265" t="str">
            <v>Schellenhalter</v>
          </cell>
          <cell r="I265">
            <v>55</v>
          </cell>
          <cell r="J265" t="str">
            <v>Stk</v>
          </cell>
          <cell r="K265">
            <v>45198</v>
          </cell>
          <cell r="L265" t="str">
            <v>829053</v>
          </cell>
          <cell r="M265" t="str">
            <v/>
          </cell>
          <cell r="N265" t="str">
            <v/>
          </cell>
          <cell r="O265" t="str">
            <v/>
          </cell>
          <cell r="P265" t="str">
            <v/>
          </cell>
          <cell r="Q265" t="str">
            <v/>
          </cell>
          <cell r="R265" t="str">
            <v/>
          </cell>
          <cell r="S265" t="str">
            <v/>
          </cell>
          <cell r="T265" t="str">
            <v/>
          </cell>
          <cell r="U265" t="str">
            <v/>
          </cell>
          <cell r="V265" t="str">
            <v>N52</v>
          </cell>
          <cell r="W265" t="str">
            <v/>
          </cell>
          <cell r="X265" t="str">
            <v/>
          </cell>
          <cell r="Y265" t="str">
            <v/>
          </cell>
          <cell r="Z265" t="str">
            <v/>
          </cell>
          <cell r="AA265" t="str">
            <v/>
          </cell>
          <cell r="AB265" t="str">
            <v>PA_4369642-UA.7005-3</v>
          </cell>
          <cell r="AC265">
            <v>1</v>
          </cell>
          <cell r="AD265" t="str">
            <v/>
          </cell>
          <cell r="AE265">
            <v>0</v>
          </cell>
          <cell r="AF265" t="str">
            <v/>
          </cell>
          <cell r="AG265" t="str">
            <v>12517895</v>
          </cell>
          <cell r="AH265">
            <v>44624.98541666667</v>
          </cell>
          <cell r="AI265" t="str">
            <v>N52</v>
          </cell>
          <cell r="AJ265" t="str">
            <v>F</v>
          </cell>
          <cell r="AK265" t="str">
            <v/>
          </cell>
        </row>
        <row r="266">
          <cell r="A266" t="str">
            <v>12517895829054</v>
          </cell>
          <cell r="B266" t="e">
            <v>#N/A</v>
          </cell>
          <cell r="C266">
            <v>20</v>
          </cell>
          <cell r="D266" t="str">
            <v>EK65</v>
          </cell>
          <cell r="E266" t="str">
            <v>522734</v>
          </cell>
          <cell r="F266" t="str">
            <v>E</v>
          </cell>
          <cell r="G266" t="str">
            <v>12517895</v>
          </cell>
          <cell r="H266" t="str">
            <v>Schellenhalter</v>
          </cell>
          <cell r="I266">
            <v>31</v>
          </cell>
          <cell r="J266" t="str">
            <v>Stk</v>
          </cell>
          <cell r="K266">
            <v>45237</v>
          </cell>
          <cell r="L266" t="str">
            <v>829054</v>
          </cell>
          <cell r="M266" t="str">
            <v/>
          </cell>
          <cell r="N266" t="str">
            <v/>
          </cell>
          <cell r="O266" t="str">
            <v/>
          </cell>
          <cell r="P266" t="str">
            <v/>
          </cell>
          <cell r="Q266" t="str">
            <v/>
          </cell>
          <cell r="R266" t="str">
            <v/>
          </cell>
          <cell r="S266" t="str">
            <v/>
          </cell>
          <cell r="T266" t="str">
            <v/>
          </cell>
          <cell r="U266" t="str">
            <v/>
          </cell>
          <cell r="V266" t="str">
            <v>N52</v>
          </cell>
          <cell r="W266" t="str">
            <v/>
          </cell>
          <cell r="X266" t="str">
            <v/>
          </cell>
          <cell r="Y266" t="str">
            <v/>
          </cell>
          <cell r="Z266" t="str">
            <v/>
          </cell>
          <cell r="AA266" t="str">
            <v/>
          </cell>
          <cell r="AB266" t="str">
            <v>PA_4369642-UA.7005-3</v>
          </cell>
          <cell r="AC266">
            <v>1</v>
          </cell>
          <cell r="AD266" t="str">
            <v/>
          </cell>
          <cell r="AE266">
            <v>0</v>
          </cell>
          <cell r="AF266" t="str">
            <v/>
          </cell>
          <cell r="AG266" t="str">
            <v>12517895</v>
          </cell>
          <cell r="AH266">
            <v>44624.98541666667</v>
          </cell>
          <cell r="AI266" t="str">
            <v>N52</v>
          </cell>
          <cell r="AJ266" t="str">
            <v>F</v>
          </cell>
          <cell r="AK266" t="str">
            <v/>
          </cell>
        </row>
        <row r="267">
          <cell r="A267" t="str">
            <v>12517896829053</v>
          </cell>
          <cell r="B267" t="e">
            <v>#N/A</v>
          </cell>
          <cell r="C267">
            <v>20</v>
          </cell>
          <cell r="D267" t="str">
            <v>EK65</v>
          </cell>
          <cell r="E267" t="str">
            <v>522735</v>
          </cell>
          <cell r="F267" t="str">
            <v>E</v>
          </cell>
          <cell r="G267" t="str">
            <v>12517896</v>
          </cell>
          <cell r="H267" t="str">
            <v>Schellenhalter</v>
          </cell>
          <cell r="I267">
            <v>51</v>
          </cell>
          <cell r="J267" t="str">
            <v>Stk</v>
          </cell>
          <cell r="K267">
            <v>45211</v>
          </cell>
          <cell r="L267" t="str">
            <v>829053</v>
          </cell>
          <cell r="M267" t="str">
            <v/>
          </cell>
          <cell r="N267" t="str">
            <v/>
          </cell>
          <cell r="O267" t="str">
            <v/>
          </cell>
          <cell r="P267" t="str">
            <v/>
          </cell>
          <cell r="Q267" t="str">
            <v/>
          </cell>
          <cell r="R267" t="str">
            <v/>
          </cell>
          <cell r="S267" t="str">
            <v/>
          </cell>
          <cell r="T267" t="str">
            <v/>
          </cell>
          <cell r="U267" t="str">
            <v/>
          </cell>
          <cell r="V267" t="str">
            <v>N52</v>
          </cell>
          <cell r="W267" t="str">
            <v/>
          </cell>
          <cell r="X267" t="str">
            <v/>
          </cell>
          <cell r="Y267" t="str">
            <v/>
          </cell>
          <cell r="Z267" t="str">
            <v/>
          </cell>
          <cell r="AA267" t="str">
            <v/>
          </cell>
          <cell r="AB267" t="str">
            <v>PA_4364629-UA.7005-3</v>
          </cell>
          <cell r="AC267">
            <v>1</v>
          </cell>
          <cell r="AD267" t="str">
            <v/>
          </cell>
          <cell r="AE267">
            <v>0</v>
          </cell>
          <cell r="AF267" t="str">
            <v/>
          </cell>
          <cell r="AG267" t="str">
            <v>12517896</v>
          </cell>
          <cell r="AH267">
            <v>44624.98542824074</v>
          </cell>
          <cell r="AI267" t="str">
            <v>N52</v>
          </cell>
          <cell r="AJ267" t="str">
            <v>F</v>
          </cell>
          <cell r="AK267" t="str">
            <v/>
          </cell>
        </row>
        <row r="268">
          <cell r="A268" t="str">
            <v>12517896829054</v>
          </cell>
          <cell r="B268" t="e">
            <v>#N/A</v>
          </cell>
          <cell r="C268">
            <v>20</v>
          </cell>
          <cell r="D268" t="str">
            <v>EK65</v>
          </cell>
          <cell r="E268" t="str">
            <v>522736</v>
          </cell>
          <cell r="F268" t="str">
            <v>E</v>
          </cell>
          <cell r="G268" t="str">
            <v>12517896</v>
          </cell>
          <cell r="H268" t="str">
            <v>Schellenhalter</v>
          </cell>
          <cell r="I268">
            <v>36</v>
          </cell>
          <cell r="J268" t="str">
            <v>Stk</v>
          </cell>
          <cell r="K268">
            <v>45213</v>
          </cell>
          <cell r="L268" t="str">
            <v>829054</v>
          </cell>
          <cell r="M268" t="str">
            <v/>
          </cell>
          <cell r="N268" t="str">
            <v/>
          </cell>
          <cell r="O268" t="str">
            <v/>
          </cell>
          <cell r="P268" t="str">
            <v/>
          </cell>
          <cell r="Q268" t="str">
            <v/>
          </cell>
          <cell r="R268" t="str">
            <v/>
          </cell>
          <cell r="S268" t="str">
            <v/>
          </cell>
          <cell r="T268" t="str">
            <v/>
          </cell>
          <cell r="U268" t="str">
            <v/>
          </cell>
          <cell r="V268" t="str">
            <v>N52</v>
          </cell>
          <cell r="W268" t="str">
            <v/>
          </cell>
          <cell r="X268" t="str">
            <v/>
          </cell>
          <cell r="Y268" t="str">
            <v/>
          </cell>
          <cell r="Z268" t="str">
            <v/>
          </cell>
          <cell r="AA268" t="str">
            <v/>
          </cell>
          <cell r="AB268" t="str">
            <v>PA_4364629-UA.7005-3</v>
          </cell>
          <cell r="AC268">
            <v>1</v>
          </cell>
          <cell r="AD268" t="str">
            <v/>
          </cell>
          <cell r="AE268">
            <v>0</v>
          </cell>
          <cell r="AF268" t="str">
            <v/>
          </cell>
          <cell r="AG268" t="str">
            <v>12517896</v>
          </cell>
          <cell r="AH268">
            <v>44624.98542824074</v>
          </cell>
          <cell r="AI268" t="str">
            <v>N52</v>
          </cell>
          <cell r="AJ268" t="str">
            <v>F</v>
          </cell>
          <cell r="AK268" t="str">
            <v/>
          </cell>
        </row>
        <row r="269">
          <cell r="A269" t="str">
            <v>12517897829053</v>
          </cell>
          <cell r="B269" t="e">
            <v>#N/A</v>
          </cell>
          <cell r="C269">
            <v>24</v>
          </cell>
          <cell r="D269" t="str">
            <v>EK65</v>
          </cell>
          <cell r="E269" t="str">
            <v>522737</v>
          </cell>
          <cell r="F269" t="str">
            <v>E</v>
          </cell>
          <cell r="G269" t="str">
            <v>12517897</v>
          </cell>
          <cell r="H269" t="str">
            <v>Halter</v>
          </cell>
          <cell r="I269">
            <v>51</v>
          </cell>
          <cell r="J269" t="str">
            <v>Stk</v>
          </cell>
          <cell r="K269">
            <v>45211</v>
          </cell>
          <cell r="L269" t="str">
            <v>829053</v>
          </cell>
          <cell r="M269" t="str">
            <v/>
          </cell>
          <cell r="N269" t="str">
            <v/>
          </cell>
          <cell r="O269" t="str">
            <v/>
          </cell>
          <cell r="P269" t="str">
            <v/>
          </cell>
          <cell r="Q269" t="str">
            <v/>
          </cell>
          <cell r="R269" t="str">
            <v/>
          </cell>
          <cell r="S269" t="str">
            <v/>
          </cell>
          <cell r="T269" t="str">
            <v/>
          </cell>
          <cell r="U269" t="str">
            <v/>
          </cell>
          <cell r="V269" t="str">
            <v>N52</v>
          </cell>
          <cell r="W269" t="str">
            <v/>
          </cell>
          <cell r="X269" t="str">
            <v/>
          </cell>
          <cell r="Y269" t="str">
            <v/>
          </cell>
          <cell r="Z269" t="str">
            <v/>
          </cell>
          <cell r="AA269" t="str">
            <v/>
          </cell>
          <cell r="AB269" t="str">
            <v>PA_4341737-UA.7005-2</v>
          </cell>
          <cell r="AC269">
            <v>1</v>
          </cell>
          <cell r="AD269" t="str">
            <v/>
          </cell>
          <cell r="AE269">
            <v>0</v>
          </cell>
          <cell r="AF269" t="str">
            <v/>
          </cell>
          <cell r="AG269" t="str">
            <v>12517897</v>
          </cell>
          <cell r="AH269">
            <v>44624.985451388886</v>
          </cell>
          <cell r="AI269" t="str">
            <v>N52</v>
          </cell>
          <cell r="AJ269" t="str">
            <v>F</v>
          </cell>
          <cell r="AK269" t="str">
            <v/>
          </cell>
        </row>
        <row r="270">
          <cell r="A270" t="str">
            <v>12517897829054</v>
          </cell>
          <cell r="B270" t="e">
            <v>#N/A</v>
          </cell>
          <cell r="C270">
            <v>24</v>
          </cell>
          <cell r="D270" t="str">
            <v>EK65</v>
          </cell>
          <cell r="E270" t="str">
            <v>522738</v>
          </cell>
          <cell r="F270" t="str">
            <v>E</v>
          </cell>
          <cell r="G270" t="str">
            <v>12517897</v>
          </cell>
          <cell r="H270" t="str">
            <v>Halter</v>
          </cell>
          <cell r="I270">
            <v>36</v>
          </cell>
          <cell r="J270" t="str">
            <v>Stk</v>
          </cell>
          <cell r="K270">
            <v>45213</v>
          </cell>
          <cell r="L270" t="str">
            <v>829054</v>
          </cell>
          <cell r="M270" t="str">
            <v/>
          </cell>
          <cell r="N270" t="str">
            <v/>
          </cell>
          <cell r="O270" t="str">
            <v/>
          </cell>
          <cell r="P270" t="str">
            <v/>
          </cell>
          <cell r="Q270" t="str">
            <v/>
          </cell>
          <cell r="R270" t="str">
            <v/>
          </cell>
          <cell r="S270" t="str">
            <v/>
          </cell>
          <cell r="T270" t="str">
            <v/>
          </cell>
          <cell r="U270" t="str">
            <v/>
          </cell>
          <cell r="V270" t="str">
            <v>N52</v>
          </cell>
          <cell r="W270" t="str">
            <v/>
          </cell>
          <cell r="X270" t="str">
            <v/>
          </cell>
          <cell r="Y270" t="str">
            <v/>
          </cell>
          <cell r="Z270" t="str">
            <v/>
          </cell>
          <cell r="AA270" t="str">
            <v/>
          </cell>
          <cell r="AB270" t="str">
            <v>PA_4341737-UA.7005-2</v>
          </cell>
          <cell r="AC270">
            <v>1</v>
          </cell>
          <cell r="AD270" t="str">
            <v/>
          </cell>
          <cell r="AE270">
            <v>0</v>
          </cell>
          <cell r="AF270" t="str">
            <v/>
          </cell>
          <cell r="AG270" t="str">
            <v>12517897</v>
          </cell>
          <cell r="AH270">
            <v>44624.985451388886</v>
          </cell>
          <cell r="AI270" t="str">
            <v>N52</v>
          </cell>
          <cell r="AJ270" t="str">
            <v>F</v>
          </cell>
          <cell r="AK270" t="str">
            <v/>
          </cell>
        </row>
        <row r="271">
          <cell r="A271" t="str">
            <v>12517901829053</v>
          </cell>
          <cell r="B271" t="e">
            <v>#N/A</v>
          </cell>
          <cell r="C271">
            <v>24</v>
          </cell>
          <cell r="D271" t="str">
            <v>EK65</v>
          </cell>
          <cell r="E271" t="str">
            <v>522739</v>
          </cell>
          <cell r="F271" t="str">
            <v>E</v>
          </cell>
          <cell r="G271" t="str">
            <v>12517901</v>
          </cell>
          <cell r="H271" t="str">
            <v>Abdeckung</v>
          </cell>
          <cell r="I271">
            <v>51</v>
          </cell>
          <cell r="J271" t="str">
            <v>Stk</v>
          </cell>
          <cell r="K271">
            <v>45211</v>
          </cell>
          <cell r="L271" t="str">
            <v>829053</v>
          </cell>
          <cell r="M271" t="str">
            <v/>
          </cell>
          <cell r="N271" t="str">
            <v/>
          </cell>
          <cell r="O271" t="str">
            <v/>
          </cell>
          <cell r="P271" t="str">
            <v/>
          </cell>
          <cell r="Q271" t="str">
            <v/>
          </cell>
          <cell r="R271" t="str">
            <v/>
          </cell>
          <cell r="S271" t="str">
            <v/>
          </cell>
          <cell r="T271" t="str">
            <v/>
          </cell>
          <cell r="U271" t="str">
            <v/>
          </cell>
          <cell r="V271" t="str">
            <v>N52</v>
          </cell>
          <cell r="W271" t="str">
            <v/>
          </cell>
          <cell r="X271" t="str">
            <v/>
          </cell>
          <cell r="Y271" t="str">
            <v/>
          </cell>
          <cell r="Z271" t="str">
            <v/>
          </cell>
          <cell r="AA271" t="str">
            <v/>
          </cell>
          <cell r="AB271" t="str">
            <v>PA_4369621-UA.7005-4</v>
          </cell>
          <cell r="AC271">
            <v>1</v>
          </cell>
          <cell r="AD271" t="str">
            <v/>
          </cell>
          <cell r="AE271">
            <v>0</v>
          </cell>
          <cell r="AF271" t="str">
            <v/>
          </cell>
          <cell r="AG271" t="str">
            <v>12517901</v>
          </cell>
          <cell r="AH271">
            <v>44624.985474537039</v>
          </cell>
          <cell r="AI271" t="str">
            <v>N52</v>
          </cell>
          <cell r="AJ271" t="str">
            <v>F</v>
          </cell>
          <cell r="AK271" t="str">
            <v/>
          </cell>
        </row>
        <row r="272">
          <cell r="A272" t="str">
            <v>12517901829054</v>
          </cell>
          <cell r="B272" t="e">
            <v>#N/A</v>
          </cell>
          <cell r="C272">
            <v>24</v>
          </cell>
          <cell r="D272" t="str">
            <v>EK65</v>
          </cell>
          <cell r="E272" t="str">
            <v>522740</v>
          </cell>
          <cell r="F272" t="str">
            <v>E</v>
          </cell>
          <cell r="G272" t="str">
            <v>12517901</v>
          </cell>
          <cell r="H272" t="str">
            <v>Abdeckung</v>
          </cell>
          <cell r="I272">
            <v>36</v>
          </cell>
          <cell r="J272" t="str">
            <v>Stk</v>
          </cell>
          <cell r="K272">
            <v>45213</v>
          </cell>
          <cell r="L272" t="str">
            <v>829054</v>
          </cell>
          <cell r="M272" t="str">
            <v/>
          </cell>
          <cell r="N272" t="str">
            <v/>
          </cell>
          <cell r="O272" t="str">
            <v/>
          </cell>
          <cell r="P272" t="str">
            <v/>
          </cell>
          <cell r="Q272" t="str">
            <v/>
          </cell>
          <cell r="R272" t="str">
            <v/>
          </cell>
          <cell r="S272" t="str">
            <v/>
          </cell>
          <cell r="T272" t="str">
            <v/>
          </cell>
          <cell r="U272" t="str">
            <v/>
          </cell>
          <cell r="V272" t="str">
            <v>N52</v>
          </cell>
          <cell r="W272" t="str">
            <v/>
          </cell>
          <cell r="X272" t="str">
            <v/>
          </cell>
          <cell r="Y272" t="str">
            <v/>
          </cell>
          <cell r="Z272" t="str">
            <v/>
          </cell>
          <cell r="AA272" t="str">
            <v/>
          </cell>
          <cell r="AB272" t="str">
            <v>PA_4369621-UA.7005-4</v>
          </cell>
          <cell r="AC272">
            <v>1</v>
          </cell>
          <cell r="AD272" t="str">
            <v/>
          </cell>
          <cell r="AE272">
            <v>0</v>
          </cell>
          <cell r="AF272" t="str">
            <v/>
          </cell>
          <cell r="AG272" t="str">
            <v>12517901</v>
          </cell>
          <cell r="AH272">
            <v>44624.985474537039</v>
          </cell>
          <cell r="AI272" t="str">
            <v>N52</v>
          </cell>
          <cell r="AJ272" t="str">
            <v>F</v>
          </cell>
          <cell r="AK272" t="str">
            <v/>
          </cell>
        </row>
        <row r="273">
          <cell r="A273" t="str">
            <v>12517902829053</v>
          </cell>
          <cell r="B273" t="e">
            <v>#N/A</v>
          </cell>
          <cell r="C273">
            <v>12</v>
          </cell>
          <cell r="D273" t="str">
            <v>EK65</v>
          </cell>
          <cell r="E273" t="str">
            <v>522741</v>
          </cell>
          <cell r="F273" t="str">
            <v>E</v>
          </cell>
          <cell r="G273" t="str">
            <v>12517902</v>
          </cell>
          <cell r="H273" t="str">
            <v>Halter</v>
          </cell>
          <cell r="I273">
            <v>103</v>
          </cell>
          <cell r="J273" t="str">
            <v>Stk</v>
          </cell>
          <cell r="K273">
            <v>45210</v>
          </cell>
          <cell r="L273" t="str">
            <v>829053</v>
          </cell>
          <cell r="M273" t="str">
            <v/>
          </cell>
          <cell r="N273" t="str">
            <v/>
          </cell>
          <cell r="O273" t="str">
            <v/>
          </cell>
          <cell r="P273" t="str">
            <v/>
          </cell>
          <cell r="Q273" t="str">
            <v/>
          </cell>
          <cell r="R273" t="str">
            <v/>
          </cell>
          <cell r="S273" t="str">
            <v/>
          </cell>
          <cell r="T273" t="str">
            <v/>
          </cell>
          <cell r="U273" t="str">
            <v/>
          </cell>
          <cell r="V273" t="str">
            <v>N52</v>
          </cell>
          <cell r="W273" t="str">
            <v/>
          </cell>
          <cell r="X273" t="str">
            <v/>
          </cell>
          <cell r="Y273" t="str">
            <v/>
          </cell>
          <cell r="Z273" t="str">
            <v/>
          </cell>
          <cell r="AA273" t="str">
            <v/>
          </cell>
          <cell r="AB273" t="str">
            <v>PA_4369352-UA.7005-3</v>
          </cell>
          <cell r="AC273">
            <v>1</v>
          </cell>
          <cell r="AD273" t="str">
            <v/>
          </cell>
          <cell r="AE273">
            <v>0</v>
          </cell>
          <cell r="AF273" t="str">
            <v/>
          </cell>
          <cell r="AG273" t="str">
            <v>12517902</v>
          </cell>
          <cell r="AH273">
            <v>44624.985497685186</v>
          </cell>
          <cell r="AI273" t="str">
            <v>N52</v>
          </cell>
          <cell r="AJ273" t="str">
            <v>F</v>
          </cell>
          <cell r="AK273" t="str">
            <v/>
          </cell>
        </row>
        <row r="274">
          <cell r="A274" t="str">
            <v>12517902829054</v>
          </cell>
          <cell r="B274" t="e">
            <v>#N/A</v>
          </cell>
          <cell r="C274">
            <v>12</v>
          </cell>
          <cell r="D274" t="str">
            <v>EK65</v>
          </cell>
          <cell r="E274" t="str">
            <v>522742</v>
          </cell>
          <cell r="F274" t="str">
            <v>E</v>
          </cell>
          <cell r="G274" t="str">
            <v>12517902</v>
          </cell>
          <cell r="H274" t="str">
            <v>Halter</v>
          </cell>
          <cell r="I274">
            <v>72</v>
          </cell>
          <cell r="J274" t="str">
            <v>Stk</v>
          </cell>
          <cell r="K274">
            <v>45213</v>
          </cell>
          <cell r="L274" t="str">
            <v>829054</v>
          </cell>
          <cell r="M274" t="str">
            <v/>
          </cell>
          <cell r="N274" t="str">
            <v/>
          </cell>
          <cell r="O274" t="str">
            <v/>
          </cell>
          <cell r="P274" t="str">
            <v/>
          </cell>
          <cell r="Q274" t="str">
            <v/>
          </cell>
          <cell r="R274" t="str">
            <v/>
          </cell>
          <cell r="S274" t="str">
            <v/>
          </cell>
          <cell r="T274" t="str">
            <v/>
          </cell>
          <cell r="U274" t="str">
            <v/>
          </cell>
          <cell r="V274" t="str">
            <v>N52</v>
          </cell>
          <cell r="W274" t="str">
            <v/>
          </cell>
          <cell r="X274" t="str">
            <v/>
          </cell>
          <cell r="Y274" t="str">
            <v/>
          </cell>
          <cell r="Z274" t="str">
            <v/>
          </cell>
          <cell r="AA274" t="str">
            <v/>
          </cell>
          <cell r="AB274" t="str">
            <v>PA_4369352-UA.7005-3</v>
          </cell>
          <cell r="AC274">
            <v>1</v>
          </cell>
          <cell r="AD274" t="str">
            <v/>
          </cell>
          <cell r="AE274">
            <v>0</v>
          </cell>
          <cell r="AF274" t="str">
            <v/>
          </cell>
          <cell r="AG274" t="str">
            <v>12517902</v>
          </cell>
          <cell r="AH274">
            <v>44624.985497685186</v>
          </cell>
          <cell r="AI274" t="str">
            <v>N52</v>
          </cell>
          <cell r="AJ274" t="str">
            <v>F</v>
          </cell>
          <cell r="AK274" t="str">
            <v/>
          </cell>
        </row>
        <row r="275">
          <cell r="A275" t="str">
            <v>12518120829054</v>
          </cell>
          <cell r="B275" t="e">
            <v>#N/A</v>
          </cell>
          <cell r="C275">
            <v>11</v>
          </cell>
          <cell r="D275" t="str">
            <v>EK65</v>
          </cell>
          <cell r="E275" t="str">
            <v>522744</v>
          </cell>
          <cell r="F275" t="str">
            <v>E</v>
          </cell>
          <cell r="G275" t="str">
            <v>12518120</v>
          </cell>
          <cell r="H275" t="str">
            <v>Halter</v>
          </cell>
          <cell r="I275">
            <v>42</v>
          </cell>
          <cell r="J275" t="str">
            <v>Stk</v>
          </cell>
          <cell r="K275">
            <v>45167</v>
          </cell>
          <cell r="L275" t="str">
            <v>829054</v>
          </cell>
          <cell r="M275" t="str">
            <v/>
          </cell>
          <cell r="N275" t="str">
            <v/>
          </cell>
          <cell r="O275" t="str">
            <v/>
          </cell>
          <cell r="P275" t="str">
            <v/>
          </cell>
          <cell r="Q275" t="str">
            <v/>
          </cell>
          <cell r="R275" t="str">
            <v/>
          </cell>
          <cell r="S275" t="str">
            <v/>
          </cell>
          <cell r="T275" t="str">
            <v/>
          </cell>
          <cell r="U275" t="str">
            <v/>
          </cell>
          <cell r="V275" t="str">
            <v>N52</v>
          </cell>
          <cell r="W275" t="str">
            <v/>
          </cell>
          <cell r="X275" t="str">
            <v/>
          </cell>
          <cell r="Y275" t="str">
            <v/>
          </cell>
          <cell r="Z275" t="str">
            <v/>
          </cell>
          <cell r="AA275" t="str">
            <v/>
          </cell>
          <cell r="AB275" t="str">
            <v>PA_4441711-QE.7005-3</v>
          </cell>
          <cell r="AC275">
            <v>1</v>
          </cell>
          <cell r="AD275" t="str">
            <v/>
          </cell>
          <cell r="AE275">
            <v>0</v>
          </cell>
          <cell r="AF275" t="str">
            <v/>
          </cell>
          <cell r="AG275" t="str">
            <v>12518120</v>
          </cell>
          <cell r="AH275">
            <v>44624.985590277778</v>
          </cell>
          <cell r="AI275" t="str">
            <v>N52</v>
          </cell>
          <cell r="AJ275" t="str">
            <v>F</v>
          </cell>
          <cell r="AK275" t="str">
            <v/>
          </cell>
        </row>
        <row r="276">
          <cell r="A276" t="str">
            <v>12518168829053</v>
          </cell>
          <cell r="B276" t="e">
            <v>#N/A</v>
          </cell>
          <cell r="C276">
            <v>12</v>
          </cell>
          <cell r="D276" t="str">
            <v>EK65</v>
          </cell>
          <cell r="E276" t="str">
            <v>522746</v>
          </cell>
          <cell r="F276" t="str">
            <v>E</v>
          </cell>
          <cell r="G276" t="str">
            <v>12518168</v>
          </cell>
          <cell r="H276" t="str">
            <v>Distanzplatte</v>
          </cell>
          <cell r="I276">
            <v>103</v>
          </cell>
          <cell r="J276" t="str">
            <v>Stk</v>
          </cell>
          <cell r="K276">
            <v>45210</v>
          </cell>
          <cell r="L276" t="str">
            <v>829053</v>
          </cell>
          <cell r="M276" t="str">
            <v/>
          </cell>
          <cell r="N276" t="str">
            <v/>
          </cell>
          <cell r="O276" t="str">
            <v/>
          </cell>
          <cell r="P276" t="str">
            <v/>
          </cell>
          <cell r="Q276" t="str">
            <v/>
          </cell>
          <cell r="R276" t="str">
            <v/>
          </cell>
          <cell r="S276" t="str">
            <v/>
          </cell>
          <cell r="T276" t="str">
            <v/>
          </cell>
          <cell r="U276" t="str">
            <v/>
          </cell>
          <cell r="V276" t="str">
            <v>N52</v>
          </cell>
          <cell r="W276" t="str">
            <v/>
          </cell>
          <cell r="X276" t="str">
            <v/>
          </cell>
          <cell r="Y276" t="str">
            <v/>
          </cell>
          <cell r="Z276" t="str">
            <v/>
          </cell>
          <cell r="AA276" t="str">
            <v/>
          </cell>
          <cell r="AB276" t="str">
            <v>PA_4563696-DC.7005-4</v>
          </cell>
          <cell r="AC276">
            <v>1</v>
          </cell>
          <cell r="AD276" t="str">
            <v/>
          </cell>
          <cell r="AE276">
            <v>0</v>
          </cell>
          <cell r="AF276" t="str">
            <v/>
          </cell>
          <cell r="AG276" t="str">
            <v>12518168</v>
          </cell>
          <cell r="AH276">
            <v>44624.985613425924</v>
          </cell>
          <cell r="AI276" t="str">
            <v>N52</v>
          </cell>
          <cell r="AJ276" t="str">
            <v>F</v>
          </cell>
          <cell r="AK276" t="str">
            <v/>
          </cell>
        </row>
        <row r="277">
          <cell r="A277" t="str">
            <v>12518238829053</v>
          </cell>
          <cell r="B277" t="e">
            <v>#N/A</v>
          </cell>
          <cell r="C277">
            <v>6</v>
          </cell>
          <cell r="D277" t="str">
            <v>EK65</v>
          </cell>
          <cell r="E277" t="str">
            <v>522748</v>
          </cell>
          <cell r="F277" t="str">
            <v>E</v>
          </cell>
          <cell r="G277" t="str">
            <v>12518238</v>
          </cell>
          <cell r="H277" t="str">
            <v>JK-Dehnhuelse ID 10,5  AD 30  H16</v>
          </cell>
          <cell r="I277">
            <v>1242</v>
          </cell>
          <cell r="J277" t="str">
            <v>Stk</v>
          </cell>
          <cell r="K277">
            <v>45205</v>
          </cell>
          <cell r="L277" t="str">
            <v>829053</v>
          </cell>
          <cell r="M277" t="str">
            <v/>
          </cell>
          <cell r="N277" t="str">
            <v/>
          </cell>
          <cell r="O277" t="str">
            <v/>
          </cell>
          <cell r="P277" t="str">
            <v/>
          </cell>
          <cell r="Q277" t="str">
            <v/>
          </cell>
          <cell r="R277" t="str">
            <v/>
          </cell>
          <cell r="S277" t="str">
            <v/>
          </cell>
          <cell r="T277" t="str">
            <v/>
          </cell>
          <cell r="U277" t="str">
            <v/>
          </cell>
          <cell r="V277" t="str">
            <v>N52</v>
          </cell>
          <cell r="W277" t="str">
            <v/>
          </cell>
          <cell r="X277" t="str">
            <v/>
          </cell>
          <cell r="Y277" t="str">
            <v/>
          </cell>
          <cell r="Z277" t="str">
            <v/>
          </cell>
          <cell r="AA277" t="str">
            <v/>
          </cell>
          <cell r="AB277" t="str">
            <v>PA_4557497-NB.7005-4</v>
          </cell>
          <cell r="AC277">
            <v>1</v>
          </cell>
          <cell r="AD277" t="str">
            <v/>
          </cell>
          <cell r="AE277">
            <v>0</v>
          </cell>
          <cell r="AF277" t="str">
            <v/>
          </cell>
          <cell r="AG277" t="str">
            <v>12518238</v>
          </cell>
          <cell r="AH277">
            <v>44624.98578703704</v>
          </cell>
          <cell r="AI277" t="str">
            <v>N52</v>
          </cell>
          <cell r="AJ277" t="str">
            <v>F</v>
          </cell>
          <cell r="AK277" t="str">
            <v/>
          </cell>
        </row>
        <row r="278">
          <cell r="A278" t="str">
            <v>12518238829054</v>
          </cell>
          <cell r="B278" t="e">
            <v>#N/A</v>
          </cell>
          <cell r="C278">
            <v>6</v>
          </cell>
          <cell r="D278" t="str">
            <v>EK65</v>
          </cell>
          <cell r="E278" t="str">
            <v>522749</v>
          </cell>
          <cell r="F278" t="str">
            <v>E</v>
          </cell>
          <cell r="G278" t="str">
            <v>12518238</v>
          </cell>
          <cell r="H278" t="str">
            <v>JK-Dehnhuelse ID 10,5  AD 30  H16</v>
          </cell>
          <cell r="I278">
            <v>266</v>
          </cell>
          <cell r="J278" t="str">
            <v>Stk</v>
          </cell>
          <cell r="K278">
            <v>45216</v>
          </cell>
          <cell r="L278" t="str">
            <v>829054</v>
          </cell>
          <cell r="M278" t="str">
            <v/>
          </cell>
          <cell r="N278" t="str">
            <v/>
          </cell>
          <cell r="O278" t="str">
            <v/>
          </cell>
          <cell r="P278" t="str">
            <v/>
          </cell>
          <cell r="Q278" t="str">
            <v/>
          </cell>
          <cell r="R278" t="str">
            <v/>
          </cell>
          <cell r="S278" t="str">
            <v/>
          </cell>
          <cell r="T278" t="str">
            <v/>
          </cell>
          <cell r="U278" t="str">
            <v/>
          </cell>
          <cell r="V278" t="str">
            <v>N52</v>
          </cell>
          <cell r="W278" t="str">
            <v/>
          </cell>
          <cell r="X278" t="str">
            <v/>
          </cell>
          <cell r="Y278" t="str">
            <v/>
          </cell>
          <cell r="Z278" t="str">
            <v/>
          </cell>
          <cell r="AA278" t="str">
            <v/>
          </cell>
          <cell r="AB278" t="str">
            <v>PA_4557497-NB.7005-4</v>
          </cell>
          <cell r="AC278">
            <v>1</v>
          </cell>
          <cell r="AD278" t="str">
            <v/>
          </cell>
          <cell r="AE278">
            <v>0</v>
          </cell>
          <cell r="AF278" t="str">
            <v/>
          </cell>
          <cell r="AG278" t="str">
            <v>12518238</v>
          </cell>
          <cell r="AH278">
            <v>44624.98578703704</v>
          </cell>
          <cell r="AI278" t="str">
            <v>N52</v>
          </cell>
          <cell r="AJ278" t="str">
            <v>F</v>
          </cell>
          <cell r="AK278" t="str">
            <v/>
          </cell>
        </row>
        <row r="279">
          <cell r="A279" t="str">
            <v>12518621829053</v>
          </cell>
          <cell r="B279" t="e">
            <v>#N/A</v>
          </cell>
          <cell r="C279">
            <v>24</v>
          </cell>
          <cell r="D279" t="str">
            <v>EK65</v>
          </cell>
          <cell r="E279" t="str">
            <v>522750</v>
          </cell>
          <cell r="F279" t="str">
            <v>E</v>
          </cell>
          <cell r="G279" t="str">
            <v>12518621</v>
          </cell>
          <cell r="H279" t="str">
            <v>Halter fuer Rohrschelle</v>
          </cell>
          <cell r="I279">
            <v>101</v>
          </cell>
          <cell r="J279" t="str">
            <v>Stk</v>
          </cell>
          <cell r="K279">
            <v>45196</v>
          </cell>
          <cell r="L279" t="str">
            <v>829053</v>
          </cell>
          <cell r="M279" t="str">
            <v/>
          </cell>
          <cell r="N279" t="str">
            <v/>
          </cell>
          <cell r="O279" t="str">
            <v/>
          </cell>
          <cell r="P279" t="str">
            <v/>
          </cell>
          <cell r="Q279" t="str">
            <v/>
          </cell>
          <cell r="R279" t="str">
            <v/>
          </cell>
          <cell r="S279" t="str">
            <v/>
          </cell>
          <cell r="T279" t="str">
            <v/>
          </cell>
          <cell r="U279" t="str">
            <v/>
          </cell>
          <cell r="V279" t="str">
            <v>N52</v>
          </cell>
          <cell r="W279" t="str">
            <v/>
          </cell>
          <cell r="X279" t="str">
            <v/>
          </cell>
          <cell r="Y279" t="str">
            <v/>
          </cell>
          <cell r="Z279" t="str">
            <v/>
          </cell>
          <cell r="AA279" t="str">
            <v/>
          </cell>
          <cell r="AB279" t="str">
            <v>PA_4367602-QE.7005-3</v>
          </cell>
          <cell r="AC279">
            <v>1</v>
          </cell>
          <cell r="AD279" t="str">
            <v/>
          </cell>
          <cell r="AE279">
            <v>0</v>
          </cell>
          <cell r="AF279" t="str">
            <v/>
          </cell>
          <cell r="AG279" t="str">
            <v>12518621</v>
          </cell>
          <cell r="AH279">
            <v>44624.985995370371</v>
          </cell>
          <cell r="AI279" t="str">
            <v>N52</v>
          </cell>
          <cell r="AJ279" t="str">
            <v>F</v>
          </cell>
          <cell r="AK279" t="str">
            <v/>
          </cell>
        </row>
        <row r="280">
          <cell r="A280" t="str">
            <v>12518621829054</v>
          </cell>
          <cell r="B280" t="e">
            <v>#N/A</v>
          </cell>
          <cell r="C280">
            <v>24</v>
          </cell>
          <cell r="D280" t="str">
            <v>EK65</v>
          </cell>
          <cell r="E280" t="str">
            <v>522751</v>
          </cell>
          <cell r="F280" t="str">
            <v>E</v>
          </cell>
          <cell r="G280" t="str">
            <v>12518621</v>
          </cell>
          <cell r="H280" t="str">
            <v>Halter fuer Rohrschelle</v>
          </cell>
          <cell r="I280">
            <v>69</v>
          </cell>
          <cell r="J280" t="str">
            <v>Stk</v>
          </cell>
          <cell r="K280">
            <v>45205</v>
          </cell>
          <cell r="L280" t="str">
            <v>829054</v>
          </cell>
          <cell r="M280" t="str">
            <v/>
          </cell>
          <cell r="N280" t="str">
            <v/>
          </cell>
          <cell r="O280" t="str">
            <v/>
          </cell>
          <cell r="P280" t="str">
            <v/>
          </cell>
          <cell r="Q280" t="str">
            <v/>
          </cell>
          <cell r="R280" t="str">
            <v/>
          </cell>
          <cell r="S280" t="str">
            <v/>
          </cell>
          <cell r="T280" t="str">
            <v/>
          </cell>
          <cell r="U280" t="str">
            <v/>
          </cell>
          <cell r="V280" t="str">
            <v>N52</v>
          </cell>
          <cell r="W280" t="str">
            <v/>
          </cell>
          <cell r="X280" t="str">
            <v/>
          </cell>
          <cell r="Y280" t="str">
            <v/>
          </cell>
          <cell r="Z280" t="str">
            <v/>
          </cell>
          <cell r="AA280" t="str">
            <v/>
          </cell>
          <cell r="AB280" t="str">
            <v>PA_4367602-QE.7005-3</v>
          </cell>
          <cell r="AC280">
            <v>1</v>
          </cell>
          <cell r="AD280" t="str">
            <v/>
          </cell>
          <cell r="AE280">
            <v>0</v>
          </cell>
          <cell r="AF280" t="str">
            <v/>
          </cell>
          <cell r="AG280" t="str">
            <v>12518621</v>
          </cell>
          <cell r="AH280">
            <v>44624.985995370371</v>
          </cell>
          <cell r="AI280" t="str">
            <v>N52</v>
          </cell>
          <cell r="AJ280" t="str">
            <v>F</v>
          </cell>
          <cell r="AK280" t="str">
            <v/>
          </cell>
        </row>
        <row r="281">
          <cell r="A281" t="str">
            <v>12519153829053</v>
          </cell>
          <cell r="B281" t="e">
            <v>#N/A</v>
          </cell>
          <cell r="C281">
            <v>24</v>
          </cell>
          <cell r="D281" t="str">
            <v>EK65</v>
          </cell>
          <cell r="E281" t="str">
            <v>522753</v>
          </cell>
          <cell r="F281" t="str">
            <v>E</v>
          </cell>
          <cell r="G281" t="str">
            <v>12519153</v>
          </cell>
          <cell r="H281" t="str">
            <v>Winkel</v>
          </cell>
          <cell r="I281">
            <v>97</v>
          </cell>
          <cell r="J281" t="str">
            <v>Stk</v>
          </cell>
          <cell r="K281">
            <v>45224</v>
          </cell>
          <cell r="L281" t="str">
            <v>829053</v>
          </cell>
          <cell r="M281" t="str">
            <v/>
          </cell>
          <cell r="N281" t="str">
            <v/>
          </cell>
          <cell r="O281" t="str">
            <v/>
          </cell>
          <cell r="P281" t="str">
            <v/>
          </cell>
          <cell r="Q281" t="str">
            <v/>
          </cell>
          <cell r="R281" t="str">
            <v/>
          </cell>
          <cell r="S281" t="str">
            <v/>
          </cell>
          <cell r="T281" t="str">
            <v/>
          </cell>
          <cell r="U281" t="str">
            <v/>
          </cell>
          <cell r="V281" t="str">
            <v>N52</v>
          </cell>
          <cell r="W281" t="str">
            <v/>
          </cell>
          <cell r="X281" t="str">
            <v/>
          </cell>
          <cell r="Y281" t="str">
            <v/>
          </cell>
          <cell r="Z281" t="str">
            <v/>
          </cell>
          <cell r="AA281" t="str">
            <v/>
          </cell>
          <cell r="AB281" t="str">
            <v>PA_4363650-LE.7005-3</v>
          </cell>
          <cell r="AC281">
            <v>1</v>
          </cell>
          <cell r="AD281" t="str">
            <v/>
          </cell>
          <cell r="AE281">
            <v>0</v>
          </cell>
          <cell r="AF281" t="str">
            <v/>
          </cell>
          <cell r="AG281" t="str">
            <v>12519153</v>
          </cell>
          <cell r="AH281">
            <v>44624.986157407409</v>
          </cell>
          <cell r="AI281" t="str">
            <v>N52</v>
          </cell>
          <cell r="AJ281" t="str">
            <v>F</v>
          </cell>
          <cell r="AK281" t="str">
            <v/>
          </cell>
        </row>
        <row r="282">
          <cell r="A282" t="str">
            <v>12519153829054</v>
          </cell>
          <cell r="B282" t="e">
            <v>#N/A</v>
          </cell>
          <cell r="C282">
            <v>24</v>
          </cell>
          <cell r="D282" t="str">
            <v>EK65</v>
          </cell>
          <cell r="E282" t="str">
            <v>522754</v>
          </cell>
          <cell r="F282" t="str">
            <v>E</v>
          </cell>
          <cell r="G282" t="str">
            <v>12519153</v>
          </cell>
          <cell r="H282" t="str">
            <v>Winkel</v>
          </cell>
          <cell r="I282">
            <v>26</v>
          </cell>
          <cell r="J282" t="str">
            <v>Stk</v>
          </cell>
          <cell r="K282">
            <v>45267</v>
          </cell>
          <cell r="L282" t="str">
            <v>829054</v>
          </cell>
          <cell r="M282" t="str">
            <v/>
          </cell>
          <cell r="N282" t="str">
            <v/>
          </cell>
          <cell r="O282" t="str">
            <v/>
          </cell>
          <cell r="P282" t="str">
            <v/>
          </cell>
          <cell r="Q282" t="str">
            <v/>
          </cell>
          <cell r="R282" t="str">
            <v/>
          </cell>
          <cell r="S282" t="str">
            <v/>
          </cell>
          <cell r="T282" t="str">
            <v/>
          </cell>
          <cell r="U282" t="str">
            <v/>
          </cell>
          <cell r="V282" t="str">
            <v>N52</v>
          </cell>
          <cell r="W282" t="str">
            <v/>
          </cell>
          <cell r="X282" t="str">
            <v/>
          </cell>
          <cell r="Y282" t="str">
            <v/>
          </cell>
          <cell r="Z282" t="str">
            <v/>
          </cell>
          <cell r="AA282" t="str">
            <v/>
          </cell>
          <cell r="AB282" t="str">
            <v>PA_4363650-LE.7005-3</v>
          </cell>
          <cell r="AC282">
            <v>1</v>
          </cell>
          <cell r="AD282" t="str">
            <v/>
          </cell>
          <cell r="AE282">
            <v>0</v>
          </cell>
          <cell r="AF282" t="str">
            <v/>
          </cell>
          <cell r="AG282" t="str">
            <v>12519153</v>
          </cell>
          <cell r="AH282">
            <v>44624.986157407409</v>
          </cell>
          <cell r="AI282" t="str">
            <v>N52</v>
          </cell>
          <cell r="AJ282" t="str">
            <v>F</v>
          </cell>
          <cell r="AK282" t="str">
            <v/>
          </cell>
        </row>
        <row r="283">
          <cell r="A283" t="str">
            <v>12519908829053</v>
          </cell>
          <cell r="B283" t="str">
            <v>Übergabe Task Force</v>
          </cell>
          <cell r="C283">
            <v>24</v>
          </cell>
          <cell r="D283" t="str">
            <v>EK65</v>
          </cell>
          <cell r="E283" t="str">
            <v>522757</v>
          </cell>
          <cell r="F283" t="str">
            <v>E</v>
          </cell>
          <cell r="G283" t="str">
            <v>12519908</v>
          </cell>
          <cell r="H283" t="str">
            <v>Gewindehinterlage</v>
          </cell>
          <cell r="I283">
            <v>46</v>
          </cell>
          <cell r="J283" t="str">
            <v>Stk</v>
          </cell>
          <cell r="K283">
            <v>45114</v>
          </cell>
          <cell r="L283" t="str">
            <v>829053</v>
          </cell>
          <cell r="M283" t="str">
            <v/>
          </cell>
          <cell r="N283" t="str">
            <v/>
          </cell>
          <cell r="O283" t="str">
            <v/>
          </cell>
          <cell r="P283" t="str">
            <v/>
          </cell>
          <cell r="Q283" t="str">
            <v/>
          </cell>
          <cell r="R283" t="str">
            <v/>
          </cell>
          <cell r="S283" t="str">
            <v/>
          </cell>
          <cell r="T283" t="str">
            <v/>
          </cell>
          <cell r="U283" t="str">
            <v/>
          </cell>
          <cell r="V283" t="str">
            <v>N52</v>
          </cell>
          <cell r="W283" t="str">
            <v/>
          </cell>
          <cell r="X283" t="str">
            <v/>
          </cell>
          <cell r="Y283" t="str">
            <v/>
          </cell>
          <cell r="Z283" t="str">
            <v/>
          </cell>
          <cell r="AA283" t="str">
            <v/>
          </cell>
          <cell r="AB283" t="str">
            <v>PA_4568064-JC.7005-4</v>
          </cell>
          <cell r="AC283">
            <v>1</v>
          </cell>
          <cell r="AD283" t="str">
            <v/>
          </cell>
          <cell r="AE283">
            <v>0</v>
          </cell>
          <cell r="AF283" t="str">
            <v/>
          </cell>
          <cell r="AG283" t="str">
            <v>12519908</v>
          </cell>
          <cell r="AH283">
            <v>44624.986226851855</v>
          </cell>
          <cell r="AI283" t="str">
            <v>N52</v>
          </cell>
          <cell r="AJ283" t="str">
            <v>F</v>
          </cell>
          <cell r="AK283" t="str">
            <v/>
          </cell>
        </row>
        <row r="284">
          <cell r="A284" t="str">
            <v>12520340829051</v>
          </cell>
          <cell r="B284" t="str">
            <v>Übergabe Task Force</v>
          </cell>
          <cell r="C284">
            <v>12</v>
          </cell>
          <cell r="D284" t="str">
            <v>EK65</v>
          </cell>
          <cell r="E284" t="str">
            <v>522769</v>
          </cell>
          <cell r="F284" t="str">
            <v>E</v>
          </cell>
          <cell r="G284" t="str">
            <v>12520340</v>
          </cell>
          <cell r="H284" t="str">
            <v>Steckerblech</v>
          </cell>
          <cell r="I284">
            <v>103</v>
          </cell>
          <cell r="J284" t="str">
            <v>Stk</v>
          </cell>
          <cell r="K284">
            <v>45163</v>
          </cell>
          <cell r="L284" t="str">
            <v>829051</v>
          </cell>
          <cell r="M284" t="str">
            <v/>
          </cell>
          <cell r="N284" t="str">
            <v/>
          </cell>
          <cell r="O284" t="str">
            <v/>
          </cell>
          <cell r="P284" t="str">
            <v/>
          </cell>
          <cell r="Q284" t="str">
            <v/>
          </cell>
          <cell r="R284" t="str">
            <v/>
          </cell>
          <cell r="S284" t="str">
            <v/>
          </cell>
          <cell r="T284" t="str">
            <v/>
          </cell>
          <cell r="U284" t="str">
            <v/>
          </cell>
          <cell r="V284" t="str">
            <v>N52</v>
          </cell>
          <cell r="W284" t="str">
            <v/>
          </cell>
          <cell r="X284" t="str">
            <v/>
          </cell>
          <cell r="Y284" t="str">
            <v/>
          </cell>
          <cell r="Z284" t="str">
            <v/>
          </cell>
          <cell r="AA284" t="str">
            <v/>
          </cell>
          <cell r="AB284" t="str">
            <v>PA_2335481-TC.7005-3</v>
          </cell>
          <cell r="AC284">
            <v>1</v>
          </cell>
          <cell r="AD284" t="str">
            <v/>
          </cell>
          <cell r="AE284">
            <v>0</v>
          </cell>
          <cell r="AF284" t="str">
            <v/>
          </cell>
          <cell r="AG284" t="str">
            <v>12520340</v>
          </cell>
          <cell r="AH284">
            <v>44624.986354166664</v>
          </cell>
          <cell r="AI284" t="str">
            <v>N52</v>
          </cell>
          <cell r="AJ284" t="str">
            <v>F</v>
          </cell>
          <cell r="AK284" t="str">
            <v/>
          </cell>
        </row>
        <row r="285">
          <cell r="A285" t="str">
            <v>12520356829051</v>
          </cell>
          <cell r="B285" t="str">
            <v>Übergabe Task Force</v>
          </cell>
          <cell r="C285">
            <v>14</v>
          </cell>
          <cell r="D285" t="str">
            <v>EK65</v>
          </cell>
          <cell r="E285" t="str">
            <v>522770</v>
          </cell>
          <cell r="F285" t="str">
            <v>E</v>
          </cell>
          <cell r="G285" t="str">
            <v>12520356</v>
          </cell>
          <cell r="H285" t="str">
            <v>Steckerblech</v>
          </cell>
          <cell r="I285">
            <v>103</v>
          </cell>
          <cell r="J285" t="str">
            <v>Stk</v>
          </cell>
          <cell r="K285">
            <v>45163</v>
          </cell>
          <cell r="L285" t="str">
            <v>829051</v>
          </cell>
          <cell r="M285" t="str">
            <v/>
          </cell>
          <cell r="N285" t="str">
            <v/>
          </cell>
          <cell r="O285" t="str">
            <v/>
          </cell>
          <cell r="P285" t="str">
            <v/>
          </cell>
          <cell r="Q285" t="str">
            <v/>
          </cell>
          <cell r="R285" t="str">
            <v/>
          </cell>
          <cell r="S285" t="str">
            <v/>
          </cell>
          <cell r="T285" t="str">
            <v/>
          </cell>
          <cell r="U285" t="str">
            <v/>
          </cell>
          <cell r="V285" t="str">
            <v>N52</v>
          </cell>
          <cell r="W285" t="str">
            <v/>
          </cell>
          <cell r="X285" t="str">
            <v/>
          </cell>
          <cell r="Y285" t="str">
            <v/>
          </cell>
          <cell r="Z285" t="str">
            <v/>
          </cell>
          <cell r="AA285" t="str">
            <v/>
          </cell>
          <cell r="AB285" t="str">
            <v>PA_2335686-TC.7005-3</v>
          </cell>
          <cell r="AC285">
            <v>1</v>
          </cell>
          <cell r="AD285" t="str">
            <v/>
          </cell>
          <cell r="AE285">
            <v>0</v>
          </cell>
          <cell r="AF285" t="str">
            <v/>
          </cell>
          <cell r="AG285" t="str">
            <v>12520356</v>
          </cell>
          <cell r="AH285">
            <v>44624.98636574074</v>
          </cell>
          <cell r="AI285" t="str">
            <v>N52</v>
          </cell>
          <cell r="AJ285" t="str">
            <v>F</v>
          </cell>
          <cell r="AK285" t="str">
            <v/>
          </cell>
        </row>
        <row r="286">
          <cell r="A286" t="str">
            <v>12520512829053</v>
          </cell>
          <cell r="B286" t="e">
            <v>#N/A</v>
          </cell>
          <cell r="C286">
            <v>4</v>
          </cell>
          <cell r="D286" t="str">
            <v>EK65</v>
          </cell>
          <cell r="E286" t="str">
            <v>522772</v>
          </cell>
          <cell r="F286" t="str">
            <v>E</v>
          </cell>
          <cell r="G286" t="str">
            <v>12520512</v>
          </cell>
          <cell r="H286" t="str">
            <v>Sammelschiene 10 x 3 x 1280</v>
          </cell>
          <cell r="I286">
            <v>96</v>
          </cell>
          <cell r="J286" t="str">
            <v>Stk</v>
          </cell>
          <cell r="K286">
            <v>45114</v>
          </cell>
          <cell r="L286" t="str">
            <v>829053</v>
          </cell>
          <cell r="M286" t="str">
            <v/>
          </cell>
          <cell r="N286" t="str">
            <v/>
          </cell>
          <cell r="O286" t="str">
            <v/>
          </cell>
          <cell r="P286" t="str">
            <v/>
          </cell>
          <cell r="Q286" t="str">
            <v/>
          </cell>
          <cell r="R286" t="str">
            <v/>
          </cell>
          <cell r="S286" t="str">
            <v/>
          </cell>
          <cell r="T286" t="str">
            <v/>
          </cell>
          <cell r="U286" t="str">
            <v/>
          </cell>
          <cell r="V286" t="str">
            <v>N52</v>
          </cell>
          <cell r="W286" t="str">
            <v/>
          </cell>
          <cell r="X286" t="str">
            <v/>
          </cell>
          <cell r="Y286" t="str">
            <v/>
          </cell>
          <cell r="Z286" t="str">
            <v/>
          </cell>
          <cell r="AA286" t="str">
            <v/>
          </cell>
          <cell r="AB286" t="str">
            <v>PA_2342434-TC.7005-3</v>
          </cell>
          <cell r="AC286">
            <v>1</v>
          </cell>
          <cell r="AD286" t="str">
            <v/>
          </cell>
          <cell r="AE286">
            <v>0</v>
          </cell>
          <cell r="AF286" t="str">
            <v/>
          </cell>
          <cell r="AG286" t="str">
            <v>12520512</v>
          </cell>
          <cell r="AH286">
            <v>44624.986550925925</v>
          </cell>
          <cell r="AI286" t="str">
            <v>N52</v>
          </cell>
          <cell r="AJ286" t="str">
            <v>F</v>
          </cell>
          <cell r="AK286" t="str">
            <v/>
          </cell>
        </row>
        <row r="287">
          <cell r="A287" t="str">
            <v>12520569829051</v>
          </cell>
          <cell r="B287" t="str">
            <v>Übergabe Task Force</v>
          </cell>
          <cell r="C287">
            <v>14</v>
          </cell>
          <cell r="D287" t="str">
            <v>EK65</v>
          </cell>
          <cell r="E287" t="str">
            <v>522773</v>
          </cell>
          <cell r="F287" t="str">
            <v>E</v>
          </cell>
          <cell r="G287" t="str">
            <v>12520569</v>
          </cell>
          <cell r="H287" t="str">
            <v>Schiene 10 x 3 x 480</v>
          </cell>
          <cell r="I287">
            <v>103</v>
          </cell>
          <cell r="J287" t="str">
            <v>Stk</v>
          </cell>
          <cell r="K287">
            <v>45163</v>
          </cell>
          <cell r="L287" t="str">
            <v>829051</v>
          </cell>
          <cell r="M287" t="str">
            <v/>
          </cell>
          <cell r="N287" t="str">
            <v/>
          </cell>
          <cell r="O287" t="str">
            <v/>
          </cell>
          <cell r="P287" t="str">
            <v/>
          </cell>
          <cell r="Q287" t="str">
            <v/>
          </cell>
          <cell r="R287" t="str">
            <v/>
          </cell>
          <cell r="S287" t="str">
            <v/>
          </cell>
          <cell r="T287" t="str">
            <v/>
          </cell>
          <cell r="U287" t="str">
            <v/>
          </cell>
          <cell r="V287" t="str">
            <v>N52</v>
          </cell>
          <cell r="W287" t="str">
            <v/>
          </cell>
          <cell r="X287" t="str">
            <v/>
          </cell>
          <cell r="Y287" t="str">
            <v/>
          </cell>
          <cell r="Z287" t="str">
            <v/>
          </cell>
          <cell r="AA287" t="str">
            <v/>
          </cell>
          <cell r="AB287" t="str">
            <v>PA_4365605-TC.7005-3</v>
          </cell>
          <cell r="AC287">
            <v>1</v>
          </cell>
          <cell r="AD287" t="str">
            <v/>
          </cell>
          <cell r="AE287">
            <v>0</v>
          </cell>
          <cell r="AF287" t="str">
            <v/>
          </cell>
          <cell r="AG287" t="str">
            <v>12520569</v>
          </cell>
          <cell r="AH287">
            <v>44624.986574074072</v>
          </cell>
          <cell r="AI287" t="str">
            <v>N52</v>
          </cell>
          <cell r="AJ287" t="str">
            <v>F</v>
          </cell>
          <cell r="AK287" t="str">
            <v/>
          </cell>
        </row>
        <row r="288">
          <cell r="A288" t="str">
            <v>12520580829053</v>
          </cell>
          <cell r="B288" t="e">
            <v>#N/A</v>
          </cell>
          <cell r="C288">
            <v>12</v>
          </cell>
          <cell r="D288" t="str">
            <v>EK65</v>
          </cell>
          <cell r="E288" t="str">
            <v>522774</v>
          </cell>
          <cell r="F288" t="str">
            <v>E</v>
          </cell>
          <cell r="G288" t="str">
            <v>12520580</v>
          </cell>
          <cell r="H288" t="str">
            <v>Halter</v>
          </cell>
          <cell r="I288">
            <v>48</v>
          </cell>
          <cell r="J288" t="str">
            <v>Stk</v>
          </cell>
          <cell r="K288">
            <v>45114</v>
          </cell>
          <cell r="L288" t="str">
            <v>829053</v>
          </cell>
          <cell r="M288" t="str">
            <v/>
          </cell>
          <cell r="N288" t="str">
            <v/>
          </cell>
          <cell r="O288" t="str">
            <v/>
          </cell>
          <cell r="P288" t="str">
            <v/>
          </cell>
          <cell r="Q288" t="str">
            <v/>
          </cell>
          <cell r="R288" t="str">
            <v/>
          </cell>
          <cell r="S288" t="str">
            <v/>
          </cell>
          <cell r="T288" t="str">
            <v/>
          </cell>
          <cell r="U288" t="str">
            <v/>
          </cell>
          <cell r="V288" t="str">
            <v>N52</v>
          </cell>
          <cell r="W288" t="str">
            <v/>
          </cell>
          <cell r="X288" t="str">
            <v/>
          </cell>
          <cell r="Y288" t="str">
            <v/>
          </cell>
          <cell r="Z288" t="str">
            <v/>
          </cell>
          <cell r="AA288" t="str">
            <v/>
          </cell>
          <cell r="AB288" t="str">
            <v>PA_4425584-TC.7005-2</v>
          </cell>
          <cell r="AC288">
            <v>1</v>
          </cell>
          <cell r="AD288" t="str">
            <v/>
          </cell>
          <cell r="AE288">
            <v>0</v>
          </cell>
          <cell r="AF288" t="str">
            <v/>
          </cell>
          <cell r="AG288" t="str">
            <v>12520580</v>
          </cell>
          <cell r="AH288">
            <v>44624.986597222225</v>
          </cell>
          <cell r="AI288" t="str">
            <v>N52</v>
          </cell>
          <cell r="AJ288" t="str">
            <v>F</v>
          </cell>
          <cell r="AK288" t="str">
            <v/>
          </cell>
        </row>
        <row r="289">
          <cell r="A289" t="str">
            <v>12520604829053</v>
          </cell>
          <cell r="B289" t="e">
            <v>#N/A</v>
          </cell>
          <cell r="C289">
            <v>14</v>
          </cell>
          <cell r="D289" t="str">
            <v>EK65</v>
          </cell>
          <cell r="E289" t="str">
            <v>522776</v>
          </cell>
          <cell r="F289" t="str">
            <v>E</v>
          </cell>
          <cell r="G289" t="str">
            <v>12520604</v>
          </cell>
          <cell r="H289" t="str">
            <v>Halter Hutschiene</v>
          </cell>
          <cell r="I289">
            <v>88</v>
          </cell>
          <cell r="J289" t="str">
            <v>Stk</v>
          </cell>
          <cell r="K289">
            <v>45128</v>
          </cell>
          <cell r="L289" t="str">
            <v>829053</v>
          </cell>
          <cell r="M289" t="str">
            <v/>
          </cell>
          <cell r="N289" t="str">
            <v/>
          </cell>
          <cell r="O289" t="str">
            <v/>
          </cell>
          <cell r="P289" t="str">
            <v/>
          </cell>
          <cell r="Q289" t="str">
            <v/>
          </cell>
          <cell r="R289" t="str">
            <v/>
          </cell>
          <cell r="S289" t="str">
            <v/>
          </cell>
          <cell r="T289" t="str">
            <v/>
          </cell>
          <cell r="U289" t="str">
            <v/>
          </cell>
          <cell r="V289" t="str">
            <v>N52</v>
          </cell>
          <cell r="W289" t="str">
            <v/>
          </cell>
          <cell r="X289" t="str">
            <v/>
          </cell>
          <cell r="Y289" t="str">
            <v/>
          </cell>
          <cell r="Z289" t="str">
            <v/>
          </cell>
          <cell r="AA289" t="str">
            <v/>
          </cell>
          <cell r="AB289" t="str">
            <v>PA_4523492-TC.7005-3</v>
          </cell>
          <cell r="AC289">
            <v>1</v>
          </cell>
          <cell r="AD289" t="str">
            <v/>
          </cell>
          <cell r="AE289">
            <v>0</v>
          </cell>
          <cell r="AF289" t="str">
            <v/>
          </cell>
          <cell r="AG289" t="str">
            <v>12520604</v>
          </cell>
          <cell r="AH289">
            <v>44624.986643518518</v>
          </cell>
          <cell r="AI289" t="str">
            <v>N52</v>
          </cell>
          <cell r="AJ289" t="str">
            <v>F</v>
          </cell>
          <cell r="AK289" t="str">
            <v/>
          </cell>
        </row>
        <row r="290">
          <cell r="A290" t="str">
            <v>12520851829051</v>
          </cell>
          <cell r="B290" t="e">
            <v>#N/A</v>
          </cell>
          <cell r="C290">
            <v>20</v>
          </cell>
          <cell r="D290" t="str">
            <v>EK65</v>
          </cell>
          <cell r="E290" t="str">
            <v>522777</v>
          </cell>
          <cell r="F290" t="str">
            <v>E</v>
          </cell>
          <cell r="G290" t="str">
            <v>12520851</v>
          </cell>
          <cell r="H290" t="str">
            <v>Halter fuer Rohrschelle</v>
          </cell>
          <cell r="I290">
            <v>45</v>
          </cell>
          <cell r="J290" t="str">
            <v>Stk</v>
          </cell>
          <cell r="K290">
            <v>45329</v>
          </cell>
          <cell r="L290" t="str">
            <v>829051</v>
          </cell>
          <cell r="M290" t="str">
            <v/>
          </cell>
          <cell r="N290" t="str">
            <v/>
          </cell>
          <cell r="O290" t="str">
            <v/>
          </cell>
          <cell r="P290" t="str">
            <v/>
          </cell>
          <cell r="Q290" t="str">
            <v/>
          </cell>
          <cell r="R290" t="str">
            <v/>
          </cell>
          <cell r="S290" t="str">
            <v/>
          </cell>
          <cell r="T290" t="str">
            <v/>
          </cell>
          <cell r="U290" t="str">
            <v/>
          </cell>
          <cell r="V290" t="str">
            <v>N52</v>
          </cell>
          <cell r="W290" t="str">
            <v/>
          </cell>
          <cell r="X290" t="str">
            <v/>
          </cell>
          <cell r="Y290" t="str">
            <v/>
          </cell>
          <cell r="Z290" t="str">
            <v/>
          </cell>
          <cell r="AA290" t="str">
            <v/>
          </cell>
          <cell r="AB290" t="str">
            <v>PA_4418701-QE.7005-3</v>
          </cell>
          <cell r="AC290">
            <v>1</v>
          </cell>
          <cell r="AD290" t="str">
            <v/>
          </cell>
          <cell r="AE290">
            <v>0</v>
          </cell>
          <cell r="AF290" t="str">
            <v/>
          </cell>
          <cell r="AG290" t="str">
            <v>12520851</v>
          </cell>
          <cell r="AH290">
            <v>44624.986828703702</v>
          </cell>
          <cell r="AI290" t="str">
            <v>N52</v>
          </cell>
          <cell r="AJ290" t="str">
            <v>F</v>
          </cell>
          <cell r="AK290" t="str">
            <v/>
          </cell>
        </row>
        <row r="291">
          <cell r="A291" t="str">
            <v>12520851829052</v>
          </cell>
          <cell r="B291" t="e">
            <v>#N/A</v>
          </cell>
          <cell r="C291">
            <v>20</v>
          </cell>
          <cell r="D291" t="str">
            <v>EK65</v>
          </cell>
          <cell r="E291" t="str">
            <v>522778</v>
          </cell>
          <cell r="F291" t="str">
            <v>E</v>
          </cell>
          <cell r="G291" t="str">
            <v>12520851</v>
          </cell>
          <cell r="H291" t="str">
            <v>Halter fuer Rohrschelle</v>
          </cell>
          <cell r="I291">
            <v>31</v>
          </cell>
          <cell r="J291" t="str">
            <v>Stk</v>
          </cell>
          <cell r="K291">
            <v>45351</v>
          </cell>
          <cell r="L291" t="str">
            <v>829052</v>
          </cell>
          <cell r="M291" t="str">
            <v/>
          </cell>
          <cell r="N291" t="str">
            <v/>
          </cell>
          <cell r="O291" t="str">
            <v/>
          </cell>
          <cell r="P291" t="str">
            <v/>
          </cell>
          <cell r="Q291" t="str">
            <v/>
          </cell>
          <cell r="R291" t="str">
            <v/>
          </cell>
          <cell r="S291" t="str">
            <v/>
          </cell>
          <cell r="T291" t="str">
            <v/>
          </cell>
          <cell r="U291" t="str">
            <v/>
          </cell>
          <cell r="V291" t="str">
            <v>N52</v>
          </cell>
          <cell r="W291" t="str">
            <v/>
          </cell>
          <cell r="X291" t="str">
            <v/>
          </cell>
          <cell r="Y291" t="str">
            <v/>
          </cell>
          <cell r="Z291" t="str">
            <v/>
          </cell>
          <cell r="AA291" t="str">
            <v/>
          </cell>
          <cell r="AB291" t="str">
            <v>PA_4418701-QE.7005-3</v>
          </cell>
          <cell r="AC291">
            <v>1</v>
          </cell>
          <cell r="AD291" t="str">
            <v/>
          </cell>
          <cell r="AE291">
            <v>0</v>
          </cell>
          <cell r="AF291" t="str">
            <v/>
          </cell>
          <cell r="AG291" t="str">
            <v>12520851</v>
          </cell>
          <cell r="AH291">
            <v>44624.986828703702</v>
          </cell>
          <cell r="AI291" t="str">
            <v>N52</v>
          </cell>
          <cell r="AJ291" t="str">
            <v>F</v>
          </cell>
          <cell r="AK291" t="str">
            <v/>
          </cell>
        </row>
        <row r="292">
          <cell r="A292" t="str">
            <v>12527344829053</v>
          </cell>
          <cell r="B292" t="e">
            <v>#N/A</v>
          </cell>
          <cell r="C292">
            <v>1</v>
          </cell>
          <cell r="D292" t="str">
            <v>EK65</v>
          </cell>
          <cell r="E292" t="str">
            <v>522783</v>
          </cell>
          <cell r="F292" t="str">
            <v>E</v>
          </cell>
          <cell r="G292" t="str">
            <v>12527344</v>
          </cell>
          <cell r="H292" t="str">
            <v>JK-FSST Beilage C-Schiene</v>
          </cell>
          <cell r="I292">
            <v>204</v>
          </cell>
          <cell r="J292" t="str">
            <v>Stk</v>
          </cell>
          <cell r="K292">
            <v>45205</v>
          </cell>
          <cell r="L292" t="str">
            <v>829053</v>
          </cell>
          <cell r="M292" t="str">
            <v/>
          </cell>
          <cell r="N292" t="str">
            <v/>
          </cell>
          <cell r="O292" t="str">
            <v/>
          </cell>
          <cell r="P292" t="str">
            <v/>
          </cell>
          <cell r="Q292" t="str">
            <v/>
          </cell>
          <cell r="R292" t="str">
            <v/>
          </cell>
          <cell r="S292" t="str">
            <v/>
          </cell>
          <cell r="T292" t="str">
            <v/>
          </cell>
          <cell r="U292" t="str">
            <v/>
          </cell>
          <cell r="V292" t="str">
            <v>N52</v>
          </cell>
          <cell r="W292" t="str">
            <v/>
          </cell>
          <cell r="X292" t="str">
            <v/>
          </cell>
          <cell r="Y292" t="str">
            <v/>
          </cell>
          <cell r="Z292" t="str">
            <v/>
          </cell>
          <cell r="AA292" t="str">
            <v/>
          </cell>
          <cell r="AB292" t="str">
            <v>PA_4582024-NB.7005-4</v>
          </cell>
          <cell r="AC292">
            <v>1</v>
          </cell>
          <cell r="AD292" t="str">
            <v/>
          </cell>
          <cell r="AE292">
            <v>0</v>
          </cell>
          <cell r="AF292" t="str">
            <v/>
          </cell>
          <cell r="AG292" t="str">
            <v>12527344</v>
          </cell>
          <cell r="AH292">
            <v>44624.987384259257</v>
          </cell>
          <cell r="AI292" t="str">
            <v>N52</v>
          </cell>
          <cell r="AJ292" t="str">
            <v>F</v>
          </cell>
          <cell r="AK292" t="str">
            <v/>
          </cell>
        </row>
        <row r="293">
          <cell r="A293" t="str">
            <v>12527456829053</v>
          </cell>
          <cell r="B293" t="e">
            <v>#N/A</v>
          </cell>
          <cell r="C293">
            <v>4</v>
          </cell>
          <cell r="D293" t="str">
            <v>EK65</v>
          </cell>
          <cell r="E293" t="str">
            <v>522784</v>
          </cell>
          <cell r="F293" t="str">
            <v>E</v>
          </cell>
          <cell r="G293" t="str">
            <v>12527456</v>
          </cell>
          <cell r="H293" t="str">
            <v>Dehnhuelse M10</v>
          </cell>
          <cell r="I293">
            <v>206</v>
          </cell>
          <cell r="J293" t="str">
            <v>Stk</v>
          </cell>
          <cell r="K293">
            <v>45212</v>
          </cell>
          <cell r="L293" t="str">
            <v>829053</v>
          </cell>
          <cell r="M293" t="str">
            <v/>
          </cell>
          <cell r="N293" t="str">
            <v/>
          </cell>
          <cell r="O293" t="str">
            <v/>
          </cell>
          <cell r="P293" t="str">
            <v/>
          </cell>
          <cell r="Q293" t="str">
            <v/>
          </cell>
          <cell r="R293" t="str">
            <v/>
          </cell>
          <cell r="S293" t="str">
            <v/>
          </cell>
          <cell r="T293" t="str">
            <v/>
          </cell>
          <cell r="U293" t="str">
            <v/>
          </cell>
          <cell r="V293" t="str">
            <v>N52</v>
          </cell>
          <cell r="W293" t="str">
            <v/>
          </cell>
          <cell r="X293" t="str">
            <v/>
          </cell>
          <cell r="Y293" t="str">
            <v/>
          </cell>
          <cell r="Z293" t="str">
            <v/>
          </cell>
          <cell r="AA293" t="str">
            <v/>
          </cell>
          <cell r="AB293" t="str">
            <v>PA_4373368-CF.7005-4</v>
          </cell>
          <cell r="AC293">
            <v>1</v>
          </cell>
          <cell r="AD293" t="str">
            <v/>
          </cell>
          <cell r="AE293">
            <v>0</v>
          </cell>
          <cell r="AF293" t="str">
            <v/>
          </cell>
          <cell r="AG293" t="str">
            <v>12527456</v>
          </cell>
          <cell r="AH293">
            <v>44624.98741898148</v>
          </cell>
          <cell r="AI293" t="str">
            <v>N52</v>
          </cell>
          <cell r="AJ293" t="str">
            <v>F</v>
          </cell>
          <cell r="AK293" t="str">
            <v/>
          </cell>
        </row>
        <row r="294">
          <cell r="A294" t="str">
            <v>12527457829053</v>
          </cell>
          <cell r="B294" t="e">
            <v>#N/A</v>
          </cell>
          <cell r="C294">
            <v>8</v>
          </cell>
          <cell r="D294" t="str">
            <v>EK65</v>
          </cell>
          <cell r="E294" t="str">
            <v>522785</v>
          </cell>
          <cell r="F294" t="str">
            <v>E</v>
          </cell>
          <cell r="G294" t="str">
            <v>12527457</v>
          </cell>
          <cell r="H294" t="str">
            <v>Platte</v>
          </cell>
          <cell r="I294">
            <v>202</v>
          </cell>
          <cell r="J294" t="str">
            <v>Stk</v>
          </cell>
          <cell r="K294">
            <v>45212</v>
          </cell>
          <cell r="L294" t="str">
            <v>829053</v>
          </cell>
          <cell r="M294" t="str">
            <v/>
          </cell>
          <cell r="N294" t="str">
            <v/>
          </cell>
          <cell r="O294" t="str">
            <v/>
          </cell>
          <cell r="P294" t="str">
            <v/>
          </cell>
          <cell r="Q294" t="str">
            <v/>
          </cell>
          <cell r="R294" t="str">
            <v/>
          </cell>
          <cell r="S294" t="str">
            <v/>
          </cell>
          <cell r="T294" t="str">
            <v/>
          </cell>
          <cell r="U294" t="str">
            <v/>
          </cell>
          <cell r="V294" t="str">
            <v>N52</v>
          </cell>
          <cell r="W294" t="str">
            <v/>
          </cell>
          <cell r="X294" t="str">
            <v/>
          </cell>
          <cell r="Y294" t="str">
            <v/>
          </cell>
          <cell r="Z294" t="str">
            <v/>
          </cell>
          <cell r="AA294" t="str">
            <v/>
          </cell>
          <cell r="AB294" t="str">
            <v>PA_2338322-SD.7005-4</v>
          </cell>
          <cell r="AC294">
            <v>1</v>
          </cell>
          <cell r="AD294" t="str">
            <v/>
          </cell>
          <cell r="AE294">
            <v>0</v>
          </cell>
          <cell r="AF294" t="str">
            <v/>
          </cell>
          <cell r="AG294" t="str">
            <v>12527457</v>
          </cell>
          <cell r="AH294">
            <v>44624.987442129626</v>
          </cell>
          <cell r="AI294" t="str">
            <v>N52</v>
          </cell>
          <cell r="AJ294" t="str">
            <v>F</v>
          </cell>
          <cell r="AK294" t="str">
            <v/>
          </cell>
        </row>
        <row r="295">
          <cell r="A295" t="str">
            <v>12527457829051</v>
          </cell>
          <cell r="B295" t="e">
            <v>#N/A</v>
          </cell>
          <cell r="C295">
            <v>8</v>
          </cell>
          <cell r="D295" t="str">
            <v>EK65</v>
          </cell>
          <cell r="E295" t="str">
            <v>522786</v>
          </cell>
          <cell r="F295" t="str">
            <v>E</v>
          </cell>
          <cell r="G295" t="str">
            <v>12527457</v>
          </cell>
          <cell r="H295" t="str">
            <v>Platte</v>
          </cell>
          <cell r="I295">
            <v>361</v>
          </cell>
          <cell r="J295" t="str">
            <v>Stk</v>
          </cell>
          <cell r="K295">
            <v>45323</v>
          </cell>
          <cell r="L295" t="str">
            <v>829051</v>
          </cell>
          <cell r="M295" t="str">
            <v/>
          </cell>
          <cell r="N295" t="str">
            <v/>
          </cell>
          <cell r="O295" t="str">
            <v/>
          </cell>
          <cell r="P295" t="str">
            <v/>
          </cell>
          <cell r="Q295" t="str">
            <v/>
          </cell>
          <cell r="R295" t="str">
            <v/>
          </cell>
          <cell r="S295" t="str">
            <v/>
          </cell>
          <cell r="T295" t="str">
            <v/>
          </cell>
          <cell r="U295" t="str">
            <v/>
          </cell>
          <cell r="V295" t="str">
            <v>N52</v>
          </cell>
          <cell r="W295" t="str">
            <v/>
          </cell>
          <cell r="X295" t="str">
            <v/>
          </cell>
          <cell r="Y295" t="str">
            <v/>
          </cell>
          <cell r="Z295" t="str">
            <v/>
          </cell>
          <cell r="AA295" t="str">
            <v/>
          </cell>
          <cell r="AB295" t="str">
            <v>PA_2338322-SD.7005-4</v>
          </cell>
          <cell r="AC295">
            <v>1</v>
          </cell>
          <cell r="AD295" t="str">
            <v/>
          </cell>
          <cell r="AE295">
            <v>0</v>
          </cell>
          <cell r="AF295" t="str">
            <v/>
          </cell>
          <cell r="AG295" t="str">
            <v>12527457</v>
          </cell>
          <cell r="AH295">
            <v>44624.987442129626</v>
          </cell>
          <cell r="AI295" t="str">
            <v>N52</v>
          </cell>
          <cell r="AJ295" t="str">
            <v>F</v>
          </cell>
          <cell r="AK295" t="str">
            <v/>
          </cell>
        </row>
        <row r="296">
          <cell r="A296" t="str">
            <v>12527907829053</v>
          </cell>
          <cell r="B296" t="e">
            <v>#N/A</v>
          </cell>
          <cell r="C296">
            <v>4</v>
          </cell>
          <cell r="D296" t="str">
            <v>EK65</v>
          </cell>
          <cell r="E296" t="str">
            <v>522791</v>
          </cell>
          <cell r="F296" t="str">
            <v>E</v>
          </cell>
          <cell r="G296" t="str">
            <v>12527907</v>
          </cell>
          <cell r="H296" t="str">
            <v>Dehnhuelse</v>
          </cell>
          <cell r="I296">
            <v>153</v>
          </cell>
          <cell r="J296" t="str">
            <v>Stk</v>
          </cell>
          <cell r="K296">
            <v>45212</v>
          </cell>
          <cell r="L296" t="str">
            <v>829053</v>
          </cell>
          <cell r="M296" t="str">
            <v/>
          </cell>
          <cell r="N296" t="str">
            <v/>
          </cell>
          <cell r="O296" t="str">
            <v/>
          </cell>
          <cell r="P296" t="str">
            <v/>
          </cell>
          <cell r="Q296" t="str">
            <v/>
          </cell>
          <cell r="R296" t="str">
            <v/>
          </cell>
          <cell r="S296" t="str">
            <v/>
          </cell>
          <cell r="T296" t="str">
            <v/>
          </cell>
          <cell r="U296" t="str">
            <v/>
          </cell>
          <cell r="V296" t="str">
            <v>N52</v>
          </cell>
          <cell r="W296" t="str">
            <v/>
          </cell>
          <cell r="X296" t="str">
            <v/>
          </cell>
          <cell r="Y296" t="str">
            <v/>
          </cell>
          <cell r="Z296" t="str">
            <v/>
          </cell>
          <cell r="AA296" t="str">
            <v/>
          </cell>
          <cell r="AB296" t="str">
            <v>PA_4382934-CF.7005-4</v>
          </cell>
          <cell r="AC296">
            <v>1</v>
          </cell>
          <cell r="AD296" t="str">
            <v/>
          </cell>
          <cell r="AE296">
            <v>0</v>
          </cell>
          <cell r="AF296" t="str">
            <v/>
          </cell>
          <cell r="AG296" t="str">
            <v>12527907</v>
          </cell>
          <cell r="AH296">
            <v>44624.988009259258</v>
          </cell>
          <cell r="AI296" t="str">
            <v>N52</v>
          </cell>
          <cell r="AJ296" t="str">
            <v>F</v>
          </cell>
          <cell r="AK296" t="str">
            <v/>
          </cell>
        </row>
        <row r="297">
          <cell r="A297" t="str">
            <v>12528740829053</v>
          </cell>
          <cell r="B297" t="e">
            <v>#N/A</v>
          </cell>
          <cell r="C297">
            <v>12</v>
          </cell>
          <cell r="D297" t="str">
            <v>EK65</v>
          </cell>
          <cell r="E297" t="str">
            <v>522801</v>
          </cell>
          <cell r="F297" t="str">
            <v>E</v>
          </cell>
          <cell r="G297" t="str">
            <v>12528740</v>
          </cell>
          <cell r="H297" t="str">
            <v>Beilage</v>
          </cell>
          <cell r="I297">
            <v>51</v>
          </cell>
          <cell r="J297" t="str">
            <v>Stk</v>
          </cell>
          <cell r="K297">
            <v>45216</v>
          </cell>
          <cell r="L297" t="str">
            <v>829053</v>
          </cell>
          <cell r="M297" t="str">
            <v/>
          </cell>
          <cell r="N297" t="str">
            <v/>
          </cell>
          <cell r="O297" t="str">
            <v/>
          </cell>
          <cell r="P297" t="str">
            <v/>
          </cell>
          <cell r="Q297" t="str">
            <v/>
          </cell>
          <cell r="R297" t="str">
            <v/>
          </cell>
          <cell r="S297" t="str">
            <v/>
          </cell>
          <cell r="T297" t="str">
            <v/>
          </cell>
          <cell r="U297" t="str">
            <v/>
          </cell>
          <cell r="V297" t="str">
            <v>N52</v>
          </cell>
          <cell r="W297" t="str">
            <v/>
          </cell>
          <cell r="X297" t="str">
            <v/>
          </cell>
          <cell r="Y297" t="str">
            <v/>
          </cell>
          <cell r="Z297" t="str">
            <v/>
          </cell>
          <cell r="AA297" t="str">
            <v/>
          </cell>
          <cell r="AB297" t="str">
            <v>PA_4555182-DC.7005-4</v>
          </cell>
          <cell r="AC297">
            <v>1</v>
          </cell>
          <cell r="AD297" t="str">
            <v/>
          </cell>
          <cell r="AE297">
            <v>0</v>
          </cell>
          <cell r="AF297" t="str">
            <v/>
          </cell>
          <cell r="AG297" t="str">
            <v>12528740</v>
          </cell>
          <cell r="AH297">
            <v>44624.988553240742</v>
          </cell>
          <cell r="AI297" t="str">
            <v>N52</v>
          </cell>
          <cell r="AJ297" t="str">
            <v>F</v>
          </cell>
          <cell r="AK297" t="str">
            <v/>
          </cell>
        </row>
        <row r="298">
          <cell r="A298" t="str">
            <v>12528740829054</v>
          </cell>
          <cell r="B298" t="e">
            <v>#N/A</v>
          </cell>
          <cell r="C298">
            <v>12</v>
          </cell>
          <cell r="D298" t="str">
            <v>EK65</v>
          </cell>
          <cell r="E298" t="str">
            <v>522802</v>
          </cell>
          <cell r="F298" t="str">
            <v>E</v>
          </cell>
          <cell r="G298" t="str">
            <v>12528740</v>
          </cell>
          <cell r="H298" t="str">
            <v>Beilage</v>
          </cell>
          <cell r="I298">
            <v>33</v>
          </cell>
          <cell r="J298" t="str">
            <v>Stk</v>
          </cell>
          <cell r="K298">
            <v>45224</v>
          </cell>
          <cell r="L298" t="str">
            <v>829054</v>
          </cell>
          <cell r="M298" t="str">
            <v/>
          </cell>
          <cell r="N298" t="str">
            <v/>
          </cell>
          <cell r="O298" t="str">
            <v/>
          </cell>
          <cell r="P298" t="str">
            <v/>
          </cell>
          <cell r="Q298" t="str">
            <v/>
          </cell>
          <cell r="R298" t="str">
            <v/>
          </cell>
          <cell r="S298" t="str">
            <v/>
          </cell>
          <cell r="T298" t="str">
            <v/>
          </cell>
          <cell r="U298" t="str">
            <v/>
          </cell>
          <cell r="V298" t="str">
            <v>N52</v>
          </cell>
          <cell r="W298" t="str">
            <v/>
          </cell>
          <cell r="X298" t="str">
            <v/>
          </cell>
          <cell r="Y298" t="str">
            <v/>
          </cell>
          <cell r="Z298" t="str">
            <v/>
          </cell>
          <cell r="AA298" t="str">
            <v/>
          </cell>
          <cell r="AB298" t="str">
            <v>PA_4555182-DC.7005-4</v>
          </cell>
          <cell r="AC298">
            <v>1</v>
          </cell>
          <cell r="AD298" t="str">
            <v/>
          </cell>
          <cell r="AE298">
            <v>0</v>
          </cell>
          <cell r="AF298" t="str">
            <v/>
          </cell>
          <cell r="AG298" t="str">
            <v>12528740</v>
          </cell>
          <cell r="AH298">
            <v>44624.988553240742</v>
          </cell>
          <cell r="AI298" t="str">
            <v>N52</v>
          </cell>
          <cell r="AJ298" t="str">
            <v>F</v>
          </cell>
          <cell r="AK298" t="str">
            <v/>
          </cell>
        </row>
        <row r="299">
          <cell r="A299" t="str">
            <v>12528741829053</v>
          </cell>
          <cell r="B299" t="e">
            <v>#N/A</v>
          </cell>
          <cell r="C299">
            <v>6</v>
          </cell>
          <cell r="D299" t="str">
            <v>EK65</v>
          </cell>
          <cell r="E299" t="str">
            <v>522803</v>
          </cell>
          <cell r="F299" t="str">
            <v>E</v>
          </cell>
          <cell r="G299" t="str">
            <v>12528741</v>
          </cell>
          <cell r="H299" t="str">
            <v>Dehnhuelse</v>
          </cell>
          <cell r="I299">
            <v>206</v>
          </cell>
          <cell r="J299" t="str">
            <v>Stk</v>
          </cell>
          <cell r="K299">
            <v>45213</v>
          </cell>
          <cell r="L299" t="str">
            <v>829053</v>
          </cell>
          <cell r="M299" t="str">
            <v/>
          </cell>
          <cell r="N299" t="str">
            <v/>
          </cell>
          <cell r="O299" t="str">
            <v/>
          </cell>
          <cell r="P299" t="str">
            <v/>
          </cell>
          <cell r="Q299" t="str">
            <v/>
          </cell>
          <cell r="R299" t="str">
            <v/>
          </cell>
          <cell r="S299" t="str">
            <v/>
          </cell>
          <cell r="T299" t="str">
            <v/>
          </cell>
          <cell r="U299" t="str">
            <v/>
          </cell>
          <cell r="V299" t="str">
            <v>N52</v>
          </cell>
          <cell r="W299" t="str">
            <v/>
          </cell>
          <cell r="X299" t="str">
            <v/>
          </cell>
          <cell r="Y299" t="str">
            <v/>
          </cell>
          <cell r="Z299" t="str">
            <v/>
          </cell>
          <cell r="AA299" t="str">
            <v/>
          </cell>
          <cell r="AB299" t="str">
            <v>PA_4578492-DC.7005-4</v>
          </cell>
          <cell r="AC299">
            <v>1</v>
          </cell>
          <cell r="AD299" t="str">
            <v/>
          </cell>
          <cell r="AE299">
            <v>0</v>
          </cell>
          <cell r="AF299" t="str">
            <v/>
          </cell>
          <cell r="AG299" t="str">
            <v>12528741</v>
          </cell>
          <cell r="AH299">
            <v>44624.988576388889</v>
          </cell>
          <cell r="AI299" t="str">
            <v>N52</v>
          </cell>
          <cell r="AJ299" t="str">
            <v>F</v>
          </cell>
          <cell r="AK299" t="str">
            <v/>
          </cell>
        </row>
        <row r="300">
          <cell r="A300" t="str">
            <v>12528741829051</v>
          </cell>
          <cell r="B300" t="str">
            <v>BL20230413-2</v>
          </cell>
          <cell r="C300">
            <v>6</v>
          </cell>
          <cell r="D300" t="str">
            <v>EK65</v>
          </cell>
          <cell r="E300" t="str">
            <v>522804</v>
          </cell>
          <cell r="F300" t="str">
            <v>E</v>
          </cell>
          <cell r="G300" t="str">
            <v>12528741</v>
          </cell>
          <cell r="H300" t="str">
            <v>Dehnhuelse</v>
          </cell>
          <cell r="I300">
            <v>358</v>
          </cell>
          <cell r="J300" t="str">
            <v>Stk</v>
          </cell>
          <cell r="K300">
            <v>45338</v>
          </cell>
          <cell r="L300" t="str">
            <v>829051</v>
          </cell>
          <cell r="M300" t="str">
            <v/>
          </cell>
          <cell r="N300" t="str">
            <v/>
          </cell>
          <cell r="O300" t="str">
            <v/>
          </cell>
          <cell r="P300" t="str">
            <v/>
          </cell>
          <cell r="Q300" t="str">
            <v/>
          </cell>
          <cell r="R300" t="str">
            <v/>
          </cell>
          <cell r="S300" t="str">
            <v/>
          </cell>
          <cell r="T300" t="str">
            <v/>
          </cell>
          <cell r="U300" t="str">
            <v/>
          </cell>
          <cell r="V300" t="str">
            <v>N52</v>
          </cell>
          <cell r="W300" t="str">
            <v/>
          </cell>
          <cell r="X300" t="str">
            <v/>
          </cell>
          <cell r="Y300" t="str">
            <v/>
          </cell>
          <cell r="Z300" t="str">
            <v/>
          </cell>
          <cell r="AA300" t="str">
            <v/>
          </cell>
          <cell r="AB300" t="str">
            <v>PA_4578492-DC.7005-4</v>
          </cell>
          <cell r="AC300">
            <v>1</v>
          </cell>
          <cell r="AD300" t="str">
            <v/>
          </cell>
          <cell r="AE300">
            <v>0</v>
          </cell>
          <cell r="AF300" t="str">
            <v/>
          </cell>
          <cell r="AG300" t="str">
            <v>12528741</v>
          </cell>
          <cell r="AH300">
            <v>44624.988576388889</v>
          </cell>
          <cell r="AI300" t="str">
            <v>N52</v>
          </cell>
          <cell r="AJ300" t="str">
            <v>F</v>
          </cell>
          <cell r="AK300" t="str">
            <v/>
          </cell>
        </row>
        <row r="301">
          <cell r="A301" t="str">
            <v>12528758829053</v>
          </cell>
          <cell r="B301" t="e">
            <v>#N/A</v>
          </cell>
          <cell r="C301">
            <v>6</v>
          </cell>
          <cell r="D301" t="str">
            <v>EK65</v>
          </cell>
          <cell r="E301" t="str">
            <v>522805</v>
          </cell>
          <cell r="F301" t="str">
            <v>E</v>
          </cell>
          <cell r="G301" t="str">
            <v>12528758</v>
          </cell>
          <cell r="H301" t="str">
            <v>C-Schienen-Klammer, Klappsitz</v>
          </cell>
          <cell r="I301">
            <v>641</v>
          </cell>
          <cell r="J301" t="str">
            <v>Stk</v>
          </cell>
          <cell r="K301">
            <v>45209</v>
          </cell>
          <cell r="L301" t="str">
            <v>829053</v>
          </cell>
          <cell r="M301" t="str">
            <v/>
          </cell>
          <cell r="N301" t="str">
            <v/>
          </cell>
          <cell r="O301" t="str">
            <v/>
          </cell>
          <cell r="P301" t="str">
            <v/>
          </cell>
          <cell r="Q301" t="str">
            <v/>
          </cell>
          <cell r="R301" t="str">
            <v/>
          </cell>
          <cell r="S301" t="str">
            <v/>
          </cell>
          <cell r="T301" t="str">
            <v/>
          </cell>
          <cell r="U301" t="str">
            <v/>
          </cell>
          <cell r="V301" t="str">
            <v>N52</v>
          </cell>
          <cell r="W301" t="str">
            <v/>
          </cell>
          <cell r="X301" t="str">
            <v/>
          </cell>
          <cell r="Y301" t="str">
            <v/>
          </cell>
          <cell r="Z301" t="str">
            <v/>
          </cell>
          <cell r="AA301" t="str">
            <v/>
          </cell>
          <cell r="AB301" t="str">
            <v>PA_4285022-DC.7005-4</v>
          </cell>
          <cell r="AC301">
            <v>1</v>
          </cell>
          <cell r="AD301" t="str">
            <v/>
          </cell>
          <cell r="AE301">
            <v>0</v>
          </cell>
          <cell r="AF301" t="str">
            <v/>
          </cell>
          <cell r="AG301" t="str">
            <v>12528758</v>
          </cell>
          <cell r="AH301">
            <v>44624.988796296297</v>
          </cell>
          <cell r="AI301" t="str">
            <v>N52</v>
          </cell>
          <cell r="AJ301" t="str">
            <v>F</v>
          </cell>
          <cell r="AK301" t="str">
            <v/>
          </cell>
        </row>
        <row r="302">
          <cell r="A302" t="str">
            <v>12528758829051</v>
          </cell>
          <cell r="B302" t="e">
            <v>#N/A</v>
          </cell>
          <cell r="C302">
            <v>6</v>
          </cell>
          <cell r="D302" t="str">
            <v>EK65</v>
          </cell>
          <cell r="E302" t="str">
            <v>522806</v>
          </cell>
          <cell r="F302" t="str">
            <v>E</v>
          </cell>
          <cell r="G302" t="str">
            <v>12528758</v>
          </cell>
          <cell r="H302" t="str">
            <v>C-Schienen-Klammer, Klappsitz</v>
          </cell>
          <cell r="I302">
            <v>1090</v>
          </cell>
          <cell r="J302" t="str">
            <v>Stk</v>
          </cell>
          <cell r="K302">
            <v>45329</v>
          </cell>
          <cell r="L302" t="str">
            <v>829051</v>
          </cell>
          <cell r="M302" t="str">
            <v/>
          </cell>
          <cell r="N302" t="str">
            <v/>
          </cell>
          <cell r="O302" t="str">
            <v/>
          </cell>
          <cell r="P302" t="str">
            <v/>
          </cell>
          <cell r="Q302" t="str">
            <v/>
          </cell>
          <cell r="R302" t="str">
            <v/>
          </cell>
          <cell r="S302" t="str">
            <v/>
          </cell>
          <cell r="T302" t="str">
            <v/>
          </cell>
          <cell r="U302" t="str">
            <v/>
          </cell>
          <cell r="V302" t="str">
            <v>N52</v>
          </cell>
          <cell r="W302" t="str">
            <v/>
          </cell>
          <cell r="X302" t="str">
            <v/>
          </cell>
          <cell r="Y302" t="str">
            <v/>
          </cell>
          <cell r="Z302" t="str">
            <v/>
          </cell>
          <cell r="AA302" t="str">
            <v/>
          </cell>
          <cell r="AB302" t="str">
            <v>PA_4285022-DC.7005-4</v>
          </cell>
          <cell r="AC302">
            <v>1</v>
          </cell>
          <cell r="AD302" t="str">
            <v/>
          </cell>
          <cell r="AE302">
            <v>0</v>
          </cell>
          <cell r="AF302" t="str">
            <v/>
          </cell>
          <cell r="AG302" t="str">
            <v>12528758</v>
          </cell>
          <cell r="AH302">
            <v>44624.988796296297</v>
          </cell>
          <cell r="AI302" t="str">
            <v>N52</v>
          </cell>
          <cell r="AJ302" t="str">
            <v>F</v>
          </cell>
          <cell r="AK302" t="str">
            <v/>
          </cell>
        </row>
        <row r="303">
          <cell r="A303" t="str">
            <v>12529614829053</v>
          </cell>
          <cell r="B303" t="e">
            <v>#N/A</v>
          </cell>
          <cell r="C303">
            <v>14</v>
          </cell>
          <cell r="D303" t="str">
            <v>EK65</v>
          </cell>
          <cell r="E303" t="str">
            <v>522807</v>
          </cell>
          <cell r="F303" t="str">
            <v>E</v>
          </cell>
          <cell r="G303" t="str">
            <v>12529614</v>
          </cell>
          <cell r="H303" t="str">
            <v>Halter</v>
          </cell>
          <cell r="I303">
            <v>51</v>
          </cell>
          <cell r="J303" t="str">
            <v>Stk</v>
          </cell>
          <cell r="K303">
            <v>45212</v>
          </cell>
          <cell r="L303" t="str">
            <v>829053</v>
          </cell>
          <cell r="M303" t="str">
            <v/>
          </cell>
          <cell r="N303" t="str">
            <v/>
          </cell>
          <cell r="O303" t="str">
            <v/>
          </cell>
          <cell r="P303" t="str">
            <v/>
          </cell>
          <cell r="Q303" t="str">
            <v/>
          </cell>
          <cell r="R303" t="str">
            <v/>
          </cell>
          <cell r="S303" t="str">
            <v/>
          </cell>
          <cell r="T303" t="str">
            <v/>
          </cell>
          <cell r="U303" t="str">
            <v/>
          </cell>
          <cell r="V303" t="str">
            <v>N52</v>
          </cell>
          <cell r="W303" t="str">
            <v/>
          </cell>
          <cell r="X303" t="str">
            <v/>
          </cell>
          <cell r="Y303" t="str">
            <v/>
          </cell>
          <cell r="Z303" t="str">
            <v/>
          </cell>
          <cell r="AA303" t="str">
            <v/>
          </cell>
          <cell r="AB303" t="str">
            <v>PA_2344710-UA.7005-3</v>
          </cell>
          <cell r="AC303">
            <v>1</v>
          </cell>
          <cell r="AD303" t="str">
            <v/>
          </cell>
          <cell r="AE303">
            <v>0</v>
          </cell>
          <cell r="AF303" t="str">
            <v/>
          </cell>
          <cell r="AG303" t="str">
            <v>12529614</v>
          </cell>
          <cell r="AH303">
            <v>44624.989583333336</v>
          </cell>
          <cell r="AI303" t="str">
            <v>N52</v>
          </cell>
          <cell r="AJ303" t="str">
            <v>F</v>
          </cell>
          <cell r="AK303" t="str">
            <v/>
          </cell>
        </row>
        <row r="304">
          <cell r="A304" t="str">
            <v>12529627829053</v>
          </cell>
          <cell r="B304" t="e">
            <v>#N/A</v>
          </cell>
          <cell r="C304">
            <v>8</v>
          </cell>
          <cell r="D304" t="str">
            <v>EK65</v>
          </cell>
          <cell r="E304" t="str">
            <v>522808</v>
          </cell>
          <cell r="F304" t="str">
            <v>E</v>
          </cell>
          <cell r="G304" t="str">
            <v>12529627</v>
          </cell>
          <cell r="H304" t="str">
            <v>Kabelleiste</v>
          </cell>
          <cell r="I304">
            <v>51</v>
          </cell>
          <cell r="J304" t="str">
            <v>Stk</v>
          </cell>
          <cell r="K304">
            <v>45212</v>
          </cell>
          <cell r="L304" t="str">
            <v>829053</v>
          </cell>
          <cell r="M304" t="str">
            <v/>
          </cell>
          <cell r="N304" t="str">
            <v/>
          </cell>
          <cell r="O304" t="str">
            <v/>
          </cell>
          <cell r="P304" t="str">
            <v/>
          </cell>
          <cell r="Q304" t="str">
            <v/>
          </cell>
          <cell r="R304" t="str">
            <v/>
          </cell>
          <cell r="S304" t="str">
            <v/>
          </cell>
          <cell r="T304" t="str">
            <v/>
          </cell>
          <cell r="U304" t="str">
            <v/>
          </cell>
          <cell r="V304" t="str">
            <v>N52</v>
          </cell>
          <cell r="W304" t="str">
            <v/>
          </cell>
          <cell r="X304" t="str">
            <v/>
          </cell>
          <cell r="Y304" t="str">
            <v/>
          </cell>
          <cell r="Z304" t="str">
            <v/>
          </cell>
          <cell r="AA304" t="str">
            <v/>
          </cell>
          <cell r="AB304" t="str">
            <v>PA_2345187-UA.7005-2</v>
          </cell>
          <cell r="AC304">
            <v>1</v>
          </cell>
          <cell r="AD304" t="str">
            <v/>
          </cell>
          <cell r="AE304">
            <v>0</v>
          </cell>
          <cell r="AF304" t="str">
            <v/>
          </cell>
          <cell r="AG304" t="str">
            <v>12529627</v>
          </cell>
          <cell r="AH304">
            <v>44624.989618055559</v>
          </cell>
          <cell r="AI304" t="str">
            <v>N52</v>
          </cell>
          <cell r="AJ304" t="str">
            <v>F</v>
          </cell>
          <cell r="AK304" t="str">
            <v/>
          </cell>
        </row>
        <row r="305">
          <cell r="A305" t="str">
            <v>12530898829053</v>
          </cell>
          <cell r="B305" t="e">
            <v>#N/A</v>
          </cell>
          <cell r="C305">
            <v>12</v>
          </cell>
          <cell r="D305" t="str">
            <v>EK65</v>
          </cell>
          <cell r="E305" t="str">
            <v>522809</v>
          </cell>
          <cell r="F305" t="str">
            <v>E</v>
          </cell>
          <cell r="G305" t="str">
            <v>12530898</v>
          </cell>
          <cell r="H305" t="str">
            <v>Dehnhuelse M10 AD30,ID11,L30</v>
          </cell>
          <cell r="I305">
            <v>398</v>
          </cell>
          <cell r="J305" t="str">
            <v>Stk</v>
          </cell>
          <cell r="K305">
            <v>45209</v>
          </cell>
          <cell r="L305" t="str">
            <v>829053</v>
          </cell>
          <cell r="M305" t="str">
            <v/>
          </cell>
          <cell r="N305" t="str">
            <v/>
          </cell>
          <cell r="O305" t="str">
            <v/>
          </cell>
          <cell r="P305" t="str">
            <v/>
          </cell>
          <cell r="Q305" t="str">
            <v/>
          </cell>
          <cell r="R305" t="str">
            <v/>
          </cell>
          <cell r="S305" t="str">
            <v/>
          </cell>
          <cell r="T305" t="str">
            <v/>
          </cell>
          <cell r="U305" t="str">
            <v/>
          </cell>
          <cell r="V305" t="str">
            <v>N52</v>
          </cell>
          <cell r="W305" t="str">
            <v/>
          </cell>
          <cell r="X305" t="str">
            <v/>
          </cell>
          <cell r="Y305" t="str">
            <v/>
          </cell>
          <cell r="Z305" t="str">
            <v/>
          </cell>
          <cell r="AA305" t="str">
            <v/>
          </cell>
          <cell r="AB305" t="str">
            <v>PA_4601588-QE.7005-4</v>
          </cell>
          <cell r="AC305">
            <v>1</v>
          </cell>
          <cell r="AD305" t="str">
            <v/>
          </cell>
          <cell r="AE305">
            <v>0</v>
          </cell>
          <cell r="AF305" t="str">
            <v/>
          </cell>
          <cell r="AG305" t="str">
            <v>12530898</v>
          </cell>
          <cell r="AH305">
            <v>44624.99</v>
          </cell>
          <cell r="AI305" t="str">
            <v>N52</v>
          </cell>
          <cell r="AJ305" t="str">
            <v>F</v>
          </cell>
          <cell r="AK305" t="str">
            <v/>
          </cell>
        </row>
        <row r="306">
          <cell r="A306" t="str">
            <v>12530898829054</v>
          </cell>
          <cell r="B306" t="e">
            <v>#N/A</v>
          </cell>
          <cell r="C306">
            <v>12</v>
          </cell>
          <cell r="D306" t="str">
            <v>EK65</v>
          </cell>
          <cell r="E306" t="str">
            <v>522810</v>
          </cell>
          <cell r="F306" t="str">
            <v>E</v>
          </cell>
          <cell r="G306" t="str">
            <v>12530898</v>
          </cell>
          <cell r="H306" t="str">
            <v>Dehnhuelse M10 AD30,ID11,L30</v>
          </cell>
          <cell r="I306">
            <v>142</v>
          </cell>
          <cell r="J306" t="str">
            <v>Stk</v>
          </cell>
          <cell r="K306">
            <v>45209</v>
          </cell>
          <cell r="L306" t="str">
            <v>829054</v>
          </cell>
          <cell r="M306" t="str">
            <v/>
          </cell>
          <cell r="N306" t="str">
            <v/>
          </cell>
          <cell r="O306" t="str">
            <v/>
          </cell>
          <cell r="P306" t="str">
            <v/>
          </cell>
          <cell r="Q306" t="str">
            <v/>
          </cell>
          <cell r="R306" t="str">
            <v/>
          </cell>
          <cell r="S306" t="str">
            <v/>
          </cell>
          <cell r="T306" t="str">
            <v/>
          </cell>
          <cell r="U306" t="str">
            <v/>
          </cell>
          <cell r="V306" t="str">
            <v>N52</v>
          </cell>
          <cell r="W306" t="str">
            <v/>
          </cell>
          <cell r="X306" t="str">
            <v/>
          </cell>
          <cell r="Y306" t="str">
            <v/>
          </cell>
          <cell r="Z306" t="str">
            <v/>
          </cell>
          <cell r="AA306" t="str">
            <v/>
          </cell>
          <cell r="AB306" t="str">
            <v>PA_4601588-QE.7005-4</v>
          </cell>
          <cell r="AC306">
            <v>1</v>
          </cell>
          <cell r="AD306" t="str">
            <v/>
          </cell>
          <cell r="AE306">
            <v>0</v>
          </cell>
          <cell r="AF306" t="str">
            <v/>
          </cell>
          <cell r="AG306" t="str">
            <v>12530898</v>
          </cell>
          <cell r="AH306">
            <v>44624.99</v>
          </cell>
          <cell r="AI306" t="str">
            <v>N52</v>
          </cell>
          <cell r="AJ306" t="str">
            <v>F</v>
          </cell>
          <cell r="AK306" t="str">
            <v/>
          </cell>
        </row>
        <row r="307">
          <cell r="A307" t="str">
            <v>12531151829051</v>
          </cell>
          <cell r="B307" t="str">
            <v>BL20230418-1</v>
          </cell>
          <cell r="C307">
            <v>16</v>
          </cell>
          <cell r="D307" t="str">
            <v>EK65</v>
          </cell>
          <cell r="E307" t="str">
            <v>522813</v>
          </cell>
          <cell r="F307" t="str">
            <v>E</v>
          </cell>
          <cell r="G307" t="str">
            <v>12531151</v>
          </cell>
          <cell r="H307" t="str">
            <v>Dehnhuelse M8</v>
          </cell>
          <cell r="I307">
            <v>1977</v>
          </cell>
          <cell r="J307" t="str">
            <v>Stk</v>
          </cell>
          <cell r="K307">
            <v>45092</v>
          </cell>
          <cell r="L307" t="str">
            <v>829051</v>
          </cell>
          <cell r="M307" t="str">
            <v/>
          </cell>
          <cell r="N307" t="str">
            <v/>
          </cell>
          <cell r="O307" t="str">
            <v/>
          </cell>
          <cell r="P307" t="str">
            <v/>
          </cell>
          <cell r="Q307" t="str">
            <v/>
          </cell>
          <cell r="R307" t="str">
            <v/>
          </cell>
          <cell r="S307" t="str">
            <v/>
          </cell>
          <cell r="T307" t="str">
            <v/>
          </cell>
          <cell r="U307" t="str">
            <v>AD22, ID9, L24</v>
          </cell>
          <cell r="V307" t="str">
            <v>N52</v>
          </cell>
          <cell r="W307" t="str">
            <v/>
          </cell>
          <cell r="X307" t="str">
            <v/>
          </cell>
          <cell r="Y307" t="str">
            <v/>
          </cell>
          <cell r="Z307" t="str">
            <v/>
          </cell>
          <cell r="AA307" t="str">
            <v/>
          </cell>
          <cell r="AB307" t="str">
            <v>PA_4601876-QE.7005-4</v>
          </cell>
          <cell r="AC307">
            <v>1</v>
          </cell>
          <cell r="AD307" t="str">
            <v/>
          </cell>
          <cell r="AE307">
            <v>0</v>
          </cell>
          <cell r="AF307" t="str">
            <v/>
          </cell>
          <cell r="AG307" t="str">
            <v>12531151</v>
          </cell>
          <cell r="AH307">
            <v>44624.990185185183</v>
          </cell>
          <cell r="AI307" t="str">
            <v>N52</v>
          </cell>
          <cell r="AJ307" t="str">
            <v>F</v>
          </cell>
          <cell r="AK307" t="str">
            <v/>
          </cell>
        </row>
        <row r="308">
          <cell r="A308" t="str">
            <v>12531151829053</v>
          </cell>
          <cell r="B308" t="e">
            <v>#N/A</v>
          </cell>
          <cell r="C308">
            <v>16</v>
          </cell>
          <cell r="D308" t="str">
            <v>EK65</v>
          </cell>
          <cell r="E308" t="str">
            <v>522814</v>
          </cell>
          <cell r="F308" t="str">
            <v>E</v>
          </cell>
          <cell r="G308" t="str">
            <v>12531151</v>
          </cell>
          <cell r="H308" t="str">
            <v>Dehnhuelse M8</v>
          </cell>
          <cell r="I308">
            <v>734</v>
          </cell>
          <cell r="J308" t="str">
            <v>Stk</v>
          </cell>
          <cell r="K308">
            <v>45135</v>
          </cell>
          <cell r="L308" t="str">
            <v>829053</v>
          </cell>
          <cell r="M308" t="str">
            <v/>
          </cell>
          <cell r="N308" t="str">
            <v/>
          </cell>
          <cell r="O308" t="str">
            <v/>
          </cell>
          <cell r="P308" t="str">
            <v/>
          </cell>
          <cell r="Q308" t="str">
            <v/>
          </cell>
          <cell r="R308" t="str">
            <v/>
          </cell>
          <cell r="S308" t="str">
            <v/>
          </cell>
          <cell r="T308" t="str">
            <v/>
          </cell>
          <cell r="U308" t="str">
            <v>AD22, ID9, L24</v>
          </cell>
          <cell r="V308" t="str">
            <v>N52</v>
          </cell>
          <cell r="W308" t="str">
            <v/>
          </cell>
          <cell r="X308" t="str">
            <v/>
          </cell>
          <cell r="Y308" t="str">
            <v/>
          </cell>
          <cell r="Z308" t="str">
            <v/>
          </cell>
          <cell r="AA308" t="str">
            <v/>
          </cell>
          <cell r="AB308" t="str">
            <v>PA_4601876-QE.7005-4</v>
          </cell>
          <cell r="AC308">
            <v>1</v>
          </cell>
          <cell r="AD308" t="str">
            <v/>
          </cell>
          <cell r="AE308">
            <v>0</v>
          </cell>
          <cell r="AF308" t="str">
            <v/>
          </cell>
          <cell r="AG308" t="str">
            <v>12531151</v>
          </cell>
          <cell r="AH308">
            <v>44624.990185185183</v>
          </cell>
          <cell r="AI308" t="str">
            <v>N52</v>
          </cell>
          <cell r="AJ308" t="str">
            <v>F</v>
          </cell>
          <cell r="AK308" t="str">
            <v/>
          </cell>
        </row>
        <row r="309">
          <cell r="A309" t="str">
            <v>12531224829053</v>
          </cell>
          <cell r="B309" t="e">
            <v>#N/A</v>
          </cell>
          <cell r="C309">
            <v>8</v>
          </cell>
          <cell r="D309" t="str">
            <v>EK65</v>
          </cell>
          <cell r="E309" t="str">
            <v>522815</v>
          </cell>
          <cell r="F309" t="str">
            <v>E</v>
          </cell>
          <cell r="G309" t="str">
            <v>12531224</v>
          </cell>
          <cell r="H309" t="str">
            <v>Dehnhuelse M8</v>
          </cell>
          <cell r="I309">
            <v>204</v>
          </cell>
          <cell r="J309" t="str">
            <v>Stk</v>
          </cell>
          <cell r="K309">
            <v>45216</v>
          </cell>
          <cell r="L309" t="str">
            <v>829053</v>
          </cell>
          <cell r="M309" t="str">
            <v/>
          </cell>
          <cell r="N309" t="str">
            <v/>
          </cell>
          <cell r="O309" t="str">
            <v/>
          </cell>
          <cell r="P309" t="str">
            <v/>
          </cell>
          <cell r="Q309" t="str">
            <v/>
          </cell>
          <cell r="R309" t="str">
            <v/>
          </cell>
          <cell r="S309" t="str">
            <v/>
          </cell>
          <cell r="T309" t="str">
            <v/>
          </cell>
          <cell r="U309" t="str">
            <v/>
          </cell>
          <cell r="V309" t="str">
            <v>N52</v>
          </cell>
          <cell r="W309" t="str">
            <v/>
          </cell>
          <cell r="X309" t="str">
            <v/>
          </cell>
          <cell r="Y309" t="str">
            <v/>
          </cell>
          <cell r="Z309" t="str">
            <v/>
          </cell>
          <cell r="AA309" t="str">
            <v/>
          </cell>
          <cell r="AB309" t="str">
            <v>PA_4603268-MC.7005-4</v>
          </cell>
          <cell r="AC309">
            <v>1</v>
          </cell>
          <cell r="AD309" t="str">
            <v/>
          </cell>
          <cell r="AE309">
            <v>0</v>
          </cell>
          <cell r="AF309" t="str">
            <v/>
          </cell>
          <cell r="AG309" t="str">
            <v>12531224</v>
          </cell>
          <cell r="AH309">
            <v>44624.990254629629</v>
          </cell>
          <cell r="AI309" t="str">
            <v>N52</v>
          </cell>
          <cell r="AJ309" t="str">
            <v>F</v>
          </cell>
          <cell r="AK309" t="str">
            <v/>
          </cell>
        </row>
        <row r="310">
          <cell r="A310" t="str">
            <v>12531224829051</v>
          </cell>
          <cell r="B310" t="e">
            <v>#N/A</v>
          </cell>
          <cell r="C310">
            <v>8</v>
          </cell>
          <cell r="D310" t="str">
            <v>EK65</v>
          </cell>
          <cell r="E310" t="str">
            <v>522816</v>
          </cell>
          <cell r="F310" t="str">
            <v>E</v>
          </cell>
          <cell r="G310" t="str">
            <v>12531224</v>
          </cell>
          <cell r="H310" t="str">
            <v>Dehnhuelse M8</v>
          </cell>
          <cell r="I310">
            <v>360</v>
          </cell>
          <cell r="J310" t="str">
            <v>Stk</v>
          </cell>
          <cell r="K310">
            <v>45331</v>
          </cell>
          <cell r="L310" t="str">
            <v>829051</v>
          </cell>
          <cell r="M310" t="str">
            <v/>
          </cell>
          <cell r="N310" t="str">
            <v/>
          </cell>
          <cell r="O310" t="str">
            <v/>
          </cell>
          <cell r="P310" t="str">
            <v/>
          </cell>
          <cell r="Q310" t="str">
            <v/>
          </cell>
          <cell r="R310" t="str">
            <v/>
          </cell>
          <cell r="S310" t="str">
            <v/>
          </cell>
          <cell r="T310" t="str">
            <v/>
          </cell>
          <cell r="U310" t="str">
            <v/>
          </cell>
          <cell r="V310" t="str">
            <v>N52</v>
          </cell>
          <cell r="W310" t="str">
            <v/>
          </cell>
          <cell r="X310" t="str">
            <v/>
          </cell>
          <cell r="Y310" t="str">
            <v/>
          </cell>
          <cell r="Z310" t="str">
            <v/>
          </cell>
          <cell r="AA310" t="str">
            <v/>
          </cell>
          <cell r="AB310" t="str">
            <v>PA_4603268-MC.7005-4</v>
          </cell>
          <cell r="AC310">
            <v>1</v>
          </cell>
          <cell r="AD310" t="str">
            <v/>
          </cell>
          <cell r="AE310">
            <v>0</v>
          </cell>
          <cell r="AF310" t="str">
            <v/>
          </cell>
          <cell r="AG310" t="str">
            <v>12531224</v>
          </cell>
          <cell r="AH310">
            <v>44624.990254629629</v>
          </cell>
          <cell r="AI310" t="str">
            <v>N52</v>
          </cell>
          <cell r="AJ310" t="str">
            <v>F</v>
          </cell>
          <cell r="AK310" t="str">
            <v/>
          </cell>
        </row>
        <row r="311">
          <cell r="A311" t="str">
            <v>12531589829053</v>
          </cell>
          <cell r="B311" t="e">
            <v>#N/A</v>
          </cell>
          <cell r="C311">
            <v>20</v>
          </cell>
          <cell r="D311" t="str">
            <v>EK65</v>
          </cell>
          <cell r="E311" t="str">
            <v>522817</v>
          </cell>
          <cell r="F311" t="str">
            <v>E</v>
          </cell>
          <cell r="G311" t="str">
            <v>12531589</v>
          </cell>
          <cell r="H311" t="str">
            <v>Anschlag</v>
          </cell>
          <cell r="I311">
            <v>51</v>
          </cell>
          <cell r="J311" t="str">
            <v>Stk</v>
          </cell>
          <cell r="K311">
            <v>45217</v>
          </cell>
          <cell r="L311" t="str">
            <v>829053</v>
          </cell>
          <cell r="M311" t="str">
            <v/>
          </cell>
          <cell r="N311" t="str">
            <v/>
          </cell>
          <cell r="O311" t="str">
            <v/>
          </cell>
          <cell r="P311" t="str">
            <v/>
          </cell>
          <cell r="Q311" t="str">
            <v/>
          </cell>
          <cell r="R311" t="str">
            <v/>
          </cell>
          <cell r="S311" t="str">
            <v/>
          </cell>
          <cell r="T311" t="str">
            <v/>
          </cell>
          <cell r="U311" t="str">
            <v/>
          </cell>
          <cell r="V311" t="str">
            <v>N52</v>
          </cell>
          <cell r="W311" t="str">
            <v/>
          </cell>
          <cell r="X311" t="str">
            <v/>
          </cell>
          <cell r="Y311" t="str">
            <v/>
          </cell>
          <cell r="Z311" t="str">
            <v/>
          </cell>
          <cell r="AA311" t="str">
            <v/>
          </cell>
          <cell r="AB311" t="str">
            <v>PA_2346176-CF.7005-3</v>
          </cell>
          <cell r="AC311">
            <v>1</v>
          </cell>
          <cell r="AD311" t="str">
            <v/>
          </cell>
          <cell r="AE311">
            <v>0</v>
          </cell>
          <cell r="AF311" t="str">
            <v/>
          </cell>
          <cell r="AG311" t="str">
            <v>12531589</v>
          </cell>
          <cell r="AH311">
            <v>44624.990590277775</v>
          </cell>
          <cell r="AI311" t="str">
            <v>N52</v>
          </cell>
          <cell r="AJ311" t="str">
            <v>F</v>
          </cell>
          <cell r="AK311" t="str">
            <v/>
          </cell>
        </row>
        <row r="312">
          <cell r="A312" t="str">
            <v>12531589829054</v>
          </cell>
          <cell r="B312" t="e">
            <v>#N/A</v>
          </cell>
          <cell r="C312">
            <v>20</v>
          </cell>
          <cell r="D312" t="str">
            <v>EK65</v>
          </cell>
          <cell r="E312" t="str">
            <v>522818</v>
          </cell>
          <cell r="F312" t="str">
            <v>E</v>
          </cell>
          <cell r="G312" t="str">
            <v>12531589</v>
          </cell>
          <cell r="H312" t="str">
            <v>Anschlag</v>
          </cell>
          <cell r="I312">
            <v>14</v>
          </cell>
          <cell r="J312" t="str">
            <v>Stk</v>
          </cell>
          <cell r="K312">
            <v>45261</v>
          </cell>
          <cell r="L312" t="str">
            <v>829054</v>
          </cell>
          <cell r="M312" t="str">
            <v/>
          </cell>
          <cell r="N312" t="str">
            <v/>
          </cell>
          <cell r="O312" t="str">
            <v/>
          </cell>
          <cell r="P312" t="str">
            <v/>
          </cell>
          <cell r="Q312" t="str">
            <v/>
          </cell>
          <cell r="R312" t="str">
            <v/>
          </cell>
          <cell r="S312" t="str">
            <v/>
          </cell>
          <cell r="T312" t="str">
            <v/>
          </cell>
          <cell r="U312" t="str">
            <v/>
          </cell>
          <cell r="V312" t="str">
            <v>N52</v>
          </cell>
          <cell r="W312" t="str">
            <v/>
          </cell>
          <cell r="X312" t="str">
            <v/>
          </cell>
          <cell r="Y312" t="str">
            <v/>
          </cell>
          <cell r="Z312" t="str">
            <v/>
          </cell>
          <cell r="AA312" t="str">
            <v/>
          </cell>
          <cell r="AB312" t="str">
            <v>PA_2346176-CF.7005-3</v>
          </cell>
          <cell r="AC312">
            <v>1</v>
          </cell>
          <cell r="AD312" t="str">
            <v/>
          </cell>
          <cell r="AE312">
            <v>0</v>
          </cell>
          <cell r="AF312" t="str">
            <v/>
          </cell>
          <cell r="AG312" t="str">
            <v>12531589</v>
          </cell>
          <cell r="AH312">
            <v>44624.990590277775</v>
          </cell>
          <cell r="AI312" t="str">
            <v>N52</v>
          </cell>
          <cell r="AJ312" t="str">
            <v>F</v>
          </cell>
          <cell r="AK312" t="str">
            <v/>
          </cell>
        </row>
        <row r="313">
          <cell r="A313" t="str">
            <v>12532521829053</v>
          </cell>
          <cell r="B313" t="e">
            <v>#N/A</v>
          </cell>
          <cell r="C313">
            <v>6</v>
          </cell>
          <cell r="D313" t="str">
            <v>EK65</v>
          </cell>
          <cell r="E313" t="str">
            <v>522819</v>
          </cell>
          <cell r="F313" t="str">
            <v>E</v>
          </cell>
          <cell r="G313" t="str">
            <v>12532521</v>
          </cell>
          <cell r="H313" t="str">
            <v>Dehnhuelse II kpl</v>
          </cell>
          <cell r="I313">
            <v>204</v>
          </cell>
          <cell r="J313" t="str">
            <v>Stk</v>
          </cell>
          <cell r="K313">
            <v>45213</v>
          </cell>
          <cell r="L313" t="str">
            <v>829053</v>
          </cell>
          <cell r="M313" t="str">
            <v/>
          </cell>
          <cell r="N313" t="str">
            <v/>
          </cell>
          <cell r="O313" t="str">
            <v/>
          </cell>
          <cell r="P313" t="str">
            <v/>
          </cell>
          <cell r="Q313" t="str">
            <v/>
          </cell>
          <cell r="R313" t="str">
            <v/>
          </cell>
          <cell r="S313" t="str">
            <v/>
          </cell>
          <cell r="T313" t="str">
            <v/>
          </cell>
          <cell r="U313" t="str">
            <v/>
          </cell>
          <cell r="V313" t="str">
            <v>N52</v>
          </cell>
          <cell r="W313" t="str">
            <v/>
          </cell>
          <cell r="X313" t="str">
            <v/>
          </cell>
          <cell r="Y313" t="str">
            <v/>
          </cell>
          <cell r="Z313" t="str">
            <v/>
          </cell>
          <cell r="AA313" t="str">
            <v/>
          </cell>
          <cell r="AB313" t="str">
            <v>PA_4610247-DC.7005-4</v>
          </cell>
          <cell r="AC313">
            <v>1</v>
          </cell>
          <cell r="AD313" t="str">
            <v/>
          </cell>
          <cell r="AE313">
            <v>0</v>
          </cell>
          <cell r="AF313" t="str">
            <v/>
          </cell>
          <cell r="AG313" t="str">
            <v>12532521</v>
          </cell>
          <cell r="AH313">
            <v>44624.990752314814</v>
          </cell>
          <cell r="AI313" t="str">
            <v>N52</v>
          </cell>
          <cell r="AJ313" t="str">
            <v>F</v>
          </cell>
          <cell r="AK313" t="str">
            <v/>
          </cell>
        </row>
        <row r="314">
          <cell r="A314" t="str">
            <v>12532521829054</v>
          </cell>
          <cell r="B314" t="e">
            <v>#N/A</v>
          </cell>
          <cell r="C314">
            <v>6</v>
          </cell>
          <cell r="D314" t="str">
            <v>EK65</v>
          </cell>
          <cell r="E314" t="str">
            <v>522820</v>
          </cell>
          <cell r="F314" t="str">
            <v>E</v>
          </cell>
          <cell r="G314" t="str">
            <v>12532521</v>
          </cell>
          <cell r="H314" t="str">
            <v>Dehnhuelse II kpl</v>
          </cell>
          <cell r="I314">
            <v>132</v>
          </cell>
          <cell r="J314" t="str">
            <v>Stk</v>
          </cell>
          <cell r="K314">
            <v>45223</v>
          </cell>
          <cell r="L314" t="str">
            <v>829054</v>
          </cell>
          <cell r="M314" t="str">
            <v/>
          </cell>
          <cell r="N314" t="str">
            <v/>
          </cell>
          <cell r="O314" t="str">
            <v/>
          </cell>
          <cell r="P314" t="str">
            <v/>
          </cell>
          <cell r="Q314" t="str">
            <v/>
          </cell>
          <cell r="R314" t="str">
            <v/>
          </cell>
          <cell r="S314" t="str">
            <v/>
          </cell>
          <cell r="T314" t="str">
            <v/>
          </cell>
          <cell r="U314" t="str">
            <v/>
          </cell>
          <cell r="V314" t="str">
            <v>N52</v>
          </cell>
          <cell r="W314" t="str">
            <v/>
          </cell>
          <cell r="X314" t="str">
            <v/>
          </cell>
          <cell r="Y314" t="str">
            <v/>
          </cell>
          <cell r="Z314" t="str">
            <v/>
          </cell>
          <cell r="AA314" t="str">
            <v/>
          </cell>
          <cell r="AB314" t="str">
            <v>PA_4610247-DC.7005-4</v>
          </cell>
          <cell r="AC314">
            <v>1</v>
          </cell>
          <cell r="AD314" t="str">
            <v/>
          </cell>
          <cell r="AE314">
            <v>0</v>
          </cell>
          <cell r="AF314" t="str">
            <v/>
          </cell>
          <cell r="AG314" t="str">
            <v>12532521</v>
          </cell>
          <cell r="AH314">
            <v>44624.990752314814</v>
          </cell>
          <cell r="AI314" t="str">
            <v>N52</v>
          </cell>
          <cell r="AJ314" t="str">
            <v>F</v>
          </cell>
          <cell r="AK314" t="str">
            <v/>
          </cell>
        </row>
        <row r="315">
          <cell r="A315" t="str">
            <v>12532522829053</v>
          </cell>
          <cell r="B315" t="e">
            <v>#N/A</v>
          </cell>
          <cell r="C315">
            <v>6</v>
          </cell>
          <cell r="D315" t="str">
            <v>EK65</v>
          </cell>
          <cell r="E315" t="str">
            <v>522821</v>
          </cell>
          <cell r="F315" t="str">
            <v>E</v>
          </cell>
          <cell r="G315" t="str">
            <v>12532522</v>
          </cell>
          <cell r="H315" t="str">
            <v>Dehnhuelse III kpl</v>
          </cell>
          <cell r="I315">
            <v>1239</v>
          </cell>
          <cell r="J315" t="str">
            <v>Stk</v>
          </cell>
          <cell r="K315">
            <v>45211</v>
          </cell>
          <cell r="L315" t="str">
            <v>829053</v>
          </cell>
          <cell r="M315" t="str">
            <v/>
          </cell>
          <cell r="N315" t="str">
            <v/>
          </cell>
          <cell r="O315" t="str">
            <v/>
          </cell>
          <cell r="P315" t="str">
            <v/>
          </cell>
          <cell r="Q315" t="str">
            <v/>
          </cell>
          <cell r="R315" t="str">
            <v/>
          </cell>
          <cell r="S315" t="str">
            <v/>
          </cell>
          <cell r="T315" t="str">
            <v/>
          </cell>
          <cell r="U315" t="str">
            <v/>
          </cell>
          <cell r="V315" t="str">
            <v>N52</v>
          </cell>
          <cell r="W315" t="str">
            <v/>
          </cell>
          <cell r="X315" t="str">
            <v/>
          </cell>
          <cell r="Y315" t="str">
            <v/>
          </cell>
          <cell r="Z315" t="str">
            <v/>
          </cell>
          <cell r="AA315" t="str">
            <v/>
          </cell>
          <cell r="AB315" t="str">
            <v>PA_4610267-DC.7005-4</v>
          </cell>
          <cell r="AC315">
            <v>1</v>
          </cell>
          <cell r="AD315" t="str">
            <v/>
          </cell>
          <cell r="AE315">
            <v>0</v>
          </cell>
          <cell r="AF315" t="str">
            <v/>
          </cell>
          <cell r="AG315" t="str">
            <v>12532522</v>
          </cell>
          <cell r="AH315">
            <v>44624.99077546296</v>
          </cell>
          <cell r="AI315" t="str">
            <v>N52</v>
          </cell>
          <cell r="AJ315" t="str">
            <v>F</v>
          </cell>
          <cell r="AK315" t="str">
            <v/>
          </cell>
        </row>
        <row r="316">
          <cell r="A316" t="str">
            <v>12532522829054</v>
          </cell>
          <cell r="B316" t="e">
            <v>#N/A</v>
          </cell>
          <cell r="C316">
            <v>6</v>
          </cell>
          <cell r="D316" t="str">
            <v>EK65</v>
          </cell>
          <cell r="E316" t="str">
            <v>522822</v>
          </cell>
          <cell r="F316" t="str">
            <v>E</v>
          </cell>
          <cell r="G316" t="str">
            <v>12532522</v>
          </cell>
          <cell r="H316" t="str">
            <v>Dehnhuelse III kpl</v>
          </cell>
          <cell r="I316">
            <v>807</v>
          </cell>
          <cell r="J316" t="str">
            <v>Stk</v>
          </cell>
          <cell r="K316">
            <v>45223</v>
          </cell>
          <cell r="L316" t="str">
            <v>829054</v>
          </cell>
          <cell r="M316" t="str">
            <v/>
          </cell>
          <cell r="N316" t="str">
            <v/>
          </cell>
          <cell r="O316" t="str">
            <v/>
          </cell>
          <cell r="P316" t="str">
            <v/>
          </cell>
          <cell r="Q316" t="str">
            <v/>
          </cell>
          <cell r="R316" t="str">
            <v/>
          </cell>
          <cell r="S316" t="str">
            <v/>
          </cell>
          <cell r="T316" t="str">
            <v/>
          </cell>
          <cell r="U316" t="str">
            <v/>
          </cell>
          <cell r="V316" t="str">
            <v>N52</v>
          </cell>
          <cell r="W316" t="str">
            <v/>
          </cell>
          <cell r="X316" t="str">
            <v/>
          </cell>
          <cell r="Y316" t="str">
            <v/>
          </cell>
          <cell r="Z316" t="str">
            <v/>
          </cell>
          <cell r="AA316" t="str">
            <v/>
          </cell>
          <cell r="AB316" t="str">
            <v>PA_4610267-DC.7005-4</v>
          </cell>
          <cell r="AC316">
            <v>1</v>
          </cell>
          <cell r="AD316" t="str">
            <v/>
          </cell>
          <cell r="AE316">
            <v>0</v>
          </cell>
          <cell r="AF316" t="str">
            <v/>
          </cell>
          <cell r="AG316" t="str">
            <v>12532522</v>
          </cell>
          <cell r="AH316">
            <v>44624.99077546296</v>
          </cell>
          <cell r="AI316" t="str">
            <v>N52</v>
          </cell>
          <cell r="AJ316" t="str">
            <v>F</v>
          </cell>
          <cell r="AK316" t="str">
            <v/>
          </cell>
        </row>
        <row r="317">
          <cell r="A317" t="str">
            <v>12532524829053</v>
          </cell>
          <cell r="B317" t="e">
            <v>#N/A</v>
          </cell>
          <cell r="C317">
            <v>4</v>
          </cell>
          <cell r="D317" t="str">
            <v>EK65</v>
          </cell>
          <cell r="E317" t="str">
            <v>522823</v>
          </cell>
          <cell r="F317" t="str">
            <v>E</v>
          </cell>
          <cell r="G317" t="str">
            <v>12532524</v>
          </cell>
          <cell r="H317" t="str">
            <v>Dehnhuelse IV kpl</v>
          </cell>
          <cell r="I317">
            <v>209</v>
          </cell>
          <cell r="J317" t="str">
            <v>Stk</v>
          </cell>
          <cell r="K317">
            <v>45211</v>
          </cell>
          <cell r="L317" t="str">
            <v>829053</v>
          </cell>
          <cell r="M317" t="str">
            <v/>
          </cell>
          <cell r="N317" t="str">
            <v/>
          </cell>
          <cell r="O317" t="str">
            <v/>
          </cell>
          <cell r="P317" t="str">
            <v/>
          </cell>
          <cell r="Q317" t="str">
            <v/>
          </cell>
          <cell r="R317" t="str">
            <v/>
          </cell>
          <cell r="S317" t="str">
            <v/>
          </cell>
          <cell r="T317" t="str">
            <v/>
          </cell>
          <cell r="U317" t="str">
            <v/>
          </cell>
          <cell r="V317" t="str">
            <v>N52</v>
          </cell>
          <cell r="W317" t="str">
            <v/>
          </cell>
          <cell r="X317" t="str">
            <v/>
          </cell>
          <cell r="Y317" t="str">
            <v/>
          </cell>
          <cell r="Z317" t="str">
            <v/>
          </cell>
          <cell r="AA317" t="str">
            <v/>
          </cell>
          <cell r="AB317" t="str">
            <v>PA_4610278-DC.7005-4</v>
          </cell>
          <cell r="AC317">
            <v>1</v>
          </cell>
          <cell r="AD317" t="str">
            <v/>
          </cell>
          <cell r="AE317">
            <v>0</v>
          </cell>
          <cell r="AF317" t="str">
            <v/>
          </cell>
          <cell r="AG317" t="str">
            <v>12532524</v>
          </cell>
          <cell r="AH317">
            <v>44624.990798611114</v>
          </cell>
          <cell r="AI317" t="str">
            <v>N52</v>
          </cell>
          <cell r="AJ317" t="str">
            <v>F</v>
          </cell>
          <cell r="AK317" t="str">
            <v/>
          </cell>
        </row>
        <row r="318">
          <cell r="A318" t="str">
            <v>12532524829054</v>
          </cell>
          <cell r="B318" t="e">
            <v>#N/A</v>
          </cell>
          <cell r="C318">
            <v>4</v>
          </cell>
          <cell r="D318" t="str">
            <v>EK65</v>
          </cell>
          <cell r="E318" t="str">
            <v>522824</v>
          </cell>
          <cell r="F318" t="str">
            <v>E</v>
          </cell>
          <cell r="G318" t="str">
            <v>12532524</v>
          </cell>
          <cell r="H318" t="str">
            <v>Dehnhuelse IV kpl</v>
          </cell>
          <cell r="I318">
            <v>122</v>
          </cell>
          <cell r="J318" t="str">
            <v>Stk</v>
          </cell>
          <cell r="K318">
            <v>45244</v>
          </cell>
          <cell r="L318" t="str">
            <v>829054</v>
          </cell>
          <cell r="M318" t="str">
            <v/>
          </cell>
          <cell r="N318" t="str">
            <v/>
          </cell>
          <cell r="O318" t="str">
            <v/>
          </cell>
          <cell r="P318" t="str">
            <v/>
          </cell>
          <cell r="Q318" t="str">
            <v/>
          </cell>
          <cell r="R318" t="str">
            <v/>
          </cell>
          <cell r="S318" t="str">
            <v/>
          </cell>
          <cell r="T318" t="str">
            <v/>
          </cell>
          <cell r="U318" t="str">
            <v/>
          </cell>
          <cell r="V318" t="str">
            <v>N52</v>
          </cell>
          <cell r="W318" t="str">
            <v/>
          </cell>
          <cell r="X318" t="str">
            <v/>
          </cell>
          <cell r="Y318" t="str">
            <v/>
          </cell>
          <cell r="Z318" t="str">
            <v/>
          </cell>
          <cell r="AA318" t="str">
            <v/>
          </cell>
          <cell r="AB318" t="str">
            <v>PA_4610278-DC.7005-4</v>
          </cell>
          <cell r="AC318">
            <v>1</v>
          </cell>
          <cell r="AD318" t="str">
            <v/>
          </cell>
          <cell r="AE318">
            <v>0</v>
          </cell>
          <cell r="AF318" t="str">
            <v/>
          </cell>
          <cell r="AG318" t="str">
            <v>12532524</v>
          </cell>
          <cell r="AH318">
            <v>44624.990798611114</v>
          </cell>
          <cell r="AI318" t="str">
            <v>N52</v>
          </cell>
          <cell r="AJ318" t="str">
            <v>F</v>
          </cell>
          <cell r="AK318" t="str">
            <v/>
          </cell>
        </row>
        <row r="319">
          <cell r="A319" t="str">
            <v>12533439829053</v>
          </cell>
          <cell r="B319" t="e">
            <v>#N/A</v>
          </cell>
          <cell r="C319">
            <v>6</v>
          </cell>
          <cell r="D319" t="str">
            <v>EK65</v>
          </cell>
          <cell r="E319" t="str">
            <v>522825</v>
          </cell>
          <cell r="F319" t="str">
            <v>E</v>
          </cell>
          <cell r="G319" t="str">
            <v>12533439</v>
          </cell>
          <cell r="H319" t="str">
            <v>Dehnhuelse</v>
          </cell>
          <cell r="I319">
            <v>629</v>
          </cell>
          <cell r="J319" t="str">
            <v>Stk</v>
          </cell>
          <cell r="K319">
            <v>45216</v>
          </cell>
          <cell r="L319" t="str">
            <v>829053</v>
          </cell>
          <cell r="M319" t="str">
            <v/>
          </cell>
          <cell r="N319" t="str">
            <v/>
          </cell>
          <cell r="O319" t="str">
            <v/>
          </cell>
          <cell r="P319" t="str">
            <v/>
          </cell>
          <cell r="Q319" t="str">
            <v/>
          </cell>
          <cell r="R319" t="str">
            <v/>
          </cell>
          <cell r="S319" t="str">
            <v/>
          </cell>
          <cell r="T319" t="str">
            <v/>
          </cell>
          <cell r="U319" t="str">
            <v/>
          </cell>
          <cell r="V319" t="str">
            <v>N52</v>
          </cell>
          <cell r="W319" t="str">
            <v/>
          </cell>
          <cell r="X319" t="str">
            <v/>
          </cell>
          <cell r="Y319" t="str">
            <v/>
          </cell>
          <cell r="Z319" t="str">
            <v/>
          </cell>
          <cell r="AA319" t="str">
            <v/>
          </cell>
          <cell r="AB319" t="str">
            <v>PA_4615242-NB.7005-4</v>
          </cell>
          <cell r="AC319">
            <v>1</v>
          </cell>
          <cell r="AD319" t="str">
            <v/>
          </cell>
          <cell r="AE319">
            <v>0</v>
          </cell>
          <cell r="AF319" t="str">
            <v/>
          </cell>
          <cell r="AG319" t="str">
            <v>12533439</v>
          </cell>
          <cell r="AH319">
            <v>44624.990995370368</v>
          </cell>
          <cell r="AI319" t="str">
            <v>N52</v>
          </cell>
          <cell r="AJ319" t="str">
            <v>F</v>
          </cell>
          <cell r="AK319" t="str">
            <v/>
          </cell>
        </row>
        <row r="320">
          <cell r="A320" t="str">
            <v>12533439829051</v>
          </cell>
          <cell r="B320" t="e">
            <v>#N/A</v>
          </cell>
          <cell r="C320">
            <v>6</v>
          </cell>
          <cell r="D320" t="str">
            <v>EK65</v>
          </cell>
          <cell r="E320" t="str">
            <v>522826</v>
          </cell>
          <cell r="F320" t="str">
            <v>E</v>
          </cell>
          <cell r="G320" t="str">
            <v>12533439</v>
          </cell>
          <cell r="H320" t="str">
            <v>Dehnhuelse</v>
          </cell>
          <cell r="I320">
            <v>1090</v>
          </cell>
          <cell r="J320" t="str">
            <v>Stk</v>
          </cell>
          <cell r="K320">
            <v>45330</v>
          </cell>
          <cell r="L320" t="str">
            <v>829051</v>
          </cell>
          <cell r="M320" t="str">
            <v/>
          </cell>
          <cell r="N320" t="str">
            <v/>
          </cell>
          <cell r="O320" t="str">
            <v/>
          </cell>
          <cell r="P320" t="str">
            <v/>
          </cell>
          <cell r="Q320" t="str">
            <v/>
          </cell>
          <cell r="R320" t="str">
            <v/>
          </cell>
          <cell r="S320" t="str">
            <v/>
          </cell>
          <cell r="T320" t="str">
            <v/>
          </cell>
          <cell r="U320" t="str">
            <v/>
          </cell>
          <cell r="V320" t="str">
            <v>N52</v>
          </cell>
          <cell r="W320" t="str">
            <v/>
          </cell>
          <cell r="X320" t="str">
            <v/>
          </cell>
          <cell r="Y320" t="str">
            <v/>
          </cell>
          <cell r="Z320" t="str">
            <v/>
          </cell>
          <cell r="AA320" t="str">
            <v/>
          </cell>
          <cell r="AB320" t="str">
            <v>PA_4615242-NB.7005-4</v>
          </cell>
          <cell r="AC320">
            <v>1</v>
          </cell>
          <cell r="AD320" t="str">
            <v/>
          </cell>
          <cell r="AE320">
            <v>0</v>
          </cell>
          <cell r="AF320" t="str">
            <v/>
          </cell>
          <cell r="AG320" t="str">
            <v>12533439</v>
          </cell>
          <cell r="AH320">
            <v>44624.990995370368</v>
          </cell>
          <cell r="AI320" t="str">
            <v>N52</v>
          </cell>
          <cell r="AJ320" t="str">
            <v>F</v>
          </cell>
          <cell r="AK320" t="str">
            <v/>
          </cell>
        </row>
        <row r="321">
          <cell r="A321" t="str">
            <v>12534927829053</v>
          </cell>
          <cell r="B321" t="e">
            <v>#N/A</v>
          </cell>
          <cell r="C321">
            <v>24</v>
          </cell>
          <cell r="D321" t="str">
            <v>EK65</v>
          </cell>
          <cell r="E321" t="str">
            <v>522831</v>
          </cell>
          <cell r="F321" t="str">
            <v>E</v>
          </cell>
          <cell r="G321" t="str">
            <v>12534927</v>
          </cell>
          <cell r="H321" t="str">
            <v>Abstandshalter</v>
          </cell>
          <cell r="I321">
            <v>1038</v>
          </cell>
          <cell r="J321" t="str">
            <v>Stk</v>
          </cell>
          <cell r="K321">
            <v>45196</v>
          </cell>
          <cell r="L321" t="str">
            <v>829053</v>
          </cell>
          <cell r="M321" t="str">
            <v/>
          </cell>
          <cell r="N321" t="str">
            <v/>
          </cell>
          <cell r="O321" t="str">
            <v/>
          </cell>
          <cell r="P321" t="str">
            <v/>
          </cell>
          <cell r="Q321" t="str">
            <v/>
          </cell>
          <cell r="R321" t="str">
            <v/>
          </cell>
          <cell r="S321" t="str">
            <v/>
          </cell>
          <cell r="T321" t="str">
            <v/>
          </cell>
          <cell r="U321" t="str">
            <v/>
          </cell>
          <cell r="V321" t="str">
            <v>N52</v>
          </cell>
          <cell r="W321" t="str">
            <v/>
          </cell>
          <cell r="X321" t="str">
            <v/>
          </cell>
          <cell r="Y321" t="str">
            <v/>
          </cell>
          <cell r="Z321" t="str">
            <v/>
          </cell>
          <cell r="AA321" t="str">
            <v/>
          </cell>
          <cell r="AB321" t="str">
            <v>PA_4608693-CF.7005-4</v>
          </cell>
          <cell r="AC321">
            <v>1</v>
          </cell>
          <cell r="AD321" t="str">
            <v/>
          </cell>
          <cell r="AE321">
            <v>0</v>
          </cell>
          <cell r="AF321" t="str">
            <v/>
          </cell>
          <cell r="AG321" t="str">
            <v>12534927</v>
          </cell>
          <cell r="AH321">
            <v>44624.991226851853</v>
          </cell>
          <cell r="AI321" t="str">
            <v>N52</v>
          </cell>
          <cell r="AJ321" t="str">
            <v>F</v>
          </cell>
          <cell r="AK321" t="str">
            <v/>
          </cell>
        </row>
        <row r="322">
          <cell r="A322" t="str">
            <v>12534927829054</v>
          </cell>
          <cell r="B322" t="e">
            <v>#N/A</v>
          </cell>
          <cell r="C322">
            <v>24</v>
          </cell>
          <cell r="D322" t="str">
            <v>EK65</v>
          </cell>
          <cell r="E322" t="str">
            <v>522832</v>
          </cell>
          <cell r="F322" t="str">
            <v>E</v>
          </cell>
          <cell r="G322" t="str">
            <v>12534927</v>
          </cell>
          <cell r="H322" t="str">
            <v>Abstandshalter</v>
          </cell>
          <cell r="I322">
            <v>423</v>
          </cell>
          <cell r="J322" t="str">
            <v>Stk</v>
          </cell>
          <cell r="K322">
            <v>45205</v>
          </cell>
          <cell r="L322" t="str">
            <v>829054</v>
          </cell>
          <cell r="M322" t="str">
            <v/>
          </cell>
          <cell r="N322" t="str">
            <v/>
          </cell>
          <cell r="O322" t="str">
            <v/>
          </cell>
          <cell r="P322" t="str">
            <v/>
          </cell>
          <cell r="Q322" t="str">
            <v/>
          </cell>
          <cell r="R322" t="str">
            <v/>
          </cell>
          <cell r="S322" t="str">
            <v/>
          </cell>
          <cell r="T322" t="str">
            <v/>
          </cell>
          <cell r="U322" t="str">
            <v/>
          </cell>
          <cell r="V322" t="str">
            <v>N52</v>
          </cell>
          <cell r="W322" t="str">
            <v/>
          </cell>
          <cell r="X322" t="str">
            <v/>
          </cell>
          <cell r="Y322" t="str">
            <v/>
          </cell>
          <cell r="Z322" t="str">
            <v/>
          </cell>
          <cell r="AA322" t="str">
            <v/>
          </cell>
          <cell r="AB322" t="str">
            <v>PA_4608693-CF.7005-4</v>
          </cell>
          <cell r="AC322">
            <v>1</v>
          </cell>
          <cell r="AD322" t="str">
            <v/>
          </cell>
          <cell r="AE322">
            <v>0</v>
          </cell>
          <cell r="AF322" t="str">
            <v/>
          </cell>
          <cell r="AG322" t="str">
            <v>12534927</v>
          </cell>
          <cell r="AH322">
            <v>44624.991226851853</v>
          </cell>
          <cell r="AI322" t="str">
            <v>N52</v>
          </cell>
          <cell r="AJ322" t="str">
            <v>F</v>
          </cell>
          <cell r="AK322" t="str">
            <v/>
          </cell>
        </row>
        <row r="323">
          <cell r="A323" t="str">
            <v>12534927829051</v>
          </cell>
          <cell r="B323" t="e">
            <v>#N/A</v>
          </cell>
          <cell r="C323">
            <v>24</v>
          </cell>
          <cell r="D323" t="str">
            <v>EK65</v>
          </cell>
          <cell r="E323" t="str">
            <v>522833</v>
          </cell>
          <cell r="F323" t="str">
            <v>E</v>
          </cell>
          <cell r="G323" t="str">
            <v>12534927</v>
          </cell>
          <cell r="H323" t="str">
            <v>Abstandshalter</v>
          </cell>
          <cell r="I323">
            <v>1450</v>
          </cell>
          <cell r="J323" t="str">
            <v>Stk</v>
          </cell>
          <cell r="K323">
            <v>45310</v>
          </cell>
          <cell r="L323" t="str">
            <v>829051</v>
          </cell>
          <cell r="M323" t="str">
            <v/>
          </cell>
          <cell r="N323" t="str">
            <v/>
          </cell>
          <cell r="O323" t="str">
            <v/>
          </cell>
          <cell r="P323" t="str">
            <v/>
          </cell>
          <cell r="Q323" t="str">
            <v/>
          </cell>
          <cell r="R323" t="str">
            <v/>
          </cell>
          <cell r="S323" t="str">
            <v/>
          </cell>
          <cell r="T323" t="str">
            <v/>
          </cell>
          <cell r="U323" t="str">
            <v/>
          </cell>
          <cell r="V323" t="str">
            <v>N52</v>
          </cell>
          <cell r="W323" t="str">
            <v/>
          </cell>
          <cell r="X323" t="str">
            <v/>
          </cell>
          <cell r="Y323" t="str">
            <v/>
          </cell>
          <cell r="Z323" t="str">
            <v/>
          </cell>
          <cell r="AA323" t="str">
            <v/>
          </cell>
          <cell r="AB323" t="str">
            <v>PA_4608693-CF.7005-4</v>
          </cell>
          <cell r="AC323">
            <v>1</v>
          </cell>
          <cell r="AD323" t="str">
            <v/>
          </cell>
          <cell r="AE323">
            <v>0</v>
          </cell>
          <cell r="AF323" t="str">
            <v/>
          </cell>
          <cell r="AG323" t="str">
            <v>12534927</v>
          </cell>
          <cell r="AH323">
            <v>44624.991226851853</v>
          </cell>
          <cell r="AI323" t="str">
            <v>N52</v>
          </cell>
          <cell r="AJ323" t="str">
            <v>F</v>
          </cell>
          <cell r="AK323" t="str">
            <v/>
          </cell>
        </row>
        <row r="324">
          <cell r="A324" t="str">
            <v>12534927829052</v>
          </cell>
          <cell r="B324" t="str">
            <v>BL20230413-2</v>
          </cell>
          <cell r="C324">
            <v>24</v>
          </cell>
          <cell r="D324" t="str">
            <v>EK65</v>
          </cell>
          <cell r="E324" t="str">
            <v>522834</v>
          </cell>
          <cell r="F324" t="str">
            <v>E</v>
          </cell>
          <cell r="G324" t="str">
            <v>12534927</v>
          </cell>
          <cell r="H324" t="str">
            <v>Abstandshalter</v>
          </cell>
          <cell r="I324">
            <v>497</v>
          </cell>
          <cell r="J324" t="str">
            <v>Stk</v>
          </cell>
          <cell r="K324">
            <v>45343</v>
          </cell>
          <cell r="L324" t="str">
            <v>829052</v>
          </cell>
          <cell r="M324" t="str">
            <v/>
          </cell>
          <cell r="N324" t="str">
            <v/>
          </cell>
          <cell r="O324" t="str">
            <v/>
          </cell>
          <cell r="P324" t="str">
            <v/>
          </cell>
          <cell r="Q324" t="str">
            <v/>
          </cell>
          <cell r="R324" t="str">
            <v/>
          </cell>
          <cell r="S324" t="str">
            <v/>
          </cell>
          <cell r="T324" t="str">
            <v/>
          </cell>
          <cell r="U324" t="str">
            <v/>
          </cell>
          <cell r="V324" t="str">
            <v>N52</v>
          </cell>
          <cell r="W324" t="str">
            <v/>
          </cell>
          <cell r="X324" t="str">
            <v/>
          </cell>
          <cell r="Y324" t="str">
            <v/>
          </cell>
          <cell r="Z324" t="str">
            <v/>
          </cell>
          <cell r="AA324" t="str">
            <v/>
          </cell>
          <cell r="AB324" t="str">
            <v>PA_4608693-CF.7005-4</v>
          </cell>
          <cell r="AC324">
            <v>1</v>
          </cell>
          <cell r="AD324" t="str">
            <v/>
          </cell>
          <cell r="AE324">
            <v>0</v>
          </cell>
          <cell r="AF324" t="str">
            <v/>
          </cell>
          <cell r="AG324" t="str">
            <v>12534927</v>
          </cell>
          <cell r="AH324">
            <v>44624.991226851853</v>
          </cell>
          <cell r="AI324" t="str">
            <v>N52</v>
          </cell>
          <cell r="AJ324" t="str">
            <v>F</v>
          </cell>
          <cell r="AK324" t="str">
            <v/>
          </cell>
        </row>
        <row r="325">
          <cell r="A325" t="str">
            <v>12535589829054</v>
          </cell>
          <cell r="B325" t="e">
            <v>#N/A</v>
          </cell>
          <cell r="C325">
            <v>12</v>
          </cell>
          <cell r="D325" t="str">
            <v>EK65</v>
          </cell>
          <cell r="E325" t="str">
            <v>522835</v>
          </cell>
          <cell r="F325" t="str">
            <v>E</v>
          </cell>
          <cell r="G325" t="str">
            <v>12535589</v>
          </cell>
          <cell r="H325" t="str">
            <v>Dehnhuelse</v>
          </cell>
          <cell r="I325">
            <v>580</v>
          </cell>
          <cell r="J325" t="str">
            <v>Stk</v>
          </cell>
          <cell r="K325">
            <v>45204</v>
          </cell>
          <cell r="L325" t="str">
            <v>829054</v>
          </cell>
          <cell r="M325" t="str">
            <v/>
          </cell>
          <cell r="N325" t="str">
            <v/>
          </cell>
          <cell r="O325" t="str">
            <v/>
          </cell>
          <cell r="P325" t="str">
            <v/>
          </cell>
          <cell r="Q325" t="str">
            <v/>
          </cell>
          <cell r="R325" t="str">
            <v/>
          </cell>
          <cell r="S325" t="str">
            <v/>
          </cell>
          <cell r="T325" t="str">
            <v/>
          </cell>
          <cell r="U325" t="str">
            <v/>
          </cell>
          <cell r="V325" t="str">
            <v>N52</v>
          </cell>
          <cell r="W325" t="str">
            <v/>
          </cell>
          <cell r="X325" t="str">
            <v/>
          </cell>
          <cell r="Y325" t="str">
            <v/>
          </cell>
          <cell r="Z325" t="str">
            <v/>
          </cell>
          <cell r="AA325" t="str">
            <v/>
          </cell>
          <cell r="AB325" t="str">
            <v>PA_4625330-DB.7005-4</v>
          </cell>
          <cell r="AC325">
            <v>1</v>
          </cell>
          <cell r="AD325" t="str">
            <v/>
          </cell>
          <cell r="AE325">
            <v>0</v>
          </cell>
          <cell r="AF325" t="str">
            <v/>
          </cell>
          <cell r="AG325" t="str">
            <v>12535589</v>
          </cell>
          <cell r="AH325">
            <v>44624.991319444445</v>
          </cell>
          <cell r="AI325" t="str">
            <v>N52</v>
          </cell>
          <cell r="AJ325" t="str">
            <v>F</v>
          </cell>
          <cell r="AK325" t="str">
            <v/>
          </cell>
        </row>
        <row r="326">
          <cell r="A326" t="str">
            <v>12535589829053</v>
          </cell>
          <cell r="B326" t="e">
            <v>#N/A</v>
          </cell>
          <cell r="C326">
            <v>12</v>
          </cell>
          <cell r="D326" t="str">
            <v>EK65</v>
          </cell>
          <cell r="E326" t="str">
            <v>522836</v>
          </cell>
          <cell r="F326" t="str">
            <v>E</v>
          </cell>
          <cell r="G326" t="str">
            <v>12535589</v>
          </cell>
          <cell r="H326" t="str">
            <v>Dehnhuelse</v>
          </cell>
          <cell r="I326">
            <v>829</v>
          </cell>
          <cell r="J326" t="str">
            <v>Stk</v>
          </cell>
          <cell r="K326">
            <v>45212</v>
          </cell>
          <cell r="L326" t="str">
            <v>829053</v>
          </cell>
          <cell r="M326" t="str">
            <v/>
          </cell>
          <cell r="N326" t="str">
            <v/>
          </cell>
          <cell r="O326" t="str">
            <v/>
          </cell>
          <cell r="P326" t="str">
            <v/>
          </cell>
          <cell r="Q326" t="str">
            <v/>
          </cell>
          <cell r="R326" t="str">
            <v/>
          </cell>
          <cell r="S326" t="str">
            <v/>
          </cell>
          <cell r="T326" t="str">
            <v/>
          </cell>
          <cell r="U326" t="str">
            <v/>
          </cell>
          <cell r="V326" t="str">
            <v>N52</v>
          </cell>
          <cell r="W326" t="str">
            <v/>
          </cell>
          <cell r="X326" t="str">
            <v/>
          </cell>
          <cell r="Y326" t="str">
            <v/>
          </cell>
          <cell r="Z326" t="str">
            <v/>
          </cell>
          <cell r="AA326" t="str">
            <v/>
          </cell>
          <cell r="AB326" t="str">
            <v>PA_4625330-DB.7005-4</v>
          </cell>
          <cell r="AC326">
            <v>1</v>
          </cell>
          <cell r="AD326" t="str">
            <v/>
          </cell>
          <cell r="AE326">
            <v>0</v>
          </cell>
          <cell r="AF326" t="str">
            <v/>
          </cell>
          <cell r="AG326" t="str">
            <v>12535589</v>
          </cell>
          <cell r="AH326">
            <v>44624.991319444445</v>
          </cell>
          <cell r="AI326" t="str">
            <v>N52</v>
          </cell>
          <cell r="AJ326" t="str">
            <v>F</v>
          </cell>
          <cell r="AK326" t="str">
            <v/>
          </cell>
        </row>
        <row r="327">
          <cell r="A327" t="str">
            <v>12535589829051</v>
          </cell>
          <cell r="B327" t="e">
            <v>#N/A</v>
          </cell>
          <cell r="C327">
            <v>12</v>
          </cell>
          <cell r="D327" t="str">
            <v>EK65</v>
          </cell>
          <cell r="E327" t="str">
            <v>522837</v>
          </cell>
          <cell r="F327" t="str">
            <v>E</v>
          </cell>
          <cell r="G327" t="str">
            <v>12535589</v>
          </cell>
          <cell r="H327" t="str">
            <v>Dehnhuelse</v>
          </cell>
          <cell r="I327">
            <v>2172</v>
          </cell>
          <cell r="J327" t="str">
            <v>Stk</v>
          </cell>
          <cell r="K327">
            <v>45324</v>
          </cell>
          <cell r="L327" t="str">
            <v>829051</v>
          </cell>
          <cell r="M327" t="str">
            <v/>
          </cell>
          <cell r="N327" t="str">
            <v/>
          </cell>
          <cell r="O327" t="str">
            <v/>
          </cell>
          <cell r="P327" t="str">
            <v/>
          </cell>
          <cell r="Q327" t="str">
            <v/>
          </cell>
          <cell r="R327" t="str">
            <v/>
          </cell>
          <cell r="S327" t="str">
            <v/>
          </cell>
          <cell r="T327" t="str">
            <v/>
          </cell>
          <cell r="U327" t="str">
            <v/>
          </cell>
          <cell r="V327" t="str">
            <v>N52</v>
          </cell>
          <cell r="W327" t="str">
            <v/>
          </cell>
          <cell r="X327" t="str">
            <v/>
          </cell>
          <cell r="Y327" t="str">
            <v/>
          </cell>
          <cell r="Z327" t="str">
            <v/>
          </cell>
          <cell r="AA327" t="str">
            <v/>
          </cell>
          <cell r="AB327" t="str">
            <v>PA_4625330-DB.7005-4</v>
          </cell>
          <cell r="AC327">
            <v>1</v>
          </cell>
          <cell r="AD327" t="str">
            <v/>
          </cell>
          <cell r="AE327">
            <v>0</v>
          </cell>
          <cell r="AF327" t="str">
            <v/>
          </cell>
          <cell r="AG327" t="str">
            <v>12535589</v>
          </cell>
          <cell r="AH327">
            <v>44624.991319444445</v>
          </cell>
          <cell r="AI327" t="str">
            <v>N52</v>
          </cell>
          <cell r="AJ327" t="str">
            <v>F</v>
          </cell>
          <cell r="AK327" t="str">
            <v/>
          </cell>
        </row>
        <row r="328">
          <cell r="A328" t="str">
            <v>12535589829052</v>
          </cell>
          <cell r="B328" t="e">
            <v>#N/A</v>
          </cell>
          <cell r="C328">
            <v>12</v>
          </cell>
          <cell r="D328" t="str">
            <v>EK65</v>
          </cell>
          <cell r="E328" t="str">
            <v>522838</v>
          </cell>
          <cell r="F328" t="str">
            <v>E</v>
          </cell>
          <cell r="G328" t="str">
            <v>12535589</v>
          </cell>
          <cell r="H328" t="str">
            <v>Dehnhuelse</v>
          </cell>
          <cell r="I328">
            <v>1248</v>
          </cell>
          <cell r="J328" t="str">
            <v>Stk</v>
          </cell>
          <cell r="K328">
            <v>45351</v>
          </cell>
          <cell r="L328" t="str">
            <v>829052</v>
          </cell>
          <cell r="M328" t="str">
            <v/>
          </cell>
          <cell r="N328" t="str">
            <v/>
          </cell>
          <cell r="O328" t="str">
            <v/>
          </cell>
          <cell r="P328" t="str">
            <v/>
          </cell>
          <cell r="Q328" t="str">
            <v/>
          </cell>
          <cell r="R328" t="str">
            <v/>
          </cell>
          <cell r="S328" t="str">
            <v/>
          </cell>
          <cell r="T328" t="str">
            <v/>
          </cell>
          <cell r="U328" t="str">
            <v/>
          </cell>
          <cell r="V328" t="str">
            <v>N52</v>
          </cell>
          <cell r="W328" t="str">
            <v/>
          </cell>
          <cell r="X328" t="str">
            <v/>
          </cell>
          <cell r="Y328" t="str">
            <v/>
          </cell>
          <cell r="Z328" t="str">
            <v/>
          </cell>
          <cell r="AA328" t="str">
            <v/>
          </cell>
          <cell r="AB328" t="str">
            <v>PA_4625330-DB.7005-4</v>
          </cell>
          <cell r="AC328">
            <v>1</v>
          </cell>
          <cell r="AD328" t="str">
            <v/>
          </cell>
          <cell r="AE328">
            <v>0</v>
          </cell>
          <cell r="AF328" t="str">
            <v/>
          </cell>
          <cell r="AG328" t="str">
            <v>12535589</v>
          </cell>
          <cell r="AH328">
            <v>44624.991319444445</v>
          </cell>
          <cell r="AI328" t="str">
            <v>N52</v>
          </cell>
          <cell r="AJ328" t="str">
            <v>F</v>
          </cell>
          <cell r="AK328" t="str">
            <v/>
          </cell>
        </row>
        <row r="329">
          <cell r="A329" t="str">
            <v>12535705829051</v>
          </cell>
          <cell r="B329" t="e">
            <v>#N/A</v>
          </cell>
          <cell r="C329">
            <v>6</v>
          </cell>
          <cell r="D329" t="str">
            <v>EK65</v>
          </cell>
          <cell r="E329" t="str">
            <v>522839</v>
          </cell>
          <cell r="F329" t="str">
            <v>E</v>
          </cell>
          <cell r="G329" t="str">
            <v>12535705</v>
          </cell>
          <cell r="H329" t="str">
            <v>Beilage</v>
          </cell>
          <cell r="I329">
            <v>74</v>
          </cell>
          <cell r="J329" t="str">
            <v>Stk</v>
          </cell>
          <cell r="K329">
            <v>45519</v>
          </cell>
          <cell r="L329" t="str">
            <v>829051</v>
          </cell>
          <cell r="M329" t="str">
            <v/>
          </cell>
          <cell r="N329" t="str">
            <v/>
          </cell>
          <cell r="O329" t="str">
            <v/>
          </cell>
          <cell r="P329" t="str">
            <v/>
          </cell>
          <cell r="Q329" t="str">
            <v/>
          </cell>
          <cell r="R329" t="str">
            <v/>
          </cell>
          <cell r="S329" t="str">
            <v/>
          </cell>
          <cell r="T329" t="str">
            <v/>
          </cell>
          <cell r="U329" t="str">
            <v/>
          </cell>
          <cell r="V329" t="str">
            <v>N52</v>
          </cell>
          <cell r="W329" t="str">
            <v/>
          </cell>
          <cell r="X329" t="str">
            <v/>
          </cell>
          <cell r="Y329" t="str">
            <v/>
          </cell>
          <cell r="Z329" t="str">
            <v/>
          </cell>
          <cell r="AA329" t="str">
            <v/>
          </cell>
          <cell r="AB329" t="str">
            <v>PA_4591522-TB.7005-4</v>
          </cell>
          <cell r="AC329">
            <v>1</v>
          </cell>
          <cell r="AD329" t="str">
            <v/>
          </cell>
          <cell r="AE329">
            <v>0</v>
          </cell>
          <cell r="AF329" t="str">
            <v/>
          </cell>
          <cell r="AG329" t="str">
            <v>12535705</v>
          </cell>
          <cell r="AH329">
            <v>44624.991388888891</v>
          </cell>
          <cell r="AI329" t="str">
            <v>N52</v>
          </cell>
          <cell r="AJ329" t="str">
            <v>F</v>
          </cell>
          <cell r="AK329" t="str">
            <v/>
          </cell>
        </row>
        <row r="330">
          <cell r="A330" t="str">
            <v>12535705829052</v>
          </cell>
          <cell r="B330" t="e">
            <v>#N/A</v>
          </cell>
          <cell r="C330">
            <v>6</v>
          </cell>
          <cell r="D330" t="str">
            <v>EK65</v>
          </cell>
          <cell r="E330" t="str">
            <v>522840</v>
          </cell>
          <cell r="F330" t="str">
            <v>E</v>
          </cell>
          <cell r="G330" t="str">
            <v>12535705</v>
          </cell>
          <cell r="H330" t="str">
            <v>Beilage</v>
          </cell>
          <cell r="I330">
            <v>9</v>
          </cell>
          <cell r="J330" t="str">
            <v>Stk</v>
          </cell>
          <cell r="K330">
            <v>45546</v>
          </cell>
          <cell r="L330" t="str">
            <v>829052</v>
          </cell>
          <cell r="M330" t="str">
            <v/>
          </cell>
          <cell r="N330" t="str">
            <v/>
          </cell>
          <cell r="O330" t="str">
            <v/>
          </cell>
          <cell r="P330" t="str">
            <v/>
          </cell>
          <cell r="Q330" t="str">
            <v/>
          </cell>
          <cell r="R330" t="str">
            <v/>
          </cell>
          <cell r="S330" t="str">
            <v/>
          </cell>
          <cell r="T330" t="str">
            <v/>
          </cell>
          <cell r="U330" t="str">
            <v/>
          </cell>
          <cell r="V330" t="str">
            <v>N52</v>
          </cell>
          <cell r="W330" t="str">
            <v/>
          </cell>
          <cell r="X330" t="str">
            <v/>
          </cell>
          <cell r="Y330" t="str">
            <v/>
          </cell>
          <cell r="Z330" t="str">
            <v/>
          </cell>
          <cell r="AA330" t="str">
            <v/>
          </cell>
          <cell r="AB330" t="str">
            <v>PA_4591522-TB.7005-4</v>
          </cell>
          <cell r="AC330">
            <v>1</v>
          </cell>
          <cell r="AD330" t="str">
            <v/>
          </cell>
          <cell r="AE330">
            <v>0</v>
          </cell>
          <cell r="AF330" t="str">
            <v/>
          </cell>
          <cell r="AG330" t="str">
            <v>12535705</v>
          </cell>
          <cell r="AH330">
            <v>44624.991388888891</v>
          </cell>
          <cell r="AI330" t="str">
            <v>N52</v>
          </cell>
          <cell r="AJ330" t="str">
            <v>F</v>
          </cell>
          <cell r="AK330" t="str">
            <v/>
          </cell>
        </row>
        <row r="331">
          <cell r="A331" t="str">
            <v>12535829829053</v>
          </cell>
          <cell r="B331" t="e">
            <v>#N/A</v>
          </cell>
          <cell r="C331">
            <v>20</v>
          </cell>
          <cell r="D331" t="str">
            <v>EK65</v>
          </cell>
          <cell r="E331" t="str">
            <v>522842</v>
          </cell>
          <cell r="F331" t="str">
            <v>E</v>
          </cell>
          <cell r="G331" t="str">
            <v>12535829</v>
          </cell>
          <cell r="H331" t="str">
            <v>Dehnhuelse</v>
          </cell>
          <cell r="I331">
            <v>1659</v>
          </cell>
          <cell r="J331" t="str">
            <v>Stk</v>
          </cell>
          <cell r="K331">
            <v>45212</v>
          </cell>
          <cell r="L331" t="str">
            <v>829053</v>
          </cell>
          <cell r="M331" t="str">
            <v/>
          </cell>
          <cell r="N331" t="str">
            <v/>
          </cell>
          <cell r="O331" t="str">
            <v/>
          </cell>
          <cell r="P331" t="str">
            <v/>
          </cell>
          <cell r="Q331" t="str">
            <v/>
          </cell>
          <cell r="R331" t="str">
            <v/>
          </cell>
          <cell r="S331" t="str">
            <v/>
          </cell>
          <cell r="T331" t="str">
            <v/>
          </cell>
          <cell r="U331" t="str">
            <v/>
          </cell>
          <cell r="V331" t="str">
            <v>N52</v>
          </cell>
          <cell r="W331" t="str">
            <v/>
          </cell>
          <cell r="X331" t="str">
            <v/>
          </cell>
          <cell r="Y331" t="str">
            <v/>
          </cell>
          <cell r="Z331" t="str">
            <v/>
          </cell>
          <cell r="AA331" t="str">
            <v/>
          </cell>
          <cell r="AB331" t="str">
            <v>PA_4624453-DB.7005-4</v>
          </cell>
          <cell r="AC331">
            <v>1</v>
          </cell>
          <cell r="AD331" t="str">
            <v/>
          </cell>
          <cell r="AE331">
            <v>0</v>
          </cell>
          <cell r="AF331" t="str">
            <v/>
          </cell>
          <cell r="AG331" t="str">
            <v>12535829</v>
          </cell>
          <cell r="AH331">
            <v>44624.991435185184</v>
          </cell>
          <cell r="AI331" t="str">
            <v>N52</v>
          </cell>
          <cell r="AJ331" t="str">
            <v>F</v>
          </cell>
          <cell r="AK331" t="str">
            <v/>
          </cell>
        </row>
        <row r="332">
          <cell r="A332" t="str">
            <v>12535829829054</v>
          </cell>
          <cell r="B332" t="e">
            <v>#N/A</v>
          </cell>
          <cell r="C332">
            <v>20</v>
          </cell>
          <cell r="D332" t="str">
            <v>EK65</v>
          </cell>
          <cell r="E332" t="str">
            <v>522843</v>
          </cell>
          <cell r="F332" t="str">
            <v>E</v>
          </cell>
          <cell r="G332" t="str">
            <v>12535829</v>
          </cell>
          <cell r="H332" t="str">
            <v>Dehnhuelse</v>
          </cell>
          <cell r="I332">
            <v>568</v>
          </cell>
          <cell r="J332" t="str">
            <v>Stk</v>
          </cell>
          <cell r="K332">
            <v>45220</v>
          </cell>
          <cell r="L332" t="str">
            <v>829054</v>
          </cell>
          <cell r="M332" t="str">
            <v/>
          </cell>
          <cell r="N332" t="str">
            <v/>
          </cell>
          <cell r="O332" t="str">
            <v/>
          </cell>
          <cell r="P332" t="str">
            <v/>
          </cell>
          <cell r="Q332" t="str">
            <v/>
          </cell>
          <cell r="R332" t="str">
            <v/>
          </cell>
          <cell r="S332" t="str">
            <v/>
          </cell>
          <cell r="T332" t="str">
            <v/>
          </cell>
          <cell r="U332" t="str">
            <v/>
          </cell>
          <cell r="V332" t="str">
            <v>N52</v>
          </cell>
          <cell r="W332" t="str">
            <v/>
          </cell>
          <cell r="X332" t="str">
            <v/>
          </cell>
          <cell r="Y332" t="str">
            <v/>
          </cell>
          <cell r="Z332" t="str">
            <v/>
          </cell>
          <cell r="AA332" t="str">
            <v/>
          </cell>
          <cell r="AB332" t="str">
            <v>PA_4624453-DB.7005-4</v>
          </cell>
          <cell r="AC332">
            <v>1</v>
          </cell>
          <cell r="AD332" t="str">
            <v/>
          </cell>
          <cell r="AE332">
            <v>0</v>
          </cell>
          <cell r="AF332" t="str">
            <v/>
          </cell>
          <cell r="AG332" t="str">
            <v>12535829</v>
          </cell>
          <cell r="AH332">
            <v>44624.991435185184</v>
          </cell>
          <cell r="AI332" t="str">
            <v>N52</v>
          </cell>
          <cell r="AJ332" t="str">
            <v>F</v>
          </cell>
          <cell r="AK332" t="str">
            <v/>
          </cell>
        </row>
        <row r="333">
          <cell r="A333" t="str">
            <v>12535829829051</v>
          </cell>
          <cell r="B333" t="e">
            <v>#N/A</v>
          </cell>
          <cell r="C333">
            <v>20</v>
          </cell>
          <cell r="D333" t="str">
            <v>EK65</v>
          </cell>
          <cell r="E333" t="str">
            <v>522844</v>
          </cell>
          <cell r="F333" t="str">
            <v>E</v>
          </cell>
          <cell r="G333" t="str">
            <v>12535829</v>
          </cell>
          <cell r="H333" t="str">
            <v>Dehnhuelse</v>
          </cell>
          <cell r="I333">
            <v>2172</v>
          </cell>
          <cell r="J333" t="str">
            <v>Stk</v>
          </cell>
          <cell r="K333">
            <v>45329</v>
          </cell>
          <cell r="L333" t="str">
            <v>829051</v>
          </cell>
          <cell r="M333" t="str">
            <v/>
          </cell>
          <cell r="N333" t="str">
            <v/>
          </cell>
          <cell r="O333" t="str">
            <v/>
          </cell>
          <cell r="P333" t="str">
            <v/>
          </cell>
          <cell r="Q333" t="str">
            <v/>
          </cell>
          <cell r="R333" t="str">
            <v/>
          </cell>
          <cell r="S333" t="str">
            <v/>
          </cell>
          <cell r="T333" t="str">
            <v/>
          </cell>
          <cell r="U333" t="str">
            <v/>
          </cell>
          <cell r="V333" t="str">
            <v>N52</v>
          </cell>
          <cell r="W333" t="str">
            <v/>
          </cell>
          <cell r="X333" t="str">
            <v/>
          </cell>
          <cell r="Y333" t="str">
            <v/>
          </cell>
          <cell r="Z333" t="str">
            <v/>
          </cell>
          <cell r="AA333" t="str">
            <v/>
          </cell>
          <cell r="AB333" t="str">
            <v>PA_4624453-DB.7005-4</v>
          </cell>
          <cell r="AC333">
            <v>1</v>
          </cell>
          <cell r="AD333" t="str">
            <v/>
          </cell>
          <cell r="AE333">
            <v>0</v>
          </cell>
          <cell r="AF333" t="str">
            <v/>
          </cell>
          <cell r="AG333" t="str">
            <v>12535829</v>
          </cell>
          <cell r="AH333">
            <v>44624.991435185184</v>
          </cell>
          <cell r="AI333" t="str">
            <v>N52</v>
          </cell>
          <cell r="AJ333" t="str">
            <v>F</v>
          </cell>
          <cell r="AK333" t="str">
            <v/>
          </cell>
        </row>
        <row r="334">
          <cell r="A334" t="str">
            <v>12535829829052</v>
          </cell>
          <cell r="B334" t="e">
            <v>#N/A</v>
          </cell>
          <cell r="C334">
            <v>20</v>
          </cell>
          <cell r="D334" t="str">
            <v>EK65</v>
          </cell>
          <cell r="E334" t="str">
            <v>522845</v>
          </cell>
          <cell r="F334" t="str">
            <v>E</v>
          </cell>
          <cell r="G334" t="str">
            <v>12535829</v>
          </cell>
          <cell r="H334" t="str">
            <v>Dehnhuelse</v>
          </cell>
          <cell r="I334">
            <v>748</v>
          </cell>
          <cell r="J334" t="str">
            <v>Stk</v>
          </cell>
          <cell r="K334">
            <v>45359</v>
          </cell>
          <cell r="L334" t="str">
            <v>829052</v>
          </cell>
          <cell r="M334" t="str">
            <v/>
          </cell>
          <cell r="N334" t="str">
            <v/>
          </cell>
          <cell r="O334" t="str">
            <v/>
          </cell>
          <cell r="P334" t="str">
            <v/>
          </cell>
          <cell r="Q334" t="str">
            <v/>
          </cell>
          <cell r="R334" t="str">
            <v/>
          </cell>
          <cell r="S334" t="str">
            <v/>
          </cell>
          <cell r="T334" t="str">
            <v/>
          </cell>
          <cell r="U334" t="str">
            <v/>
          </cell>
          <cell r="V334" t="str">
            <v>N52</v>
          </cell>
          <cell r="W334" t="str">
            <v/>
          </cell>
          <cell r="X334" t="str">
            <v/>
          </cell>
          <cell r="Y334" t="str">
            <v/>
          </cell>
          <cell r="Z334" t="str">
            <v/>
          </cell>
          <cell r="AA334" t="str">
            <v/>
          </cell>
          <cell r="AB334" t="str">
            <v>PA_4624453-DB.7005-4</v>
          </cell>
          <cell r="AC334">
            <v>1</v>
          </cell>
          <cell r="AD334" t="str">
            <v/>
          </cell>
          <cell r="AE334">
            <v>0</v>
          </cell>
          <cell r="AF334" t="str">
            <v/>
          </cell>
          <cell r="AG334" t="str">
            <v>12535829</v>
          </cell>
          <cell r="AH334">
            <v>44624.991435185184</v>
          </cell>
          <cell r="AI334" t="str">
            <v>N52</v>
          </cell>
          <cell r="AJ334" t="str">
            <v>F</v>
          </cell>
          <cell r="AK334" t="str">
            <v/>
          </cell>
        </row>
        <row r="335">
          <cell r="A335" t="str">
            <v>12535929829053</v>
          </cell>
          <cell r="B335" t="e">
            <v>#N/A</v>
          </cell>
          <cell r="C335">
            <v>8</v>
          </cell>
          <cell r="D335" t="str">
            <v>EK65</v>
          </cell>
          <cell r="E335" t="str">
            <v>522846</v>
          </cell>
          <cell r="F335" t="str">
            <v>E</v>
          </cell>
          <cell r="G335" t="str">
            <v>12535929</v>
          </cell>
          <cell r="H335" t="str">
            <v>Dehnhuelse</v>
          </cell>
          <cell r="I335">
            <v>208</v>
          </cell>
          <cell r="J335" t="str">
            <v>Stk</v>
          </cell>
          <cell r="K335">
            <v>45218</v>
          </cell>
          <cell r="L335" t="str">
            <v>829053</v>
          </cell>
          <cell r="M335" t="str">
            <v/>
          </cell>
          <cell r="N335" t="str">
            <v/>
          </cell>
          <cell r="O335" t="str">
            <v/>
          </cell>
          <cell r="P335" t="str">
            <v/>
          </cell>
          <cell r="Q335" t="str">
            <v/>
          </cell>
          <cell r="R335" t="str">
            <v/>
          </cell>
          <cell r="S335" t="str">
            <v/>
          </cell>
          <cell r="T335" t="str">
            <v/>
          </cell>
          <cell r="U335" t="str">
            <v/>
          </cell>
          <cell r="V335" t="str">
            <v>N52</v>
          </cell>
          <cell r="W335" t="str">
            <v/>
          </cell>
          <cell r="X335" t="str">
            <v/>
          </cell>
          <cell r="Y335" t="str">
            <v/>
          </cell>
          <cell r="Z335" t="str">
            <v/>
          </cell>
          <cell r="AA335" t="str">
            <v/>
          </cell>
          <cell r="AB335" t="str">
            <v>PA_4626398-DC.7005-4</v>
          </cell>
          <cell r="AC335">
            <v>1</v>
          </cell>
          <cell r="AD335" t="str">
            <v/>
          </cell>
          <cell r="AE335">
            <v>0</v>
          </cell>
          <cell r="AF335" t="str">
            <v/>
          </cell>
          <cell r="AG335" t="str">
            <v>12535929</v>
          </cell>
          <cell r="AH335">
            <v>44624.991469907407</v>
          </cell>
          <cell r="AI335" t="str">
            <v>N52</v>
          </cell>
          <cell r="AJ335" t="str">
            <v>F</v>
          </cell>
          <cell r="AK335" t="str">
            <v/>
          </cell>
        </row>
        <row r="336">
          <cell r="A336" t="str">
            <v>12535929829051</v>
          </cell>
          <cell r="B336" t="str">
            <v>BL20230413-2</v>
          </cell>
          <cell r="C336">
            <v>8</v>
          </cell>
          <cell r="D336" t="str">
            <v>EK65</v>
          </cell>
          <cell r="E336" t="str">
            <v>522847</v>
          </cell>
          <cell r="F336" t="str">
            <v>E</v>
          </cell>
          <cell r="G336" t="str">
            <v>12535929</v>
          </cell>
          <cell r="H336" t="str">
            <v>Dehnhuelse</v>
          </cell>
          <cell r="I336">
            <v>355</v>
          </cell>
          <cell r="J336" t="str">
            <v>Stk</v>
          </cell>
          <cell r="K336">
            <v>45343</v>
          </cell>
          <cell r="L336" t="str">
            <v>829051</v>
          </cell>
          <cell r="M336" t="str">
            <v/>
          </cell>
          <cell r="N336" t="str">
            <v/>
          </cell>
          <cell r="O336" t="str">
            <v/>
          </cell>
          <cell r="P336" t="str">
            <v/>
          </cell>
          <cell r="Q336" t="str">
            <v/>
          </cell>
          <cell r="R336" t="str">
            <v/>
          </cell>
          <cell r="S336" t="str">
            <v/>
          </cell>
          <cell r="T336" t="str">
            <v/>
          </cell>
          <cell r="U336" t="str">
            <v/>
          </cell>
          <cell r="V336" t="str">
            <v>N52</v>
          </cell>
          <cell r="W336" t="str">
            <v/>
          </cell>
          <cell r="X336" t="str">
            <v/>
          </cell>
          <cell r="Y336" t="str">
            <v/>
          </cell>
          <cell r="Z336" t="str">
            <v/>
          </cell>
          <cell r="AA336" t="str">
            <v/>
          </cell>
          <cell r="AB336" t="str">
            <v>PA_4626398-DC.7005-4</v>
          </cell>
          <cell r="AC336">
            <v>1</v>
          </cell>
          <cell r="AD336" t="str">
            <v/>
          </cell>
          <cell r="AE336">
            <v>0</v>
          </cell>
          <cell r="AF336" t="str">
            <v/>
          </cell>
          <cell r="AG336" t="str">
            <v>12535929</v>
          </cell>
          <cell r="AH336">
            <v>44624.991481481484</v>
          </cell>
          <cell r="AI336" t="str">
            <v>N52</v>
          </cell>
          <cell r="AJ336" t="str">
            <v>F</v>
          </cell>
          <cell r="AK336" t="str">
            <v/>
          </cell>
        </row>
        <row r="337">
          <cell r="A337" t="str">
            <v>12537128829053</v>
          </cell>
          <cell r="B337" t="e">
            <v>#N/A</v>
          </cell>
          <cell r="C337">
            <v>20</v>
          </cell>
          <cell r="D337" t="str">
            <v>EK65</v>
          </cell>
          <cell r="E337" t="str">
            <v>522848</v>
          </cell>
          <cell r="F337" t="str">
            <v>E</v>
          </cell>
          <cell r="G337" t="str">
            <v>12537128</v>
          </cell>
          <cell r="H337" t="str">
            <v>Huelse</v>
          </cell>
          <cell r="I337">
            <v>3316</v>
          </cell>
          <cell r="J337" t="str">
            <v>Stk</v>
          </cell>
          <cell r="K337">
            <v>45198</v>
          </cell>
          <cell r="L337" t="str">
            <v>829053</v>
          </cell>
          <cell r="M337" t="str">
            <v/>
          </cell>
          <cell r="N337" t="str">
            <v/>
          </cell>
          <cell r="O337" t="str">
            <v/>
          </cell>
          <cell r="P337" t="str">
            <v/>
          </cell>
          <cell r="Q337" t="str">
            <v/>
          </cell>
          <cell r="R337" t="str">
            <v/>
          </cell>
          <cell r="S337" t="str">
            <v/>
          </cell>
          <cell r="T337" t="str">
            <v/>
          </cell>
          <cell r="U337" t="str">
            <v/>
          </cell>
          <cell r="V337" t="str">
            <v>N52</v>
          </cell>
          <cell r="W337" t="str">
            <v/>
          </cell>
          <cell r="X337" t="str">
            <v/>
          </cell>
          <cell r="Y337" t="str">
            <v/>
          </cell>
          <cell r="Z337" t="str">
            <v/>
          </cell>
          <cell r="AA337" t="str">
            <v/>
          </cell>
          <cell r="AB337" t="str">
            <v>PA_4259648-ED.7005-4</v>
          </cell>
          <cell r="AC337">
            <v>4</v>
          </cell>
          <cell r="AD337" t="str">
            <v/>
          </cell>
          <cell r="AE337">
            <v>0</v>
          </cell>
          <cell r="AF337" t="str">
            <v/>
          </cell>
          <cell r="AG337" t="str">
            <v>12537128</v>
          </cell>
          <cell r="AH337">
            <v>44624.991516203707</v>
          </cell>
          <cell r="AI337" t="str">
            <v>N52</v>
          </cell>
          <cell r="AJ337" t="str">
            <v>F</v>
          </cell>
          <cell r="AK337" t="str">
            <v/>
          </cell>
        </row>
        <row r="338">
          <cell r="A338" t="str">
            <v>12537128829054</v>
          </cell>
          <cell r="B338" t="e">
            <v>#N/A</v>
          </cell>
          <cell r="C338">
            <v>20</v>
          </cell>
          <cell r="D338" t="str">
            <v>EK65</v>
          </cell>
          <cell r="E338" t="str">
            <v>522849</v>
          </cell>
          <cell r="F338" t="str">
            <v>E</v>
          </cell>
          <cell r="G338" t="str">
            <v>12537128</v>
          </cell>
          <cell r="H338" t="str">
            <v>Huelse</v>
          </cell>
          <cell r="I338">
            <v>1150</v>
          </cell>
          <cell r="J338" t="str">
            <v>Stk</v>
          </cell>
          <cell r="K338">
            <v>45210</v>
          </cell>
          <cell r="L338" t="str">
            <v>829054</v>
          </cell>
          <cell r="M338" t="str">
            <v/>
          </cell>
          <cell r="N338" t="str">
            <v/>
          </cell>
          <cell r="O338" t="str">
            <v/>
          </cell>
          <cell r="P338" t="str">
            <v/>
          </cell>
          <cell r="Q338" t="str">
            <v/>
          </cell>
          <cell r="R338" t="str">
            <v/>
          </cell>
          <cell r="S338" t="str">
            <v/>
          </cell>
          <cell r="T338" t="str">
            <v/>
          </cell>
          <cell r="U338" t="str">
            <v/>
          </cell>
          <cell r="V338" t="str">
            <v>N52</v>
          </cell>
          <cell r="W338" t="str">
            <v/>
          </cell>
          <cell r="X338" t="str">
            <v/>
          </cell>
          <cell r="Y338" t="str">
            <v/>
          </cell>
          <cell r="Z338" t="str">
            <v/>
          </cell>
          <cell r="AA338" t="str">
            <v/>
          </cell>
          <cell r="AB338" t="str">
            <v>PA_4259648-ED.7005-4</v>
          </cell>
          <cell r="AC338">
            <v>4</v>
          </cell>
          <cell r="AD338" t="str">
            <v/>
          </cell>
          <cell r="AE338">
            <v>0</v>
          </cell>
          <cell r="AF338" t="str">
            <v/>
          </cell>
          <cell r="AG338" t="str">
            <v>12537128</v>
          </cell>
          <cell r="AH338">
            <v>44624.991516203707</v>
          </cell>
          <cell r="AI338" t="str">
            <v>N52</v>
          </cell>
          <cell r="AJ338" t="str">
            <v>F</v>
          </cell>
          <cell r="AK338" t="str">
            <v/>
          </cell>
        </row>
        <row r="339">
          <cell r="A339" t="str">
            <v>12537128829051</v>
          </cell>
          <cell r="B339" t="e">
            <v>#N/A</v>
          </cell>
          <cell r="C339">
            <v>20</v>
          </cell>
          <cell r="D339" t="str">
            <v>EK65</v>
          </cell>
          <cell r="E339" t="str">
            <v>522850</v>
          </cell>
          <cell r="F339" t="str">
            <v>E</v>
          </cell>
          <cell r="G339" t="str">
            <v>12537128</v>
          </cell>
          <cell r="H339" t="str">
            <v>Huelse</v>
          </cell>
          <cell r="I339">
            <v>5805</v>
          </cell>
          <cell r="J339" t="str">
            <v>Stk</v>
          </cell>
          <cell r="K339">
            <v>45316</v>
          </cell>
          <cell r="L339" t="str">
            <v>829051</v>
          </cell>
          <cell r="M339" t="str">
            <v/>
          </cell>
          <cell r="N339" t="str">
            <v/>
          </cell>
          <cell r="O339" t="str">
            <v/>
          </cell>
          <cell r="P339" t="str">
            <v/>
          </cell>
          <cell r="Q339" t="str">
            <v/>
          </cell>
          <cell r="R339" t="str">
            <v/>
          </cell>
          <cell r="S339" t="str">
            <v/>
          </cell>
          <cell r="T339" t="str">
            <v/>
          </cell>
          <cell r="U339" t="str">
            <v/>
          </cell>
          <cell r="V339" t="str">
            <v>N52</v>
          </cell>
          <cell r="W339" t="str">
            <v/>
          </cell>
          <cell r="X339" t="str">
            <v/>
          </cell>
          <cell r="Y339" t="str">
            <v/>
          </cell>
          <cell r="Z339" t="str">
            <v/>
          </cell>
          <cell r="AA339" t="str">
            <v/>
          </cell>
          <cell r="AB339" t="str">
            <v>PA_4259648-ED.7005-4</v>
          </cell>
          <cell r="AC339">
            <v>4</v>
          </cell>
          <cell r="AD339" t="str">
            <v/>
          </cell>
          <cell r="AE339">
            <v>0</v>
          </cell>
          <cell r="AF339" t="str">
            <v/>
          </cell>
          <cell r="AG339" t="str">
            <v>12537128</v>
          </cell>
          <cell r="AH339">
            <v>44624.991516203707</v>
          </cell>
          <cell r="AI339" t="str">
            <v>N52</v>
          </cell>
          <cell r="AJ339" t="str">
            <v>F</v>
          </cell>
          <cell r="AK339" t="str">
            <v/>
          </cell>
        </row>
        <row r="340">
          <cell r="A340" t="str">
            <v>12537128829052</v>
          </cell>
          <cell r="B340" t="str">
            <v>BL20230413-2</v>
          </cell>
          <cell r="C340">
            <v>20</v>
          </cell>
          <cell r="D340" t="str">
            <v>EK65</v>
          </cell>
          <cell r="E340" t="str">
            <v>522851</v>
          </cell>
          <cell r="F340" t="str">
            <v>E</v>
          </cell>
          <cell r="G340" t="str">
            <v>12537128</v>
          </cell>
          <cell r="H340" t="str">
            <v>Huelse</v>
          </cell>
          <cell r="I340">
            <v>1996</v>
          </cell>
          <cell r="J340" t="str">
            <v>Stk</v>
          </cell>
          <cell r="K340">
            <v>45345</v>
          </cell>
          <cell r="L340" t="str">
            <v>829052</v>
          </cell>
          <cell r="M340" t="str">
            <v/>
          </cell>
          <cell r="N340" t="str">
            <v/>
          </cell>
          <cell r="O340" t="str">
            <v/>
          </cell>
          <cell r="P340" t="str">
            <v/>
          </cell>
          <cell r="Q340" t="str">
            <v/>
          </cell>
          <cell r="R340" t="str">
            <v/>
          </cell>
          <cell r="S340" t="str">
            <v/>
          </cell>
          <cell r="T340" t="str">
            <v/>
          </cell>
          <cell r="U340" t="str">
            <v/>
          </cell>
          <cell r="V340" t="str">
            <v>N52</v>
          </cell>
          <cell r="W340" t="str">
            <v/>
          </cell>
          <cell r="X340" t="str">
            <v/>
          </cell>
          <cell r="Y340" t="str">
            <v/>
          </cell>
          <cell r="Z340" t="str">
            <v/>
          </cell>
          <cell r="AA340" t="str">
            <v/>
          </cell>
          <cell r="AB340" t="str">
            <v>PA_4259648-ED.7005-4</v>
          </cell>
          <cell r="AC340">
            <v>4</v>
          </cell>
          <cell r="AD340" t="str">
            <v/>
          </cell>
          <cell r="AE340">
            <v>0</v>
          </cell>
          <cell r="AF340" t="str">
            <v/>
          </cell>
          <cell r="AG340" t="str">
            <v>12537128</v>
          </cell>
          <cell r="AH340">
            <v>44624.991516203707</v>
          </cell>
          <cell r="AI340" t="str">
            <v>N52</v>
          </cell>
          <cell r="AJ340" t="str">
            <v>F</v>
          </cell>
          <cell r="AK340" t="str">
            <v/>
          </cell>
        </row>
        <row r="341">
          <cell r="A341" t="str">
            <v>12538974829053</v>
          </cell>
          <cell r="B341" t="e">
            <v>#N/A</v>
          </cell>
          <cell r="C341">
            <v>2</v>
          </cell>
          <cell r="D341" t="str">
            <v>EK65</v>
          </cell>
          <cell r="E341" t="str">
            <v>522852</v>
          </cell>
          <cell r="F341" t="str">
            <v>E</v>
          </cell>
          <cell r="G341" t="str">
            <v>12538974</v>
          </cell>
          <cell r="H341" t="str">
            <v>Distanzhuelse D=18/d=7/L=8</v>
          </cell>
          <cell r="I341">
            <v>101</v>
          </cell>
          <cell r="J341" t="str">
            <v>Stk</v>
          </cell>
          <cell r="K341">
            <v>45212</v>
          </cell>
          <cell r="L341" t="str">
            <v>829053</v>
          </cell>
          <cell r="M341" t="str">
            <v/>
          </cell>
          <cell r="N341" t="str">
            <v/>
          </cell>
          <cell r="O341" t="str">
            <v/>
          </cell>
          <cell r="P341" t="str">
            <v/>
          </cell>
          <cell r="Q341" t="str">
            <v/>
          </cell>
          <cell r="R341" t="str">
            <v/>
          </cell>
          <cell r="S341" t="str">
            <v/>
          </cell>
          <cell r="T341" t="str">
            <v/>
          </cell>
          <cell r="U341" t="str">
            <v/>
          </cell>
          <cell r="V341" t="str">
            <v>N52</v>
          </cell>
          <cell r="W341" t="str">
            <v/>
          </cell>
          <cell r="X341" t="str">
            <v/>
          </cell>
          <cell r="Y341" t="str">
            <v/>
          </cell>
          <cell r="Z341" t="str">
            <v/>
          </cell>
          <cell r="AA341" t="str">
            <v/>
          </cell>
          <cell r="AB341" t="str">
            <v>PA_4644488-CD.7005-4</v>
          </cell>
          <cell r="AC341">
            <v>1</v>
          </cell>
          <cell r="AD341" t="str">
            <v/>
          </cell>
          <cell r="AE341">
            <v>0</v>
          </cell>
          <cell r="AF341" t="str">
            <v/>
          </cell>
          <cell r="AG341" t="str">
            <v>12538974</v>
          </cell>
          <cell r="AH341">
            <v>44624.991643518515</v>
          </cell>
          <cell r="AI341" t="str">
            <v>N52</v>
          </cell>
          <cell r="AJ341" t="str">
            <v>F</v>
          </cell>
          <cell r="AK341" t="str">
            <v/>
          </cell>
        </row>
        <row r="342">
          <cell r="A342" t="str">
            <v>12543144829053</v>
          </cell>
          <cell r="B342" t="e">
            <v>#N/A</v>
          </cell>
          <cell r="C342">
            <v>12</v>
          </cell>
          <cell r="D342" t="str">
            <v>EK65</v>
          </cell>
          <cell r="E342" t="str">
            <v>522853</v>
          </cell>
          <cell r="F342" t="str">
            <v>E</v>
          </cell>
          <cell r="G342" t="str">
            <v>12543144</v>
          </cell>
          <cell r="H342" t="str">
            <v>Befestigungswinkel</v>
          </cell>
          <cell r="I342">
            <v>97</v>
          </cell>
          <cell r="J342" t="str">
            <v>Stk</v>
          </cell>
          <cell r="K342">
            <v>45146</v>
          </cell>
          <cell r="L342" t="str">
            <v>829053</v>
          </cell>
          <cell r="M342" t="str">
            <v/>
          </cell>
          <cell r="N342" t="str">
            <v/>
          </cell>
          <cell r="O342" t="str">
            <v/>
          </cell>
          <cell r="P342" t="str">
            <v/>
          </cell>
          <cell r="Q342" t="str">
            <v/>
          </cell>
          <cell r="R342" t="str">
            <v/>
          </cell>
          <cell r="S342" t="str">
            <v/>
          </cell>
          <cell r="T342" t="str">
            <v/>
          </cell>
          <cell r="U342" t="str">
            <v/>
          </cell>
          <cell r="V342" t="str">
            <v>N52</v>
          </cell>
          <cell r="W342" t="str">
            <v/>
          </cell>
          <cell r="X342" t="str">
            <v/>
          </cell>
          <cell r="Y342" t="str">
            <v/>
          </cell>
          <cell r="Z342" t="str">
            <v/>
          </cell>
          <cell r="AA342" t="str">
            <v/>
          </cell>
          <cell r="AB342" t="str">
            <v>PA_4484410-TD.7005-4</v>
          </cell>
          <cell r="AC342">
            <v>1</v>
          </cell>
          <cell r="AD342" t="str">
            <v/>
          </cell>
          <cell r="AE342">
            <v>0</v>
          </cell>
          <cell r="AF342" t="str">
            <v/>
          </cell>
          <cell r="AG342" t="str">
            <v>12543144</v>
          </cell>
          <cell r="AH342">
            <v>44624.991736111115</v>
          </cell>
          <cell r="AI342" t="str">
            <v>N52</v>
          </cell>
          <cell r="AJ342" t="str">
            <v>F</v>
          </cell>
          <cell r="AK342" t="str">
            <v/>
          </cell>
        </row>
        <row r="343">
          <cell r="A343" t="str">
            <v>12483777829053</v>
          </cell>
          <cell r="B343" t="e">
            <v>#N/A</v>
          </cell>
          <cell r="C343">
            <v>3</v>
          </cell>
          <cell r="D343" t="str">
            <v>EK65</v>
          </cell>
          <cell r="E343" t="str">
            <v>525560</v>
          </cell>
          <cell r="F343" t="str">
            <v>E</v>
          </cell>
          <cell r="G343" t="str">
            <v>12483777</v>
          </cell>
          <cell r="H343" t="str">
            <v>Distanzstueck fuer Rohrschelle</v>
          </cell>
          <cell r="I343">
            <v>51</v>
          </cell>
          <cell r="J343" t="str">
            <v>Stk</v>
          </cell>
          <cell r="K343">
            <v>45209</v>
          </cell>
          <cell r="L343" t="str">
            <v>829053</v>
          </cell>
          <cell r="M343" t="str">
            <v/>
          </cell>
          <cell r="N343" t="str">
            <v/>
          </cell>
          <cell r="O343" t="str">
            <v/>
          </cell>
          <cell r="P343" t="str">
            <v/>
          </cell>
          <cell r="Q343" t="str">
            <v/>
          </cell>
          <cell r="R343" t="str">
            <v/>
          </cell>
          <cell r="S343" t="str">
            <v/>
          </cell>
          <cell r="T343" t="str">
            <v/>
          </cell>
          <cell r="U343" t="str">
            <v/>
          </cell>
          <cell r="V343" t="str">
            <v>N52</v>
          </cell>
          <cell r="W343" t="str">
            <v/>
          </cell>
          <cell r="X343" t="str">
            <v/>
          </cell>
          <cell r="Y343" t="str">
            <v/>
          </cell>
          <cell r="Z343" t="str">
            <v/>
          </cell>
          <cell r="AA343" t="str">
            <v/>
          </cell>
          <cell r="AB343" t="str">
            <v>PA_4281485-QE.7005-4</v>
          </cell>
          <cell r="AC343">
            <v>1</v>
          </cell>
          <cell r="AD343" t="str">
            <v/>
          </cell>
          <cell r="AE343">
            <v>0</v>
          </cell>
          <cell r="AF343" t="str">
            <v/>
          </cell>
          <cell r="AG343" t="str">
            <v>12483777</v>
          </cell>
          <cell r="AH343">
            <v>44625.0780787037</v>
          </cell>
          <cell r="AI343" t="str">
            <v>N52</v>
          </cell>
          <cell r="AJ343" t="str">
            <v>F</v>
          </cell>
          <cell r="AK343" t="str">
            <v/>
          </cell>
        </row>
        <row r="344">
          <cell r="A344" t="str">
            <v>12483779829053</v>
          </cell>
          <cell r="B344" t="e">
            <v>#N/A</v>
          </cell>
          <cell r="C344">
            <v>12</v>
          </cell>
          <cell r="D344" t="str">
            <v>EK65</v>
          </cell>
          <cell r="E344" t="str">
            <v>525561</v>
          </cell>
          <cell r="F344" t="str">
            <v>E</v>
          </cell>
          <cell r="G344" t="str">
            <v>12483779</v>
          </cell>
          <cell r="H344" t="str">
            <v>Distanzstueck fuer Rohrschelle</v>
          </cell>
          <cell r="I344">
            <v>51</v>
          </cell>
          <cell r="J344" t="str">
            <v>Stk</v>
          </cell>
          <cell r="K344">
            <v>45209</v>
          </cell>
          <cell r="L344" t="str">
            <v>829053</v>
          </cell>
          <cell r="M344" t="str">
            <v/>
          </cell>
          <cell r="N344" t="str">
            <v/>
          </cell>
          <cell r="O344" t="str">
            <v/>
          </cell>
          <cell r="P344" t="str">
            <v/>
          </cell>
          <cell r="Q344" t="str">
            <v/>
          </cell>
          <cell r="R344" t="str">
            <v/>
          </cell>
          <cell r="S344" t="str">
            <v/>
          </cell>
          <cell r="T344" t="str">
            <v/>
          </cell>
          <cell r="U344" t="str">
            <v/>
          </cell>
          <cell r="V344" t="str">
            <v>N52</v>
          </cell>
          <cell r="W344" t="str">
            <v/>
          </cell>
          <cell r="X344" t="str">
            <v/>
          </cell>
          <cell r="Y344" t="str">
            <v/>
          </cell>
          <cell r="Z344" t="str">
            <v/>
          </cell>
          <cell r="AA344" t="str">
            <v/>
          </cell>
          <cell r="AB344" t="str">
            <v>PA_4278548-QE.7005-4</v>
          </cell>
          <cell r="AC344">
            <v>1</v>
          </cell>
          <cell r="AD344" t="str">
            <v/>
          </cell>
          <cell r="AE344">
            <v>0</v>
          </cell>
          <cell r="AF344" t="str">
            <v/>
          </cell>
          <cell r="AG344" t="str">
            <v>12483779</v>
          </cell>
          <cell r="AH344">
            <v>44625.078101851854</v>
          </cell>
          <cell r="AI344" t="str">
            <v>N52</v>
          </cell>
          <cell r="AJ344" t="str">
            <v>F</v>
          </cell>
          <cell r="AK344" t="str">
            <v/>
          </cell>
        </row>
        <row r="345">
          <cell r="A345" t="str">
            <v>12483779829051</v>
          </cell>
          <cell r="B345" t="e">
            <v>#N/A</v>
          </cell>
          <cell r="C345">
            <v>12</v>
          </cell>
          <cell r="D345" t="str">
            <v>EK65</v>
          </cell>
          <cell r="E345" t="str">
            <v>525562</v>
          </cell>
          <cell r="F345" t="str">
            <v>E</v>
          </cell>
          <cell r="G345" t="str">
            <v>12483779</v>
          </cell>
          <cell r="H345" t="str">
            <v>Distanzstueck fuer Rohrschelle</v>
          </cell>
          <cell r="I345">
            <v>85</v>
          </cell>
          <cell r="J345" t="str">
            <v>Stk</v>
          </cell>
          <cell r="K345">
            <v>45329</v>
          </cell>
          <cell r="L345" t="str">
            <v>829051</v>
          </cell>
          <cell r="M345" t="str">
            <v/>
          </cell>
          <cell r="N345" t="str">
            <v/>
          </cell>
          <cell r="O345" t="str">
            <v/>
          </cell>
          <cell r="P345" t="str">
            <v/>
          </cell>
          <cell r="Q345" t="str">
            <v/>
          </cell>
          <cell r="R345" t="str">
            <v/>
          </cell>
          <cell r="S345" t="str">
            <v/>
          </cell>
          <cell r="T345" t="str">
            <v/>
          </cell>
          <cell r="U345" t="str">
            <v/>
          </cell>
          <cell r="V345" t="str">
            <v>N52</v>
          </cell>
          <cell r="W345" t="str">
            <v/>
          </cell>
          <cell r="X345" t="str">
            <v/>
          </cell>
          <cell r="Y345" t="str">
            <v/>
          </cell>
          <cell r="Z345" t="str">
            <v/>
          </cell>
          <cell r="AA345" t="str">
            <v/>
          </cell>
          <cell r="AB345" t="str">
            <v>PA_4278548-QE.7005-4</v>
          </cell>
          <cell r="AC345">
            <v>1</v>
          </cell>
          <cell r="AD345" t="str">
            <v/>
          </cell>
          <cell r="AE345">
            <v>0</v>
          </cell>
          <cell r="AF345" t="str">
            <v/>
          </cell>
          <cell r="AG345" t="str">
            <v>12483779</v>
          </cell>
          <cell r="AH345">
            <v>44625.078101851854</v>
          </cell>
          <cell r="AI345" t="str">
            <v>N52</v>
          </cell>
          <cell r="AJ345" t="str">
            <v>F</v>
          </cell>
          <cell r="AK345" t="str">
            <v/>
          </cell>
        </row>
        <row r="346">
          <cell r="A346" t="str">
            <v>12508649829053</v>
          </cell>
          <cell r="B346" t="e">
            <v>#N/A</v>
          </cell>
          <cell r="C346">
            <v>20</v>
          </cell>
          <cell r="D346" t="str">
            <v>EK65</v>
          </cell>
          <cell r="E346" t="str">
            <v>525563</v>
          </cell>
          <cell r="F346" t="str">
            <v>E</v>
          </cell>
          <cell r="G346" t="str">
            <v>12508649</v>
          </cell>
          <cell r="H346" t="str">
            <v>Halter fuer Luftfederungsventil</v>
          </cell>
          <cell r="I346">
            <v>206</v>
          </cell>
          <cell r="J346" t="str">
            <v>Stk</v>
          </cell>
          <cell r="K346">
            <v>45188</v>
          </cell>
          <cell r="L346" t="str">
            <v>829053</v>
          </cell>
          <cell r="M346" t="str">
            <v/>
          </cell>
          <cell r="N346" t="str">
            <v/>
          </cell>
          <cell r="O346" t="str">
            <v/>
          </cell>
          <cell r="P346" t="str">
            <v/>
          </cell>
          <cell r="Q346" t="str">
            <v/>
          </cell>
          <cell r="R346" t="str">
            <v/>
          </cell>
          <cell r="S346" t="str">
            <v/>
          </cell>
          <cell r="T346" t="str">
            <v/>
          </cell>
          <cell r="U346" t="str">
            <v/>
          </cell>
          <cell r="V346" t="str">
            <v>N52</v>
          </cell>
          <cell r="W346" t="str">
            <v/>
          </cell>
          <cell r="X346" t="str">
            <v/>
          </cell>
          <cell r="Y346" t="str">
            <v/>
          </cell>
          <cell r="Z346" t="str">
            <v/>
          </cell>
          <cell r="AA346" t="str">
            <v/>
          </cell>
          <cell r="AB346" t="str">
            <v>PA_2343306-QE.7005-3</v>
          </cell>
          <cell r="AC346">
            <v>1</v>
          </cell>
          <cell r="AD346" t="str">
            <v/>
          </cell>
          <cell r="AE346">
            <v>0</v>
          </cell>
          <cell r="AF346" t="str">
            <v/>
          </cell>
          <cell r="AG346" t="str">
            <v>12508649</v>
          </cell>
          <cell r="AH346">
            <v>44625.079456018517</v>
          </cell>
          <cell r="AI346" t="str">
            <v>N52</v>
          </cell>
          <cell r="AJ346" t="str">
            <v>F</v>
          </cell>
          <cell r="AK346" t="str">
            <v/>
          </cell>
        </row>
        <row r="347">
          <cell r="A347" t="str">
            <v>12508649829054</v>
          </cell>
          <cell r="B347" t="e">
            <v>#N/A</v>
          </cell>
          <cell r="C347">
            <v>20</v>
          </cell>
          <cell r="D347" t="str">
            <v>EK65</v>
          </cell>
          <cell r="E347" t="str">
            <v>525564</v>
          </cell>
          <cell r="F347" t="str">
            <v>E</v>
          </cell>
          <cell r="G347" t="str">
            <v>12508649</v>
          </cell>
          <cell r="H347" t="str">
            <v>Halter fuer Luftfederungsventil</v>
          </cell>
          <cell r="I347">
            <v>70</v>
          </cell>
          <cell r="J347" t="str">
            <v>Stk</v>
          </cell>
          <cell r="K347">
            <v>45197</v>
          </cell>
          <cell r="L347" t="str">
            <v>829054</v>
          </cell>
          <cell r="M347" t="str">
            <v/>
          </cell>
          <cell r="N347" t="str">
            <v/>
          </cell>
          <cell r="O347" t="str">
            <v/>
          </cell>
          <cell r="P347" t="str">
            <v/>
          </cell>
          <cell r="Q347" t="str">
            <v/>
          </cell>
          <cell r="R347" t="str">
            <v/>
          </cell>
          <cell r="S347" t="str">
            <v/>
          </cell>
          <cell r="T347" t="str">
            <v/>
          </cell>
          <cell r="U347" t="str">
            <v/>
          </cell>
          <cell r="V347" t="str">
            <v>N52</v>
          </cell>
          <cell r="W347" t="str">
            <v/>
          </cell>
          <cell r="X347" t="str">
            <v/>
          </cell>
          <cell r="Y347" t="str">
            <v/>
          </cell>
          <cell r="Z347" t="str">
            <v/>
          </cell>
          <cell r="AA347" t="str">
            <v/>
          </cell>
          <cell r="AB347" t="str">
            <v>PA_2343306-QE.7005-3</v>
          </cell>
          <cell r="AC347">
            <v>1</v>
          </cell>
          <cell r="AD347" t="str">
            <v/>
          </cell>
          <cell r="AE347">
            <v>0</v>
          </cell>
          <cell r="AF347" t="str">
            <v/>
          </cell>
          <cell r="AG347" t="str">
            <v>12508649</v>
          </cell>
          <cell r="AH347">
            <v>44625.079456018517</v>
          </cell>
          <cell r="AI347" t="str">
            <v>N52</v>
          </cell>
          <cell r="AJ347" t="str">
            <v>F</v>
          </cell>
          <cell r="AK347" t="str">
            <v/>
          </cell>
        </row>
        <row r="348">
          <cell r="A348" t="str">
            <v>12508649829051</v>
          </cell>
          <cell r="B348" t="e">
            <v>#N/A</v>
          </cell>
          <cell r="C348">
            <v>20</v>
          </cell>
          <cell r="D348" t="str">
            <v>EK65</v>
          </cell>
          <cell r="E348" t="str">
            <v>525565</v>
          </cell>
          <cell r="F348" t="str">
            <v>E</v>
          </cell>
          <cell r="G348" t="str">
            <v>12508649</v>
          </cell>
          <cell r="H348" t="str">
            <v>Halter fuer Luftfederungsventil</v>
          </cell>
          <cell r="I348">
            <v>355</v>
          </cell>
          <cell r="J348" t="str">
            <v>Stk</v>
          </cell>
          <cell r="K348">
            <v>45310</v>
          </cell>
          <cell r="L348" t="str">
            <v>829051</v>
          </cell>
          <cell r="M348" t="str">
            <v/>
          </cell>
          <cell r="N348" t="str">
            <v/>
          </cell>
          <cell r="O348" t="str">
            <v/>
          </cell>
          <cell r="P348" t="str">
            <v/>
          </cell>
          <cell r="Q348" t="str">
            <v/>
          </cell>
          <cell r="R348" t="str">
            <v/>
          </cell>
          <cell r="S348" t="str">
            <v/>
          </cell>
          <cell r="T348" t="str">
            <v/>
          </cell>
          <cell r="U348" t="str">
            <v/>
          </cell>
          <cell r="V348" t="str">
            <v>N52</v>
          </cell>
          <cell r="W348" t="str">
            <v/>
          </cell>
          <cell r="X348" t="str">
            <v/>
          </cell>
          <cell r="Y348" t="str">
            <v/>
          </cell>
          <cell r="Z348" t="str">
            <v/>
          </cell>
          <cell r="AA348" t="str">
            <v/>
          </cell>
          <cell r="AB348" t="str">
            <v>PA_2343306-QE.7005-3</v>
          </cell>
          <cell r="AC348">
            <v>1</v>
          </cell>
          <cell r="AD348" t="str">
            <v/>
          </cell>
          <cell r="AE348">
            <v>0</v>
          </cell>
          <cell r="AF348" t="str">
            <v/>
          </cell>
          <cell r="AG348" t="str">
            <v>12508649</v>
          </cell>
          <cell r="AH348">
            <v>44625.079456018517</v>
          </cell>
          <cell r="AI348" t="str">
            <v>N52</v>
          </cell>
          <cell r="AJ348" t="str">
            <v>F</v>
          </cell>
          <cell r="AK348" t="str">
            <v/>
          </cell>
        </row>
        <row r="349">
          <cell r="A349" t="str">
            <v>12508649829052</v>
          </cell>
          <cell r="B349" t="str">
            <v>BL20230413-2</v>
          </cell>
          <cell r="C349">
            <v>20</v>
          </cell>
          <cell r="D349" t="str">
            <v>EK65</v>
          </cell>
          <cell r="E349" t="str">
            <v>525566</v>
          </cell>
          <cell r="F349" t="str">
            <v>E</v>
          </cell>
          <cell r="G349" t="str">
            <v>12508649</v>
          </cell>
          <cell r="H349" t="str">
            <v>Halter fuer Luftfederungsventil</v>
          </cell>
          <cell r="I349">
            <v>122</v>
          </cell>
          <cell r="J349" t="str">
            <v>Stk</v>
          </cell>
          <cell r="K349">
            <v>45335</v>
          </cell>
          <cell r="L349" t="str">
            <v>829052</v>
          </cell>
          <cell r="M349" t="str">
            <v/>
          </cell>
          <cell r="N349" t="str">
            <v/>
          </cell>
          <cell r="O349" t="str">
            <v/>
          </cell>
          <cell r="P349" t="str">
            <v/>
          </cell>
          <cell r="Q349" t="str">
            <v/>
          </cell>
          <cell r="R349" t="str">
            <v/>
          </cell>
          <cell r="S349" t="str">
            <v/>
          </cell>
          <cell r="T349" t="str">
            <v/>
          </cell>
          <cell r="U349" t="str">
            <v/>
          </cell>
          <cell r="V349" t="str">
            <v>N52</v>
          </cell>
          <cell r="W349" t="str">
            <v/>
          </cell>
          <cell r="X349" t="str">
            <v/>
          </cell>
          <cell r="Y349" t="str">
            <v/>
          </cell>
          <cell r="Z349" t="str">
            <v/>
          </cell>
          <cell r="AA349" t="str">
            <v/>
          </cell>
          <cell r="AB349" t="str">
            <v>PA_2343306-QE.7005-3</v>
          </cell>
          <cell r="AC349">
            <v>1</v>
          </cell>
          <cell r="AD349" t="str">
            <v/>
          </cell>
          <cell r="AE349">
            <v>0</v>
          </cell>
          <cell r="AF349" t="str">
            <v/>
          </cell>
          <cell r="AG349" t="str">
            <v>12508649</v>
          </cell>
          <cell r="AH349">
            <v>44625.079456018517</v>
          </cell>
          <cell r="AI349" t="str">
            <v>N52</v>
          </cell>
          <cell r="AJ349" t="str">
            <v>F</v>
          </cell>
          <cell r="AK349" t="str">
            <v/>
          </cell>
        </row>
        <row r="350">
          <cell r="A350" t="str">
            <v>12511441829053</v>
          </cell>
          <cell r="B350" t="e">
            <v>#N/A</v>
          </cell>
          <cell r="C350">
            <v>12</v>
          </cell>
          <cell r="D350" t="str">
            <v>EK65</v>
          </cell>
          <cell r="E350" t="str">
            <v>525567</v>
          </cell>
          <cell r="F350" t="str">
            <v>E</v>
          </cell>
          <cell r="G350" t="str">
            <v>12511441</v>
          </cell>
          <cell r="H350" t="str">
            <v>Halter</v>
          </cell>
          <cell r="I350">
            <v>28</v>
          </cell>
          <cell r="J350" t="str">
            <v>Stk</v>
          </cell>
          <cell r="K350">
            <v>45189</v>
          </cell>
          <cell r="L350" t="str">
            <v>829053</v>
          </cell>
          <cell r="M350" t="str">
            <v/>
          </cell>
          <cell r="N350" t="str">
            <v/>
          </cell>
          <cell r="O350" t="str">
            <v/>
          </cell>
          <cell r="P350" t="str">
            <v/>
          </cell>
          <cell r="Q350" t="str">
            <v/>
          </cell>
          <cell r="R350" t="str">
            <v/>
          </cell>
          <cell r="S350" t="str">
            <v/>
          </cell>
          <cell r="T350" t="str">
            <v/>
          </cell>
          <cell r="U350" t="str">
            <v/>
          </cell>
          <cell r="V350" t="str">
            <v>N52</v>
          </cell>
          <cell r="W350" t="str">
            <v/>
          </cell>
          <cell r="X350" t="str">
            <v/>
          </cell>
          <cell r="Y350" t="str">
            <v/>
          </cell>
          <cell r="Z350" t="str">
            <v/>
          </cell>
          <cell r="AA350" t="str">
            <v/>
          </cell>
          <cell r="AB350" t="str">
            <v>PA_4318526-QE.7004-3</v>
          </cell>
          <cell r="AC350">
            <v>1</v>
          </cell>
          <cell r="AD350" t="str">
            <v/>
          </cell>
          <cell r="AE350">
            <v>0</v>
          </cell>
          <cell r="AF350" t="str">
            <v/>
          </cell>
          <cell r="AG350" t="str">
            <v>12511441</v>
          </cell>
          <cell r="AH350">
            <v>44625.079513888886</v>
          </cell>
          <cell r="AI350" t="str">
            <v>N52</v>
          </cell>
          <cell r="AJ350" t="str">
            <v>F</v>
          </cell>
          <cell r="AK350" t="str">
            <v/>
          </cell>
        </row>
        <row r="351">
          <cell r="A351" t="str">
            <v>12511460829053</v>
          </cell>
          <cell r="B351" t="e">
            <v>#N/A</v>
          </cell>
          <cell r="C351">
            <v>10</v>
          </cell>
          <cell r="D351" t="str">
            <v>EK65</v>
          </cell>
          <cell r="E351" t="str">
            <v>525568</v>
          </cell>
          <cell r="F351" t="str">
            <v>E</v>
          </cell>
          <cell r="G351" t="str">
            <v>12511460</v>
          </cell>
          <cell r="H351" t="str">
            <v>Distanzbuchse D20</v>
          </cell>
          <cell r="I351">
            <v>50</v>
          </cell>
          <cell r="J351" t="str">
            <v>Stk</v>
          </cell>
          <cell r="K351">
            <v>45210</v>
          </cell>
          <cell r="L351" t="str">
            <v>829053</v>
          </cell>
          <cell r="M351" t="str">
            <v/>
          </cell>
          <cell r="N351" t="str">
            <v/>
          </cell>
          <cell r="O351" t="str">
            <v/>
          </cell>
          <cell r="P351" t="str">
            <v/>
          </cell>
          <cell r="Q351" t="str">
            <v/>
          </cell>
          <cell r="R351" t="str">
            <v/>
          </cell>
          <cell r="S351" t="str">
            <v/>
          </cell>
          <cell r="T351" t="str">
            <v/>
          </cell>
          <cell r="U351" t="str">
            <v/>
          </cell>
          <cell r="V351" t="str">
            <v>N52</v>
          </cell>
          <cell r="W351" t="str">
            <v/>
          </cell>
          <cell r="X351" t="str">
            <v/>
          </cell>
          <cell r="Y351" t="str">
            <v/>
          </cell>
          <cell r="Z351" t="str">
            <v/>
          </cell>
          <cell r="AA351" t="str">
            <v/>
          </cell>
          <cell r="AB351" t="str">
            <v>PA_4319788-QE.7004-4</v>
          </cell>
          <cell r="AC351">
            <v>1</v>
          </cell>
          <cell r="AD351" t="str">
            <v/>
          </cell>
          <cell r="AE351">
            <v>0</v>
          </cell>
          <cell r="AF351" t="str">
            <v/>
          </cell>
          <cell r="AG351" t="str">
            <v>12511460</v>
          </cell>
          <cell r="AH351">
            <v>44625.079525462963</v>
          </cell>
          <cell r="AI351" t="str">
            <v>N52</v>
          </cell>
          <cell r="AJ351" t="str">
            <v>F</v>
          </cell>
          <cell r="AK351" t="str">
            <v/>
          </cell>
        </row>
        <row r="352">
          <cell r="A352" t="str">
            <v>12518332829054</v>
          </cell>
          <cell r="B352" t="e">
            <v>#N/A</v>
          </cell>
          <cell r="C352">
            <v>18</v>
          </cell>
          <cell r="D352" t="str">
            <v>EK65</v>
          </cell>
          <cell r="E352" t="str">
            <v>525569</v>
          </cell>
          <cell r="F352" t="str">
            <v>E</v>
          </cell>
          <cell r="G352" t="str">
            <v>12518332</v>
          </cell>
          <cell r="H352" t="str">
            <v>Halter Fremdeinspeisung</v>
          </cell>
          <cell r="I352">
            <v>8</v>
          </cell>
          <cell r="J352" t="str">
            <v>Stk</v>
          </cell>
          <cell r="K352">
            <v>45219</v>
          </cell>
          <cell r="L352" t="str">
            <v>829054</v>
          </cell>
          <cell r="M352" t="str">
            <v/>
          </cell>
          <cell r="N352" t="str">
            <v/>
          </cell>
          <cell r="O352" t="str">
            <v/>
          </cell>
          <cell r="P352" t="str">
            <v/>
          </cell>
          <cell r="Q352" t="str">
            <v/>
          </cell>
          <cell r="R352" t="str">
            <v/>
          </cell>
          <cell r="S352" t="str">
            <v/>
          </cell>
          <cell r="T352" t="str">
            <v/>
          </cell>
          <cell r="U352" t="str">
            <v/>
          </cell>
          <cell r="V352" t="str">
            <v>N52</v>
          </cell>
          <cell r="W352" t="str">
            <v/>
          </cell>
          <cell r="X352" t="str">
            <v/>
          </cell>
          <cell r="Y352" t="str">
            <v/>
          </cell>
          <cell r="Z352" t="str">
            <v/>
          </cell>
          <cell r="AA352" t="str">
            <v/>
          </cell>
          <cell r="AB352" t="str">
            <v>PA_4525887-QE.7005-2</v>
          </cell>
          <cell r="AC352">
            <v>1</v>
          </cell>
          <cell r="AD352" t="str">
            <v/>
          </cell>
          <cell r="AE352">
            <v>0</v>
          </cell>
          <cell r="AF352" t="str">
            <v/>
          </cell>
          <cell r="AG352" t="str">
            <v>12518332</v>
          </cell>
          <cell r="AH352">
            <v>44625.079571759263</v>
          </cell>
          <cell r="AI352" t="str">
            <v>N52</v>
          </cell>
          <cell r="AJ352" t="str">
            <v>F</v>
          </cell>
          <cell r="AK352" t="str">
            <v/>
          </cell>
        </row>
        <row r="353">
          <cell r="A353" t="str">
            <v>12518332829053</v>
          </cell>
          <cell r="B353" t="e">
            <v>#N/A</v>
          </cell>
          <cell r="C353">
            <v>18</v>
          </cell>
          <cell r="D353" t="str">
            <v>EK65</v>
          </cell>
          <cell r="E353" t="str">
            <v>525570</v>
          </cell>
          <cell r="F353" t="str">
            <v>E</v>
          </cell>
          <cell r="G353" t="str">
            <v>12518332</v>
          </cell>
          <cell r="H353" t="str">
            <v>Halter Fremdeinspeisung</v>
          </cell>
          <cell r="I353">
            <v>22</v>
          </cell>
          <cell r="J353" t="str">
            <v>Stk</v>
          </cell>
          <cell r="K353">
            <v>45223</v>
          </cell>
          <cell r="L353" t="str">
            <v>829053</v>
          </cell>
          <cell r="M353" t="str">
            <v/>
          </cell>
          <cell r="N353" t="str">
            <v/>
          </cell>
          <cell r="O353" t="str">
            <v/>
          </cell>
          <cell r="P353" t="str">
            <v/>
          </cell>
          <cell r="Q353" t="str">
            <v/>
          </cell>
          <cell r="R353" t="str">
            <v/>
          </cell>
          <cell r="S353" t="str">
            <v/>
          </cell>
          <cell r="T353" t="str">
            <v/>
          </cell>
          <cell r="U353" t="str">
            <v/>
          </cell>
          <cell r="V353" t="str">
            <v>N52</v>
          </cell>
          <cell r="W353" t="str">
            <v/>
          </cell>
          <cell r="X353" t="str">
            <v/>
          </cell>
          <cell r="Y353" t="str">
            <v/>
          </cell>
          <cell r="Z353" t="str">
            <v/>
          </cell>
          <cell r="AA353" t="str">
            <v/>
          </cell>
          <cell r="AB353" t="str">
            <v>PA_4525887-QE.7005-2</v>
          </cell>
          <cell r="AC353">
            <v>1</v>
          </cell>
          <cell r="AD353" t="str">
            <v/>
          </cell>
          <cell r="AE353">
            <v>0</v>
          </cell>
          <cell r="AF353" t="str">
            <v/>
          </cell>
          <cell r="AG353" t="str">
            <v>12518332</v>
          </cell>
          <cell r="AH353">
            <v>44625.079571759263</v>
          </cell>
          <cell r="AI353" t="str">
            <v>N52</v>
          </cell>
          <cell r="AJ353" t="str">
            <v>F</v>
          </cell>
          <cell r="AK353" t="str">
            <v/>
          </cell>
        </row>
        <row r="354">
          <cell r="A354" t="str">
            <v>12518332829052</v>
          </cell>
          <cell r="B354" t="e">
            <v>#N/A</v>
          </cell>
          <cell r="C354">
            <v>18</v>
          </cell>
          <cell r="D354" t="str">
            <v>EK65</v>
          </cell>
          <cell r="E354" t="str">
            <v>525571</v>
          </cell>
          <cell r="F354" t="str">
            <v>E</v>
          </cell>
          <cell r="G354" t="str">
            <v>12518332</v>
          </cell>
          <cell r="H354" t="str">
            <v>Halter Fremdeinspeisung</v>
          </cell>
          <cell r="I354">
            <v>14</v>
          </cell>
          <cell r="J354" t="str">
            <v>Stk</v>
          </cell>
          <cell r="K354">
            <v>45369</v>
          </cell>
          <cell r="L354" t="str">
            <v>829052</v>
          </cell>
          <cell r="M354" t="str">
            <v/>
          </cell>
          <cell r="N354" t="str">
            <v/>
          </cell>
          <cell r="O354" t="str">
            <v/>
          </cell>
          <cell r="P354" t="str">
            <v/>
          </cell>
          <cell r="Q354" t="str">
            <v/>
          </cell>
          <cell r="R354" t="str">
            <v/>
          </cell>
          <cell r="S354" t="str">
            <v/>
          </cell>
          <cell r="T354" t="str">
            <v/>
          </cell>
          <cell r="U354" t="str">
            <v/>
          </cell>
          <cell r="V354" t="str">
            <v>N52</v>
          </cell>
          <cell r="W354" t="str">
            <v/>
          </cell>
          <cell r="X354" t="str">
            <v/>
          </cell>
          <cell r="Y354" t="str">
            <v/>
          </cell>
          <cell r="Z354" t="str">
            <v/>
          </cell>
          <cell r="AA354" t="str">
            <v/>
          </cell>
          <cell r="AB354" t="str">
            <v>PA_4525887-QE.7005-2</v>
          </cell>
          <cell r="AC354">
            <v>1</v>
          </cell>
          <cell r="AD354" t="str">
            <v/>
          </cell>
          <cell r="AE354">
            <v>0</v>
          </cell>
          <cell r="AF354" t="str">
            <v/>
          </cell>
          <cell r="AG354" t="str">
            <v>12518332</v>
          </cell>
          <cell r="AH354">
            <v>44625.079583333332</v>
          </cell>
          <cell r="AI354" t="str">
            <v>N52</v>
          </cell>
          <cell r="AJ354" t="str">
            <v>F</v>
          </cell>
          <cell r="AK354" t="str">
            <v/>
          </cell>
        </row>
        <row r="355">
          <cell r="A355" t="str">
            <v>12527513829053</v>
          </cell>
          <cell r="B355" t="e">
            <v>#N/A</v>
          </cell>
          <cell r="C355">
            <v>5</v>
          </cell>
          <cell r="D355" t="str">
            <v>EK65</v>
          </cell>
          <cell r="E355" t="str">
            <v>525573</v>
          </cell>
          <cell r="F355" t="str">
            <v>E</v>
          </cell>
          <cell r="G355" t="str">
            <v>12527513</v>
          </cell>
          <cell r="H355" t="str">
            <v>Spez.Unterlagsscheibe ID16,5 AD30 H1</v>
          </cell>
          <cell r="I355">
            <v>101</v>
          </cell>
          <cell r="J355" t="str">
            <v>Stk</v>
          </cell>
          <cell r="K355">
            <v>45209</v>
          </cell>
          <cell r="L355" t="str">
            <v>829053</v>
          </cell>
          <cell r="M355" t="str">
            <v/>
          </cell>
          <cell r="N355" t="str">
            <v/>
          </cell>
          <cell r="O355" t="str">
            <v/>
          </cell>
          <cell r="P355" t="str">
            <v/>
          </cell>
          <cell r="Q355" t="str">
            <v/>
          </cell>
          <cell r="R355" t="str">
            <v/>
          </cell>
          <cell r="S355" t="str">
            <v/>
          </cell>
          <cell r="T355" t="str">
            <v/>
          </cell>
          <cell r="U355" t="str">
            <v/>
          </cell>
          <cell r="V355" t="str">
            <v>N52</v>
          </cell>
          <cell r="W355" t="str">
            <v/>
          </cell>
          <cell r="X355" t="str">
            <v/>
          </cell>
          <cell r="Y355" t="str">
            <v/>
          </cell>
          <cell r="Z355" t="str">
            <v/>
          </cell>
          <cell r="AA355" t="str">
            <v/>
          </cell>
          <cell r="AB355" t="str">
            <v>PA_4585449-QE.7005-4</v>
          </cell>
          <cell r="AC355">
            <v>1</v>
          </cell>
          <cell r="AD355" t="str">
            <v/>
          </cell>
          <cell r="AE355">
            <v>0</v>
          </cell>
          <cell r="AF355" t="str">
            <v/>
          </cell>
          <cell r="AG355" t="str">
            <v>12527513</v>
          </cell>
          <cell r="AH355">
            <v>44625.079664351855</v>
          </cell>
          <cell r="AI355" t="str">
            <v>N52</v>
          </cell>
          <cell r="AJ355" t="str">
            <v>F</v>
          </cell>
          <cell r="AK355" t="str">
            <v/>
          </cell>
        </row>
        <row r="356">
          <cell r="A356" t="str">
            <v>12530759829054</v>
          </cell>
          <cell r="B356" t="e">
            <v>#N/A</v>
          </cell>
          <cell r="C356">
            <v>12</v>
          </cell>
          <cell r="D356" t="str">
            <v>EK65</v>
          </cell>
          <cell r="E356" t="str">
            <v>525575</v>
          </cell>
          <cell r="F356" t="str">
            <v>E</v>
          </cell>
          <cell r="G356" t="str">
            <v>12530759</v>
          </cell>
          <cell r="H356" t="str">
            <v>Huelse AD20,ID11,L23</v>
          </cell>
          <cell r="I356">
            <v>155</v>
          </cell>
          <cell r="J356" t="str">
            <v>Stk</v>
          </cell>
          <cell r="K356">
            <v>45246</v>
          </cell>
          <cell r="L356" t="str">
            <v>829054</v>
          </cell>
          <cell r="M356" t="str">
            <v/>
          </cell>
          <cell r="N356" t="str">
            <v/>
          </cell>
          <cell r="O356" t="str">
            <v/>
          </cell>
          <cell r="P356" t="str">
            <v/>
          </cell>
          <cell r="Q356" t="str">
            <v/>
          </cell>
          <cell r="R356" t="str">
            <v/>
          </cell>
          <cell r="S356" t="str">
            <v/>
          </cell>
          <cell r="T356" t="str">
            <v/>
          </cell>
          <cell r="U356" t="str">
            <v/>
          </cell>
          <cell r="V356" t="str">
            <v>N52</v>
          </cell>
          <cell r="W356" t="str">
            <v/>
          </cell>
          <cell r="X356" t="str">
            <v/>
          </cell>
          <cell r="Y356" t="str">
            <v/>
          </cell>
          <cell r="Z356" t="str">
            <v/>
          </cell>
          <cell r="AA356" t="str">
            <v/>
          </cell>
          <cell r="AB356" t="str">
            <v>PA_4600785-QE.7005-4</v>
          </cell>
          <cell r="AC356">
            <v>1</v>
          </cell>
          <cell r="AD356" t="str">
            <v/>
          </cell>
          <cell r="AE356">
            <v>0</v>
          </cell>
          <cell r="AF356" t="str">
            <v/>
          </cell>
          <cell r="AG356" t="str">
            <v>12530759</v>
          </cell>
          <cell r="AH356">
            <v>44625.079710648148</v>
          </cell>
          <cell r="AI356" t="str">
            <v>N52</v>
          </cell>
          <cell r="AJ356" t="str">
            <v>F</v>
          </cell>
          <cell r="AK356" t="str">
            <v/>
          </cell>
        </row>
        <row r="357">
          <cell r="A357" t="str">
            <v>12530759829053</v>
          </cell>
          <cell r="B357" t="e">
            <v>#N/A</v>
          </cell>
          <cell r="C357">
            <v>12</v>
          </cell>
          <cell r="D357" t="str">
            <v>EK65</v>
          </cell>
          <cell r="E357" t="str">
            <v>525576</v>
          </cell>
          <cell r="F357" t="str">
            <v>E</v>
          </cell>
          <cell r="G357" t="str">
            <v>12530759</v>
          </cell>
          <cell r="H357" t="str">
            <v>Huelse AD20,ID11,L23</v>
          </cell>
          <cell r="I357">
            <v>392</v>
          </cell>
          <cell r="J357" t="str">
            <v>Stk</v>
          </cell>
          <cell r="K357">
            <v>45271</v>
          </cell>
          <cell r="L357" t="str">
            <v>829053</v>
          </cell>
          <cell r="M357" t="str">
            <v/>
          </cell>
          <cell r="N357" t="str">
            <v/>
          </cell>
          <cell r="O357" t="str">
            <v/>
          </cell>
          <cell r="P357" t="str">
            <v/>
          </cell>
          <cell r="Q357" t="str">
            <v/>
          </cell>
          <cell r="R357" t="str">
            <v/>
          </cell>
          <cell r="S357" t="str">
            <v/>
          </cell>
          <cell r="T357" t="str">
            <v/>
          </cell>
          <cell r="U357" t="str">
            <v/>
          </cell>
          <cell r="V357" t="str">
            <v>N52</v>
          </cell>
          <cell r="W357" t="str">
            <v/>
          </cell>
          <cell r="X357" t="str">
            <v/>
          </cell>
          <cell r="Y357" t="str">
            <v/>
          </cell>
          <cell r="Z357" t="str">
            <v/>
          </cell>
          <cell r="AA357" t="str">
            <v/>
          </cell>
          <cell r="AB357" t="str">
            <v>PA_4600785-QE.7005-4</v>
          </cell>
          <cell r="AC357">
            <v>1</v>
          </cell>
          <cell r="AD357" t="str">
            <v/>
          </cell>
          <cell r="AE357">
            <v>0</v>
          </cell>
          <cell r="AF357" t="str">
            <v/>
          </cell>
          <cell r="AG357" t="str">
            <v>12530759</v>
          </cell>
          <cell r="AH357">
            <v>44625.079710648148</v>
          </cell>
          <cell r="AI357" t="str">
            <v>N52</v>
          </cell>
          <cell r="AJ357" t="str">
            <v>F</v>
          </cell>
          <cell r="AK357" t="str">
            <v/>
          </cell>
        </row>
        <row r="358">
          <cell r="A358" t="str">
            <v>12530759829053</v>
          </cell>
          <cell r="B358" t="e">
            <v>#N/A</v>
          </cell>
          <cell r="C358">
            <v>12</v>
          </cell>
          <cell r="D358" t="str">
            <v>EK65</v>
          </cell>
          <cell r="E358" t="str">
            <v>525577</v>
          </cell>
          <cell r="F358" t="str">
            <v>E</v>
          </cell>
          <cell r="G358" t="str">
            <v>12530759</v>
          </cell>
          <cell r="H358" t="str">
            <v>Huelse AD20,ID11,L23</v>
          </cell>
          <cell r="I358">
            <v>8</v>
          </cell>
          <cell r="J358" t="str">
            <v>Stk</v>
          </cell>
          <cell r="K358">
            <v>45273</v>
          </cell>
          <cell r="L358" t="str">
            <v>829053</v>
          </cell>
          <cell r="M358" t="str">
            <v/>
          </cell>
          <cell r="N358" t="str">
            <v/>
          </cell>
          <cell r="O358" t="str">
            <v/>
          </cell>
          <cell r="P358" t="str">
            <v/>
          </cell>
          <cell r="Q358" t="str">
            <v/>
          </cell>
          <cell r="R358" t="str">
            <v/>
          </cell>
          <cell r="S358" t="str">
            <v/>
          </cell>
          <cell r="T358" t="str">
            <v/>
          </cell>
          <cell r="U358" t="str">
            <v/>
          </cell>
          <cell r="V358" t="str">
            <v>N52</v>
          </cell>
          <cell r="W358" t="str">
            <v/>
          </cell>
          <cell r="X358" t="str">
            <v/>
          </cell>
          <cell r="Y358" t="str">
            <v/>
          </cell>
          <cell r="Z358" t="str">
            <v/>
          </cell>
          <cell r="AA358" t="str">
            <v/>
          </cell>
          <cell r="AB358" t="str">
            <v>PA_4600785-QE.7005-4</v>
          </cell>
          <cell r="AC358">
            <v>1</v>
          </cell>
          <cell r="AD358" t="str">
            <v/>
          </cell>
          <cell r="AE358">
            <v>0</v>
          </cell>
          <cell r="AF358" t="str">
            <v/>
          </cell>
          <cell r="AG358" t="str">
            <v>12530759</v>
          </cell>
          <cell r="AH358">
            <v>44625.079710648148</v>
          </cell>
          <cell r="AI358" t="str">
            <v>N52</v>
          </cell>
          <cell r="AJ358" t="str">
            <v>F</v>
          </cell>
          <cell r="AK358" t="str">
            <v/>
          </cell>
        </row>
        <row r="359">
          <cell r="A359" t="str">
            <v>12530759829051</v>
          </cell>
          <cell r="B359" t="e">
            <v>#N/A</v>
          </cell>
          <cell r="C359">
            <v>12</v>
          </cell>
          <cell r="D359" t="str">
            <v>EK65</v>
          </cell>
          <cell r="E359" t="str">
            <v>525578</v>
          </cell>
          <cell r="F359" t="str">
            <v>E</v>
          </cell>
          <cell r="G359" t="str">
            <v>12530759</v>
          </cell>
          <cell r="H359" t="str">
            <v>Huelse AD20,ID11,L23</v>
          </cell>
          <cell r="I359">
            <v>794</v>
          </cell>
          <cell r="J359" t="str">
            <v>Stk</v>
          </cell>
          <cell r="K359">
            <v>45412</v>
          </cell>
          <cell r="L359" t="str">
            <v>829051</v>
          </cell>
          <cell r="M359" t="str">
            <v/>
          </cell>
          <cell r="N359" t="str">
            <v/>
          </cell>
          <cell r="O359" t="str">
            <v/>
          </cell>
          <cell r="P359" t="str">
            <v/>
          </cell>
          <cell r="Q359" t="str">
            <v/>
          </cell>
          <cell r="R359" t="str">
            <v/>
          </cell>
          <cell r="S359" t="str">
            <v/>
          </cell>
          <cell r="T359" t="str">
            <v/>
          </cell>
          <cell r="U359" t="str">
            <v/>
          </cell>
          <cell r="V359" t="str">
            <v>N52</v>
          </cell>
          <cell r="W359" t="str">
            <v/>
          </cell>
          <cell r="X359" t="str">
            <v/>
          </cell>
          <cell r="Y359" t="str">
            <v/>
          </cell>
          <cell r="Z359" t="str">
            <v/>
          </cell>
          <cell r="AA359" t="str">
            <v/>
          </cell>
          <cell r="AB359" t="str">
            <v>PA_4600785-QE.7005-4</v>
          </cell>
          <cell r="AC359">
            <v>1</v>
          </cell>
          <cell r="AD359" t="str">
            <v/>
          </cell>
          <cell r="AE359">
            <v>0</v>
          </cell>
          <cell r="AF359" t="str">
            <v/>
          </cell>
          <cell r="AG359" t="str">
            <v>12530759</v>
          </cell>
          <cell r="AH359">
            <v>44625.079710648148</v>
          </cell>
          <cell r="AI359" t="str">
            <v>N52</v>
          </cell>
          <cell r="AJ359" t="str">
            <v>F</v>
          </cell>
          <cell r="AK359" t="str">
            <v/>
          </cell>
        </row>
        <row r="360">
          <cell r="A360" t="str">
            <v>12489963829053</v>
          </cell>
          <cell r="B360" t="e">
            <v>#N/A</v>
          </cell>
          <cell r="C360">
            <v>18</v>
          </cell>
          <cell r="D360" t="str">
            <v>EK65</v>
          </cell>
          <cell r="E360" t="str">
            <v>525628</v>
          </cell>
          <cell r="F360" t="str">
            <v>E</v>
          </cell>
          <cell r="G360" t="str">
            <v>12489963</v>
          </cell>
          <cell r="H360" t="str">
            <v>Abdichtwinkel</v>
          </cell>
          <cell r="I360">
            <v>103</v>
          </cell>
          <cell r="J360" t="str">
            <v>Stk</v>
          </cell>
          <cell r="K360">
            <v>45198</v>
          </cell>
          <cell r="L360" t="str">
            <v>829053</v>
          </cell>
          <cell r="M360" t="str">
            <v/>
          </cell>
          <cell r="N360" t="str">
            <v/>
          </cell>
          <cell r="O360" t="str">
            <v/>
          </cell>
          <cell r="P360" t="str">
            <v/>
          </cell>
          <cell r="Q360" t="str">
            <v/>
          </cell>
          <cell r="R360" t="str">
            <v/>
          </cell>
          <cell r="S360" t="str">
            <v/>
          </cell>
          <cell r="T360" t="str">
            <v/>
          </cell>
          <cell r="U360" t="str">
            <v/>
          </cell>
          <cell r="V360" t="str">
            <v>N52</v>
          </cell>
          <cell r="W360" t="str">
            <v/>
          </cell>
          <cell r="X360" t="str">
            <v/>
          </cell>
          <cell r="Y360" t="str">
            <v/>
          </cell>
          <cell r="Z360" t="str">
            <v/>
          </cell>
          <cell r="AA360" t="str">
            <v/>
          </cell>
          <cell r="AB360" t="str">
            <v>PA_4314761-CC.7005-3</v>
          </cell>
          <cell r="AC360">
            <v>1</v>
          </cell>
          <cell r="AD360" t="str">
            <v/>
          </cell>
          <cell r="AE360">
            <v>0</v>
          </cell>
          <cell r="AF360" t="str">
            <v/>
          </cell>
          <cell r="AG360" t="str">
            <v>12489963</v>
          </cell>
          <cell r="AH360">
            <v>44629.872581018521</v>
          </cell>
          <cell r="AI360" t="str">
            <v>N52</v>
          </cell>
          <cell r="AJ360" t="str">
            <v>F</v>
          </cell>
          <cell r="AK360" t="str">
            <v/>
          </cell>
        </row>
        <row r="361">
          <cell r="A361" t="str">
            <v>12489963829051</v>
          </cell>
          <cell r="B361" t="e">
            <v>#N/A</v>
          </cell>
          <cell r="C361">
            <v>18</v>
          </cell>
          <cell r="D361" t="str">
            <v>EK65</v>
          </cell>
          <cell r="E361" t="str">
            <v>525629</v>
          </cell>
          <cell r="F361" t="str">
            <v>E</v>
          </cell>
          <cell r="G361" t="str">
            <v>12489963</v>
          </cell>
          <cell r="H361" t="str">
            <v>Abdichtwinkel</v>
          </cell>
          <cell r="I361">
            <v>725</v>
          </cell>
          <cell r="J361" t="str">
            <v>Stk</v>
          </cell>
          <cell r="K361">
            <v>45316</v>
          </cell>
          <cell r="L361" t="str">
            <v>829051</v>
          </cell>
          <cell r="M361" t="str">
            <v/>
          </cell>
          <cell r="N361" t="str">
            <v/>
          </cell>
          <cell r="O361" t="str">
            <v/>
          </cell>
          <cell r="P361" t="str">
            <v/>
          </cell>
          <cell r="Q361" t="str">
            <v/>
          </cell>
          <cell r="R361" t="str">
            <v/>
          </cell>
          <cell r="S361" t="str">
            <v/>
          </cell>
          <cell r="T361" t="str">
            <v/>
          </cell>
          <cell r="U361" t="str">
            <v/>
          </cell>
          <cell r="V361" t="str">
            <v>N52</v>
          </cell>
          <cell r="W361" t="str">
            <v/>
          </cell>
          <cell r="X361" t="str">
            <v/>
          </cell>
          <cell r="Y361" t="str">
            <v/>
          </cell>
          <cell r="Z361" t="str">
            <v/>
          </cell>
          <cell r="AA361" t="str">
            <v/>
          </cell>
          <cell r="AB361" t="str">
            <v>PA_4314761-CC.7005-3</v>
          </cell>
          <cell r="AC361">
            <v>1</v>
          </cell>
          <cell r="AD361" t="str">
            <v/>
          </cell>
          <cell r="AE361">
            <v>0</v>
          </cell>
          <cell r="AF361" t="str">
            <v/>
          </cell>
          <cell r="AG361" t="str">
            <v>12489963</v>
          </cell>
          <cell r="AH361">
            <v>44629.872581018521</v>
          </cell>
          <cell r="AI361" t="str">
            <v>N52</v>
          </cell>
          <cell r="AJ361" t="str">
            <v>F</v>
          </cell>
          <cell r="AK361" t="str">
            <v/>
          </cell>
        </row>
        <row r="362">
          <cell r="A362" t="str">
            <v>12489963829052</v>
          </cell>
          <cell r="B362" t="str">
            <v>BL20230413-2</v>
          </cell>
          <cell r="C362">
            <v>18</v>
          </cell>
          <cell r="D362" t="str">
            <v>EK65</v>
          </cell>
          <cell r="E362" t="str">
            <v>525630</v>
          </cell>
          <cell r="F362" t="str">
            <v>E</v>
          </cell>
          <cell r="G362" t="str">
            <v>12489963</v>
          </cell>
          <cell r="H362" t="str">
            <v>Abdichtwinkel</v>
          </cell>
          <cell r="I362">
            <v>372</v>
          </cell>
          <cell r="J362" t="str">
            <v>Stk</v>
          </cell>
          <cell r="K362">
            <v>45349</v>
          </cell>
          <cell r="L362" t="str">
            <v>829052</v>
          </cell>
          <cell r="M362" t="str">
            <v/>
          </cell>
          <cell r="N362" t="str">
            <v/>
          </cell>
          <cell r="O362" t="str">
            <v/>
          </cell>
          <cell r="P362" t="str">
            <v/>
          </cell>
          <cell r="Q362" t="str">
            <v/>
          </cell>
          <cell r="R362" t="str">
            <v/>
          </cell>
          <cell r="S362" t="str">
            <v/>
          </cell>
          <cell r="T362" t="str">
            <v/>
          </cell>
          <cell r="U362" t="str">
            <v/>
          </cell>
          <cell r="V362" t="str">
            <v>N52</v>
          </cell>
          <cell r="W362" t="str">
            <v/>
          </cell>
          <cell r="X362" t="str">
            <v/>
          </cell>
          <cell r="Y362" t="str">
            <v/>
          </cell>
          <cell r="Z362" t="str">
            <v/>
          </cell>
          <cell r="AA362" t="str">
            <v/>
          </cell>
          <cell r="AB362" t="str">
            <v>PA_4314761-CC.7005-3</v>
          </cell>
          <cell r="AC362">
            <v>1</v>
          </cell>
          <cell r="AD362" t="str">
            <v/>
          </cell>
          <cell r="AE362">
            <v>0</v>
          </cell>
          <cell r="AF362" t="str">
            <v/>
          </cell>
          <cell r="AG362" t="str">
            <v>12489963</v>
          </cell>
          <cell r="AH362">
            <v>44629.872581018521</v>
          </cell>
          <cell r="AI362" t="str">
            <v>N52</v>
          </cell>
          <cell r="AJ362" t="str">
            <v>F</v>
          </cell>
          <cell r="AK362" t="str">
            <v/>
          </cell>
        </row>
        <row r="363">
          <cell r="A363" t="str">
            <v>12490003829053</v>
          </cell>
          <cell r="B363" t="e">
            <v>#N/A</v>
          </cell>
          <cell r="C363">
            <v>12</v>
          </cell>
          <cell r="D363" t="str">
            <v>EK65</v>
          </cell>
          <cell r="E363" t="str">
            <v>525631</v>
          </cell>
          <cell r="F363" t="str">
            <v>E</v>
          </cell>
          <cell r="G363" t="str">
            <v>12490003</v>
          </cell>
          <cell r="H363" t="str">
            <v>Abdichtung w.g.</v>
          </cell>
          <cell r="I363">
            <v>103</v>
          </cell>
          <cell r="J363" t="str">
            <v>Stk</v>
          </cell>
          <cell r="K363">
            <v>45198</v>
          </cell>
          <cell r="L363" t="str">
            <v>829053</v>
          </cell>
          <cell r="M363" t="str">
            <v/>
          </cell>
          <cell r="N363" t="str">
            <v/>
          </cell>
          <cell r="O363" t="str">
            <v/>
          </cell>
          <cell r="P363" t="str">
            <v/>
          </cell>
          <cell r="Q363" t="str">
            <v/>
          </cell>
          <cell r="R363" t="str">
            <v/>
          </cell>
          <cell r="S363" t="str">
            <v/>
          </cell>
          <cell r="T363" t="str">
            <v/>
          </cell>
          <cell r="U363" t="str">
            <v/>
          </cell>
          <cell r="V363" t="str">
            <v>N52</v>
          </cell>
          <cell r="W363" t="str">
            <v/>
          </cell>
          <cell r="X363" t="str">
            <v/>
          </cell>
          <cell r="Y363" t="str">
            <v/>
          </cell>
          <cell r="Z363" t="str">
            <v/>
          </cell>
          <cell r="AA363" t="str">
            <v/>
          </cell>
          <cell r="AB363" t="str">
            <v>PA_4314895-CC.7005-3</v>
          </cell>
          <cell r="AC363">
            <v>1</v>
          </cell>
          <cell r="AD363" t="str">
            <v/>
          </cell>
          <cell r="AE363">
            <v>0</v>
          </cell>
          <cell r="AF363" t="str">
            <v/>
          </cell>
          <cell r="AG363" t="str">
            <v>12490003</v>
          </cell>
          <cell r="AH363">
            <v>44629.872615740744</v>
          </cell>
          <cell r="AI363" t="str">
            <v>N52</v>
          </cell>
          <cell r="AJ363" t="str">
            <v>F</v>
          </cell>
          <cell r="AK363" t="str">
            <v/>
          </cell>
        </row>
        <row r="364">
          <cell r="A364" t="str">
            <v>12490003829054</v>
          </cell>
          <cell r="B364" t="e">
            <v>#N/A</v>
          </cell>
          <cell r="C364">
            <v>12</v>
          </cell>
          <cell r="D364" t="str">
            <v>EK65</v>
          </cell>
          <cell r="E364" t="str">
            <v>525632</v>
          </cell>
          <cell r="F364" t="str">
            <v>E</v>
          </cell>
          <cell r="G364" t="str">
            <v>12490003</v>
          </cell>
          <cell r="H364" t="str">
            <v>Abdichtung w.g.</v>
          </cell>
          <cell r="I364">
            <v>69</v>
          </cell>
          <cell r="J364" t="str">
            <v>Stk</v>
          </cell>
          <cell r="K364">
            <v>45211</v>
          </cell>
          <cell r="L364" t="str">
            <v>829054</v>
          </cell>
          <cell r="M364" t="str">
            <v/>
          </cell>
          <cell r="N364" t="str">
            <v/>
          </cell>
          <cell r="O364" t="str">
            <v/>
          </cell>
          <cell r="P364" t="str">
            <v/>
          </cell>
          <cell r="Q364" t="str">
            <v/>
          </cell>
          <cell r="R364" t="str">
            <v/>
          </cell>
          <cell r="S364" t="str">
            <v/>
          </cell>
          <cell r="T364" t="str">
            <v/>
          </cell>
          <cell r="U364" t="str">
            <v/>
          </cell>
          <cell r="V364" t="str">
            <v>N52</v>
          </cell>
          <cell r="W364" t="str">
            <v/>
          </cell>
          <cell r="X364" t="str">
            <v/>
          </cell>
          <cell r="Y364" t="str">
            <v/>
          </cell>
          <cell r="Z364" t="str">
            <v/>
          </cell>
          <cell r="AA364" t="str">
            <v/>
          </cell>
          <cell r="AB364" t="str">
            <v>PA_4314895-CC.7005-3</v>
          </cell>
          <cell r="AC364">
            <v>1</v>
          </cell>
          <cell r="AD364" t="str">
            <v/>
          </cell>
          <cell r="AE364">
            <v>0</v>
          </cell>
          <cell r="AF364" t="str">
            <v/>
          </cell>
          <cell r="AG364" t="str">
            <v>12490003</v>
          </cell>
          <cell r="AH364">
            <v>44629.872615740744</v>
          </cell>
          <cell r="AI364" t="str">
            <v>N52</v>
          </cell>
          <cell r="AJ364" t="str">
            <v>F</v>
          </cell>
          <cell r="AK364" t="str">
            <v/>
          </cell>
        </row>
        <row r="365">
          <cell r="A365" t="str">
            <v>12490004829053</v>
          </cell>
          <cell r="B365" t="e">
            <v>#N/A</v>
          </cell>
          <cell r="C365">
            <v>10</v>
          </cell>
          <cell r="D365" t="str">
            <v>EK65</v>
          </cell>
          <cell r="E365" t="str">
            <v>525633</v>
          </cell>
          <cell r="F365" t="str">
            <v>E</v>
          </cell>
          <cell r="G365" t="str">
            <v>12490004</v>
          </cell>
          <cell r="H365" t="str">
            <v>Abdichtung sp.g.</v>
          </cell>
          <cell r="I365">
            <v>103</v>
          </cell>
          <cell r="J365" t="str">
            <v>Stk</v>
          </cell>
          <cell r="K365">
            <v>45198</v>
          </cell>
          <cell r="L365" t="str">
            <v>829053</v>
          </cell>
          <cell r="M365" t="str">
            <v/>
          </cell>
          <cell r="N365" t="str">
            <v/>
          </cell>
          <cell r="O365" t="str">
            <v/>
          </cell>
          <cell r="P365" t="str">
            <v/>
          </cell>
          <cell r="Q365" t="str">
            <v/>
          </cell>
          <cell r="R365" t="str">
            <v/>
          </cell>
          <cell r="S365" t="str">
            <v/>
          </cell>
          <cell r="T365" t="str">
            <v/>
          </cell>
          <cell r="U365" t="str">
            <v/>
          </cell>
          <cell r="V365" t="str">
            <v>N52</v>
          </cell>
          <cell r="W365" t="str">
            <v/>
          </cell>
          <cell r="X365" t="str">
            <v/>
          </cell>
          <cell r="Y365" t="str">
            <v/>
          </cell>
          <cell r="Z365" t="str">
            <v/>
          </cell>
          <cell r="AA365" t="str">
            <v/>
          </cell>
          <cell r="AB365" t="str">
            <v>PA_4314895-CC.7005-3</v>
          </cell>
          <cell r="AC365">
            <v>1</v>
          </cell>
          <cell r="AD365" t="str">
            <v/>
          </cell>
          <cell r="AE365">
            <v>0</v>
          </cell>
          <cell r="AF365" t="str">
            <v/>
          </cell>
          <cell r="AG365" t="str">
            <v>12490004</v>
          </cell>
          <cell r="AH365">
            <v>44629.87263888889</v>
          </cell>
          <cell r="AI365" t="str">
            <v>N52</v>
          </cell>
          <cell r="AJ365" t="str">
            <v>F</v>
          </cell>
          <cell r="AK365" t="str">
            <v/>
          </cell>
        </row>
        <row r="366">
          <cell r="A366" t="str">
            <v>12490004829054</v>
          </cell>
          <cell r="B366" t="e">
            <v>#N/A</v>
          </cell>
          <cell r="C366">
            <v>10</v>
          </cell>
          <cell r="D366" t="str">
            <v>EK65</v>
          </cell>
          <cell r="E366" t="str">
            <v>525634</v>
          </cell>
          <cell r="F366" t="str">
            <v>E</v>
          </cell>
          <cell r="G366" t="str">
            <v>12490004</v>
          </cell>
          <cell r="H366" t="str">
            <v>Abdichtung sp.g.</v>
          </cell>
          <cell r="I366">
            <v>69</v>
          </cell>
          <cell r="J366" t="str">
            <v>Stk</v>
          </cell>
          <cell r="K366">
            <v>45211</v>
          </cell>
          <cell r="L366" t="str">
            <v>829054</v>
          </cell>
          <cell r="M366" t="str">
            <v/>
          </cell>
          <cell r="N366" t="str">
            <v/>
          </cell>
          <cell r="O366" t="str">
            <v/>
          </cell>
          <cell r="P366" t="str">
            <v/>
          </cell>
          <cell r="Q366" t="str">
            <v/>
          </cell>
          <cell r="R366" t="str">
            <v/>
          </cell>
          <cell r="S366" t="str">
            <v/>
          </cell>
          <cell r="T366" t="str">
            <v/>
          </cell>
          <cell r="U366" t="str">
            <v/>
          </cell>
          <cell r="V366" t="str">
            <v>N52</v>
          </cell>
          <cell r="W366" t="str">
            <v/>
          </cell>
          <cell r="X366" t="str">
            <v/>
          </cell>
          <cell r="Y366" t="str">
            <v/>
          </cell>
          <cell r="Z366" t="str">
            <v/>
          </cell>
          <cell r="AA366" t="str">
            <v/>
          </cell>
          <cell r="AB366" t="str">
            <v>PA_4314895-CC.7005-3</v>
          </cell>
          <cell r="AC366">
            <v>1</v>
          </cell>
          <cell r="AD366" t="str">
            <v/>
          </cell>
          <cell r="AE366">
            <v>0</v>
          </cell>
          <cell r="AF366" t="str">
            <v/>
          </cell>
          <cell r="AG366" t="str">
            <v>12490004</v>
          </cell>
          <cell r="AH366">
            <v>44629.87263888889</v>
          </cell>
          <cell r="AI366" t="str">
            <v>N52</v>
          </cell>
          <cell r="AJ366" t="str">
            <v>F</v>
          </cell>
          <cell r="AK366" t="str">
            <v/>
          </cell>
        </row>
        <row r="367">
          <cell r="A367" t="str">
            <v>12490025829053</v>
          </cell>
          <cell r="B367" t="e">
            <v>#N/A</v>
          </cell>
          <cell r="C367">
            <v>24</v>
          </cell>
          <cell r="D367" t="str">
            <v>EK65</v>
          </cell>
          <cell r="E367" t="str">
            <v>525635</v>
          </cell>
          <cell r="F367" t="str">
            <v>E</v>
          </cell>
          <cell r="G367" t="str">
            <v>12490025</v>
          </cell>
          <cell r="H367" t="str">
            <v>Abdichtung Tuer s.g.</v>
          </cell>
          <cell r="I367">
            <v>211</v>
          </cell>
          <cell r="J367" t="str">
            <v>Stk</v>
          </cell>
          <cell r="K367">
            <v>45197</v>
          </cell>
          <cell r="L367" t="str">
            <v>829053</v>
          </cell>
          <cell r="M367" t="str">
            <v/>
          </cell>
          <cell r="N367" t="str">
            <v/>
          </cell>
          <cell r="O367" t="str">
            <v/>
          </cell>
          <cell r="P367" t="str">
            <v/>
          </cell>
          <cell r="Q367" t="str">
            <v/>
          </cell>
          <cell r="R367" t="str">
            <v/>
          </cell>
          <cell r="S367" t="str">
            <v/>
          </cell>
          <cell r="T367" t="str">
            <v/>
          </cell>
          <cell r="U367" t="str">
            <v/>
          </cell>
          <cell r="V367" t="str">
            <v>N52</v>
          </cell>
          <cell r="W367" t="str">
            <v/>
          </cell>
          <cell r="X367" t="str">
            <v/>
          </cell>
          <cell r="Y367" t="str">
            <v/>
          </cell>
          <cell r="Z367" t="str">
            <v/>
          </cell>
          <cell r="AA367" t="str">
            <v/>
          </cell>
          <cell r="AB367" t="str">
            <v>PA_4315354-CC.7005-3</v>
          </cell>
          <cell r="AC367">
            <v>1</v>
          </cell>
          <cell r="AD367" t="str">
            <v/>
          </cell>
          <cell r="AE367">
            <v>0</v>
          </cell>
          <cell r="AF367" t="str">
            <v/>
          </cell>
          <cell r="AG367" t="str">
            <v>12490025</v>
          </cell>
          <cell r="AH367">
            <v>44629.872662037036</v>
          </cell>
          <cell r="AI367" t="str">
            <v>N52</v>
          </cell>
          <cell r="AJ367" t="str">
            <v>F</v>
          </cell>
          <cell r="AK367" t="str">
            <v/>
          </cell>
        </row>
        <row r="368">
          <cell r="A368" t="str">
            <v>12490025829054</v>
          </cell>
          <cell r="B368" t="e">
            <v>#N/A</v>
          </cell>
          <cell r="C368">
            <v>24</v>
          </cell>
          <cell r="D368" t="str">
            <v>EK65</v>
          </cell>
          <cell r="E368" t="str">
            <v>525636</v>
          </cell>
          <cell r="F368" t="str">
            <v>E</v>
          </cell>
          <cell r="G368" t="str">
            <v>12490025</v>
          </cell>
          <cell r="H368" t="str">
            <v>Abdichtung Tuer s.g.</v>
          </cell>
          <cell r="I368">
            <v>65</v>
          </cell>
          <cell r="J368" t="str">
            <v>Stk</v>
          </cell>
          <cell r="K368">
            <v>45212</v>
          </cell>
          <cell r="L368" t="str">
            <v>829054</v>
          </cell>
          <cell r="M368" t="str">
            <v/>
          </cell>
          <cell r="N368" t="str">
            <v/>
          </cell>
          <cell r="O368" t="str">
            <v/>
          </cell>
          <cell r="P368" t="str">
            <v/>
          </cell>
          <cell r="Q368" t="str">
            <v/>
          </cell>
          <cell r="R368" t="str">
            <v/>
          </cell>
          <cell r="S368" t="str">
            <v/>
          </cell>
          <cell r="T368" t="str">
            <v/>
          </cell>
          <cell r="U368" t="str">
            <v/>
          </cell>
          <cell r="V368" t="str">
            <v>N52</v>
          </cell>
          <cell r="W368" t="str">
            <v/>
          </cell>
          <cell r="X368" t="str">
            <v/>
          </cell>
          <cell r="Y368" t="str">
            <v/>
          </cell>
          <cell r="Z368" t="str">
            <v/>
          </cell>
          <cell r="AA368" t="str">
            <v/>
          </cell>
          <cell r="AB368" t="str">
            <v>PA_4315354-CC.7005-3</v>
          </cell>
          <cell r="AC368">
            <v>1</v>
          </cell>
          <cell r="AD368" t="str">
            <v/>
          </cell>
          <cell r="AE368">
            <v>0</v>
          </cell>
          <cell r="AF368" t="str">
            <v/>
          </cell>
          <cell r="AG368" t="str">
            <v>12490025</v>
          </cell>
          <cell r="AH368">
            <v>44629.872662037036</v>
          </cell>
          <cell r="AI368" t="str">
            <v>N52</v>
          </cell>
          <cell r="AJ368" t="str">
            <v>F</v>
          </cell>
          <cell r="AK368" t="str">
            <v/>
          </cell>
        </row>
        <row r="369">
          <cell r="A369" t="str">
            <v>12490025829051</v>
          </cell>
          <cell r="B369" t="e">
            <v>#N/A</v>
          </cell>
          <cell r="C369">
            <v>24</v>
          </cell>
          <cell r="D369" t="str">
            <v>EK65</v>
          </cell>
          <cell r="E369" t="str">
            <v>525637</v>
          </cell>
          <cell r="F369" t="str">
            <v>E</v>
          </cell>
          <cell r="G369" t="str">
            <v>12490025</v>
          </cell>
          <cell r="H369" t="str">
            <v>Abdichtung Tuer s.g.</v>
          </cell>
          <cell r="I369">
            <v>543</v>
          </cell>
          <cell r="J369" t="str">
            <v>Stk</v>
          </cell>
          <cell r="K369">
            <v>45316</v>
          </cell>
          <cell r="L369" t="str">
            <v>829051</v>
          </cell>
          <cell r="M369" t="str">
            <v/>
          </cell>
          <cell r="N369" t="str">
            <v/>
          </cell>
          <cell r="O369" t="str">
            <v/>
          </cell>
          <cell r="P369" t="str">
            <v/>
          </cell>
          <cell r="Q369" t="str">
            <v/>
          </cell>
          <cell r="R369" t="str">
            <v/>
          </cell>
          <cell r="S369" t="str">
            <v/>
          </cell>
          <cell r="T369" t="str">
            <v/>
          </cell>
          <cell r="U369" t="str">
            <v/>
          </cell>
          <cell r="V369" t="str">
            <v>N52</v>
          </cell>
          <cell r="W369" t="str">
            <v/>
          </cell>
          <cell r="X369" t="str">
            <v/>
          </cell>
          <cell r="Y369" t="str">
            <v/>
          </cell>
          <cell r="Z369" t="str">
            <v/>
          </cell>
          <cell r="AA369" t="str">
            <v/>
          </cell>
          <cell r="AB369" t="str">
            <v>PA_4315354-CC.7005-3</v>
          </cell>
          <cell r="AC369">
            <v>1</v>
          </cell>
          <cell r="AD369" t="str">
            <v/>
          </cell>
          <cell r="AE369">
            <v>0</v>
          </cell>
          <cell r="AF369" t="str">
            <v/>
          </cell>
          <cell r="AG369" t="str">
            <v>12490025</v>
          </cell>
          <cell r="AH369">
            <v>44629.872662037036</v>
          </cell>
          <cell r="AI369" t="str">
            <v>N52</v>
          </cell>
          <cell r="AJ369" t="str">
            <v>F</v>
          </cell>
          <cell r="AK369" t="str">
            <v/>
          </cell>
        </row>
        <row r="370">
          <cell r="A370" t="str">
            <v>12490025829052</v>
          </cell>
          <cell r="B370" t="e">
            <v>#N/A</v>
          </cell>
          <cell r="C370">
            <v>24</v>
          </cell>
          <cell r="D370" t="str">
            <v>EK65</v>
          </cell>
          <cell r="E370" t="str">
            <v>525638</v>
          </cell>
          <cell r="F370" t="str">
            <v>E</v>
          </cell>
          <cell r="G370" t="str">
            <v>12490025</v>
          </cell>
          <cell r="H370" t="str">
            <v>Abdichtung Tuer s.g.</v>
          </cell>
          <cell r="I370">
            <v>185</v>
          </cell>
          <cell r="J370" t="str">
            <v>Stk</v>
          </cell>
          <cell r="K370">
            <v>45349</v>
          </cell>
          <cell r="L370" t="str">
            <v>829052</v>
          </cell>
          <cell r="M370" t="str">
            <v/>
          </cell>
          <cell r="N370" t="str">
            <v/>
          </cell>
          <cell r="O370" t="str">
            <v/>
          </cell>
          <cell r="P370" t="str">
            <v/>
          </cell>
          <cell r="Q370" t="str">
            <v/>
          </cell>
          <cell r="R370" t="str">
            <v/>
          </cell>
          <cell r="S370" t="str">
            <v/>
          </cell>
          <cell r="T370" t="str">
            <v/>
          </cell>
          <cell r="U370" t="str">
            <v/>
          </cell>
          <cell r="V370" t="str">
            <v>N52</v>
          </cell>
          <cell r="W370" t="str">
            <v/>
          </cell>
          <cell r="X370" t="str">
            <v/>
          </cell>
          <cell r="Y370" t="str">
            <v/>
          </cell>
          <cell r="Z370" t="str">
            <v/>
          </cell>
          <cell r="AA370" t="str">
            <v/>
          </cell>
          <cell r="AB370" t="str">
            <v>PA_4315354-CC.7005-3</v>
          </cell>
          <cell r="AC370">
            <v>1</v>
          </cell>
          <cell r="AD370" t="str">
            <v/>
          </cell>
          <cell r="AE370">
            <v>0</v>
          </cell>
          <cell r="AF370" t="str">
            <v/>
          </cell>
          <cell r="AG370" t="str">
            <v>12490025</v>
          </cell>
          <cell r="AH370">
            <v>44629.872662037036</v>
          </cell>
          <cell r="AI370" t="str">
            <v>N52</v>
          </cell>
          <cell r="AJ370" t="str">
            <v>F</v>
          </cell>
          <cell r="AK370" t="str">
            <v/>
          </cell>
        </row>
        <row r="371">
          <cell r="A371" t="str">
            <v>12490026829053</v>
          </cell>
          <cell r="B371" t="e">
            <v>#N/A</v>
          </cell>
          <cell r="C371">
            <v>24</v>
          </cell>
          <cell r="D371" t="str">
            <v>EK65</v>
          </cell>
          <cell r="E371" t="str">
            <v>525639</v>
          </cell>
          <cell r="F371" t="str">
            <v>E</v>
          </cell>
          <cell r="G371" t="str">
            <v>12490026</v>
          </cell>
          <cell r="H371" t="str">
            <v>Abdichtung Tuer w.g.</v>
          </cell>
          <cell r="I371">
            <v>207</v>
          </cell>
          <cell r="J371" t="str">
            <v>Stk</v>
          </cell>
          <cell r="K371">
            <v>45198</v>
          </cell>
          <cell r="L371" t="str">
            <v>829053</v>
          </cell>
          <cell r="M371" t="str">
            <v/>
          </cell>
          <cell r="N371" t="str">
            <v/>
          </cell>
          <cell r="O371" t="str">
            <v/>
          </cell>
          <cell r="P371" t="str">
            <v/>
          </cell>
          <cell r="Q371" t="str">
            <v/>
          </cell>
          <cell r="R371" t="str">
            <v/>
          </cell>
          <cell r="S371" t="str">
            <v/>
          </cell>
          <cell r="T371" t="str">
            <v/>
          </cell>
          <cell r="U371" t="str">
            <v/>
          </cell>
          <cell r="V371" t="str">
            <v>N52</v>
          </cell>
          <cell r="W371" t="str">
            <v/>
          </cell>
          <cell r="X371" t="str">
            <v/>
          </cell>
          <cell r="Y371" t="str">
            <v/>
          </cell>
          <cell r="Z371" t="str">
            <v/>
          </cell>
          <cell r="AA371" t="str">
            <v/>
          </cell>
          <cell r="AB371" t="str">
            <v>PA_4315354-CC.7005-3</v>
          </cell>
          <cell r="AC371">
            <v>1</v>
          </cell>
          <cell r="AD371" t="str">
            <v/>
          </cell>
          <cell r="AE371">
            <v>0</v>
          </cell>
          <cell r="AF371" t="str">
            <v/>
          </cell>
          <cell r="AG371" t="str">
            <v>12490026</v>
          </cell>
          <cell r="AH371">
            <v>44629.872708333336</v>
          </cell>
          <cell r="AI371" t="str">
            <v>N52</v>
          </cell>
          <cell r="AJ371" t="str">
            <v>F</v>
          </cell>
          <cell r="AK371" t="str">
            <v/>
          </cell>
        </row>
        <row r="372">
          <cell r="A372" t="str">
            <v>12490026829054</v>
          </cell>
          <cell r="B372" t="e">
            <v>#N/A</v>
          </cell>
          <cell r="C372">
            <v>24</v>
          </cell>
          <cell r="D372" t="str">
            <v>EK65</v>
          </cell>
          <cell r="E372" t="str">
            <v>525640</v>
          </cell>
          <cell r="F372" t="str">
            <v>E</v>
          </cell>
          <cell r="G372" t="str">
            <v>12490026</v>
          </cell>
          <cell r="H372" t="str">
            <v>Abdichtung Tuer w.g.</v>
          </cell>
          <cell r="I372">
            <v>69</v>
          </cell>
          <cell r="J372" t="str">
            <v>Stk</v>
          </cell>
          <cell r="K372">
            <v>45211</v>
          </cell>
          <cell r="L372" t="str">
            <v>829054</v>
          </cell>
          <cell r="M372" t="str">
            <v/>
          </cell>
          <cell r="N372" t="str">
            <v/>
          </cell>
          <cell r="O372" t="str">
            <v/>
          </cell>
          <cell r="P372" t="str">
            <v/>
          </cell>
          <cell r="Q372" t="str">
            <v/>
          </cell>
          <cell r="R372" t="str">
            <v/>
          </cell>
          <cell r="S372" t="str">
            <v/>
          </cell>
          <cell r="T372" t="str">
            <v/>
          </cell>
          <cell r="U372" t="str">
            <v/>
          </cell>
          <cell r="V372" t="str">
            <v>N52</v>
          </cell>
          <cell r="W372" t="str">
            <v/>
          </cell>
          <cell r="X372" t="str">
            <v/>
          </cell>
          <cell r="Y372" t="str">
            <v/>
          </cell>
          <cell r="Z372" t="str">
            <v/>
          </cell>
          <cell r="AA372" t="str">
            <v/>
          </cell>
          <cell r="AB372" t="str">
            <v>PA_4315354-CC.7005-3</v>
          </cell>
          <cell r="AC372">
            <v>1</v>
          </cell>
          <cell r="AD372" t="str">
            <v/>
          </cell>
          <cell r="AE372">
            <v>0</v>
          </cell>
          <cell r="AF372" t="str">
            <v/>
          </cell>
          <cell r="AG372" t="str">
            <v>12490026</v>
          </cell>
          <cell r="AH372">
            <v>44629.872708333336</v>
          </cell>
          <cell r="AI372" t="str">
            <v>N52</v>
          </cell>
          <cell r="AJ372" t="str">
            <v>F</v>
          </cell>
          <cell r="AK372" t="str">
            <v/>
          </cell>
        </row>
        <row r="373">
          <cell r="A373" t="str">
            <v>12490026829051</v>
          </cell>
          <cell r="B373" t="e">
            <v>#N/A</v>
          </cell>
          <cell r="C373">
            <v>24</v>
          </cell>
          <cell r="D373" t="str">
            <v>EK65</v>
          </cell>
          <cell r="E373" t="str">
            <v>525641</v>
          </cell>
          <cell r="F373" t="str">
            <v>E</v>
          </cell>
          <cell r="G373" t="str">
            <v>12490026</v>
          </cell>
          <cell r="H373" t="str">
            <v>Abdichtung Tuer w.g.</v>
          </cell>
          <cell r="I373">
            <v>543</v>
          </cell>
          <cell r="J373" t="str">
            <v>Stk</v>
          </cell>
          <cell r="K373">
            <v>45316</v>
          </cell>
          <cell r="L373" t="str">
            <v>829051</v>
          </cell>
          <cell r="M373" t="str">
            <v/>
          </cell>
          <cell r="N373" t="str">
            <v/>
          </cell>
          <cell r="O373" t="str">
            <v/>
          </cell>
          <cell r="P373" t="str">
            <v/>
          </cell>
          <cell r="Q373" t="str">
            <v/>
          </cell>
          <cell r="R373" t="str">
            <v/>
          </cell>
          <cell r="S373" t="str">
            <v/>
          </cell>
          <cell r="T373" t="str">
            <v/>
          </cell>
          <cell r="U373" t="str">
            <v/>
          </cell>
          <cell r="V373" t="str">
            <v>N52</v>
          </cell>
          <cell r="W373" t="str">
            <v/>
          </cell>
          <cell r="X373" t="str">
            <v/>
          </cell>
          <cell r="Y373" t="str">
            <v/>
          </cell>
          <cell r="Z373" t="str">
            <v/>
          </cell>
          <cell r="AA373" t="str">
            <v/>
          </cell>
          <cell r="AB373" t="str">
            <v>PA_4315354-CC.7005-3</v>
          </cell>
          <cell r="AC373">
            <v>1</v>
          </cell>
          <cell r="AD373" t="str">
            <v/>
          </cell>
          <cell r="AE373">
            <v>0</v>
          </cell>
          <cell r="AF373" t="str">
            <v/>
          </cell>
          <cell r="AG373" t="str">
            <v>12490026</v>
          </cell>
          <cell r="AH373">
            <v>44629.872708333336</v>
          </cell>
          <cell r="AI373" t="str">
            <v>N52</v>
          </cell>
          <cell r="AJ373" t="str">
            <v>F</v>
          </cell>
          <cell r="AK373" t="str">
            <v/>
          </cell>
        </row>
        <row r="374">
          <cell r="A374" t="str">
            <v>12490026829052</v>
          </cell>
          <cell r="B374" t="e">
            <v>#N/A</v>
          </cell>
          <cell r="C374">
            <v>24</v>
          </cell>
          <cell r="D374" t="str">
            <v>EK65</v>
          </cell>
          <cell r="E374" t="str">
            <v>525642</v>
          </cell>
          <cell r="F374" t="str">
            <v>E</v>
          </cell>
          <cell r="G374" t="str">
            <v>12490026</v>
          </cell>
          <cell r="H374" t="str">
            <v>Abdichtung Tuer w.g.</v>
          </cell>
          <cell r="I374">
            <v>185</v>
          </cell>
          <cell r="J374" t="str">
            <v>Stk</v>
          </cell>
          <cell r="K374">
            <v>45349</v>
          </cell>
          <cell r="L374" t="str">
            <v>829052</v>
          </cell>
          <cell r="M374" t="str">
            <v/>
          </cell>
          <cell r="N374" t="str">
            <v/>
          </cell>
          <cell r="O374" t="str">
            <v/>
          </cell>
          <cell r="P374" t="str">
            <v/>
          </cell>
          <cell r="Q374" t="str">
            <v/>
          </cell>
          <cell r="R374" t="str">
            <v/>
          </cell>
          <cell r="S374" t="str">
            <v/>
          </cell>
          <cell r="T374" t="str">
            <v/>
          </cell>
          <cell r="U374" t="str">
            <v/>
          </cell>
          <cell r="V374" t="str">
            <v>N52</v>
          </cell>
          <cell r="W374" t="str">
            <v/>
          </cell>
          <cell r="X374" t="str">
            <v/>
          </cell>
          <cell r="Y374" t="str">
            <v/>
          </cell>
          <cell r="Z374" t="str">
            <v/>
          </cell>
          <cell r="AA374" t="str">
            <v/>
          </cell>
          <cell r="AB374" t="str">
            <v>PA_4315354-CC.7005-3</v>
          </cell>
          <cell r="AC374">
            <v>1</v>
          </cell>
          <cell r="AD374" t="str">
            <v/>
          </cell>
          <cell r="AE374">
            <v>0</v>
          </cell>
          <cell r="AF374" t="str">
            <v/>
          </cell>
          <cell r="AG374" t="str">
            <v>12490026</v>
          </cell>
          <cell r="AH374">
            <v>44629.872708333336</v>
          </cell>
          <cell r="AI374" t="str">
            <v>N52</v>
          </cell>
          <cell r="AJ374" t="str">
            <v>F</v>
          </cell>
          <cell r="AK374" t="str">
            <v/>
          </cell>
        </row>
        <row r="375">
          <cell r="A375" t="str">
            <v>12490095829053</v>
          </cell>
          <cell r="B375" t="e">
            <v>#N/A</v>
          </cell>
          <cell r="C375">
            <v>6</v>
          </cell>
          <cell r="D375" t="str">
            <v>EK65</v>
          </cell>
          <cell r="E375" t="str">
            <v>525643</v>
          </cell>
          <cell r="F375" t="str">
            <v>E</v>
          </cell>
          <cell r="G375" t="str">
            <v>12490095</v>
          </cell>
          <cell r="H375" t="str">
            <v>Abdichtwinkel</v>
          </cell>
          <cell r="I375">
            <v>103</v>
          </cell>
          <cell r="J375" t="str">
            <v>Stk</v>
          </cell>
          <cell r="K375">
            <v>45198</v>
          </cell>
          <cell r="L375" t="str">
            <v>829053</v>
          </cell>
          <cell r="M375" t="str">
            <v/>
          </cell>
          <cell r="N375" t="str">
            <v/>
          </cell>
          <cell r="O375" t="str">
            <v/>
          </cell>
          <cell r="P375" t="str">
            <v/>
          </cell>
          <cell r="Q375" t="str">
            <v/>
          </cell>
          <cell r="R375" t="str">
            <v/>
          </cell>
          <cell r="S375" t="str">
            <v/>
          </cell>
          <cell r="T375" t="str">
            <v/>
          </cell>
          <cell r="U375" t="str">
            <v/>
          </cell>
          <cell r="V375" t="str">
            <v>N52</v>
          </cell>
          <cell r="W375" t="str">
            <v/>
          </cell>
          <cell r="X375" t="str">
            <v/>
          </cell>
          <cell r="Y375" t="str">
            <v/>
          </cell>
          <cell r="Z375" t="str">
            <v/>
          </cell>
          <cell r="AA375" t="str">
            <v/>
          </cell>
          <cell r="AB375" t="str">
            <v>PA_4249297-CC.7005-2</v>
          </cell>
          <cell r="AC375">
            <v>1</v>
          </cell>
          <cell r="AD375" t="str">
            <v/>
          </cell>
          <cell r="AE375">
            <v>0</v>
          </cell>
          <cell r="AF375" t="str">
            <v/>
          </cell>
          <cell r="AG375" t="str">
            <v>12490095</v>
          </cell>
          <cell r="AH375">
            <v>44629.872777777775</v>
          </cell>
          <cell r="AI375" t="str">
            <v>N52</v>
          </cell>
          <cell r="AJ375" t="str">
            <v>F</v>
          </cell>
          <cell r="AK375" t="str">
            <v/>
          </cell>
        </row>
        <row r="376">
          <cell r="A376" t="str">
            <v>12490123829053</v>
          </cell>
          <cell r="B376" t="e">
            <v>#N/A</v>
          </cell>
          <cell r="C376">
            <v>6</v>
          </cell>
          <cell r="D376" t="str">
            <v>EK65</v>
          </cell>
          <cell r="E376" t="str">
            <v>525644</v>
          </cell>
          <cell r="F376" t="str">
            <v>E</v>
          </cell>
          <cell r="G376" t="str">
            <v>12490123</v>
          </cell>
          <cell r="H376" t="str">
            <v>Abdichtung w.g.</v>
          </cell>
          <cell r="I376">
            <v>52</v>
          </cell>
          <cell r="J376" t="str">
            <v>Stk</v>
          </cell>
          <cell r="K376">
            <v>45198</v>
          </cell>
          <cell r="L376" t="str">
            <v>829053</v>
          </cell>
          <cell r="M376" t="str">
            <v/>
          </cell>
          <cell r="N376" t="str">
            <v/>
          </cell>
          <cell r="O376" t="str">
            <v/>
          </cell>
          <cell r="P376" t="str">
            <v/>
          </cell>
          <cell r="Q376" t="str">
            <v/>
          </cell>
          <cell r="R376" t="str">
            <v/>
          </cell>
          <cell r="S376" t="str">
            <v/>
          </cell>
          <cell r="T376" t="str">
            <v/>
          </cell>
          <cell r="U376" t="str">
            <v/>
          </cell>
          <cell r="V376" t="str">
            <v>N52</v>
          </cell>
          <cell r="W376" t="str">
            <v/>
          </cell>
          <cell r="X376" t="str">
            <v/>
          </cell>
          <cell r="Y376" t="str">
            <v/>
          </cell>
          <cell r="Z376" t="str">
            <v/>
          </cell>
          <cell r="AA376" t="str">
            <v/>
          </cell>
          <cell r="AB376" t="str">
            <v>PA_4314780-CC.7005-3</v>
          </cell>
          <cell r="AC376">
            <v>1</v>
          </cell>
          <cell r="AD376" t="str">
            <v/>
          </cell>
          <cell r="AE376">
            <v>0</v>
          </cell>
          <cell r="AF376" t="str">
            <v/>
          </cell>
          <cell r="AG376" t="str">
            <v>12490123</v>
          </cell>
          <cell r="AH376">
            <v>44629.872789351852</v>
          </cell>
          <cell r="AI376" t="str">
            <v>N52</v>
          </cell>
          <cell r="AJ376" t="str">
            <v>F</v>
          </cell>
          <cell r="AK376" t="str">
            <v/>
          </cell>
        </row>
        <row r="377">
          <cell r="A377" t="str">
            <v>12490124829053</v>
          </cell>
          <cell r="B377" t="e">
            <v>#N/A</v>
          </cell>
          <cell r="C377">
            <v>5</v>
          </cell>
          <cell r="D377" t="str">
            <v>EK65</v>
          </cell>
          <cell r="E377" t="str">
            <v>525645</v>
          </cell>
          <cell r="F377" t="str">
            <v>E</v>
          </cell>
          <cell r="G377" t="str">
            <v>12490124</v>
          </cell>
          <cell r="H377" t="str">
            <v>Abdichtung sp.g.</v>
          </cell>
          <cell r="I377">
            <v>51</v>
          </cell>
          <cell r="J377" t="str">
            <v>Stk</v>
          </cell>
          <cell r="K377">
            <v>45199</v>
          </cell>
          <cell r="L377" t="str">
            <v>829053</v>
          </cell>
          <cell r="M377" t="str">
            <v/>
          </cell>
          <cell r="N377" t="str">
            <v/>
          </cell>
          <cell r="O377" t="str">
            <v/>
          </cell>
          <cell r="P377" t="str">
            <v/>
          </cell>
          <cell r="Q377" t="str">
            <v/>
          </cell>
          <cell r="R377" t="str">
            <v/>
          </cell>
          <cell r="S377" t="str">
            <v/>
          </cell>
          <cell r="T377" t="str">
            <v/>
          </cell>
          <cell r="U377" t="str">
            <v/>
          </cell>
          <cell r="V377" t="str">
            <v>N52</v>
          </cell>
          <cell r="W377" t="str">
            <v/>
          </cell>
          <cell r="X377" t="str">
            <v/>
          </cell>
          <cell r="Y377" t="str">
            <v/>
          </cell>
          <cell r="Z377" t="str">
            <v/>
          </cell>
          <cell r="AA377" t="str">
            <v/>
          </cell>
          <cell r="AB377" t="str">
            <v>PA_4314780-CC.7005-3</v>
          </cell>
          <cell r="AC377">
            <v>1</v>
          </cell>
          <cell r="AD377" t="str">
            <v/>
          </cell>
          <cell r="AE377">
            <v>0</v>
          </cell>
          <cell r="AF377" t="str">
            <v/>
          </cell>
          <cell r="AG377" t="str">
            <v>12490124</v>
          </cell>
          <cell r="AH377">
            <v>44629.872812499998</v>
          </cell>
          <cell r="AI377" t="str">
            <v>N52</v>
          </cell>
          <cell r="AJ377" t="str">
            <v>F</v>
          </cell>
          <cell r="AK377" t="str">
            <v/>
          </cell>
        </row>
        <row r="378">
          <cell r="A378" t="str">
            <v>12490139829053</v>
          </cell>
          <cell r="B378" t="e">
            <v>#N/A</v>
          </cell>
          <cell r="C378">
            <v>6</v>
          </cell>
          <cell r="D378" t="str">
            <v>EK65</v>
          </cell>
          <cell r="E378" t="str">
            <v>525646</v>
          </cell>
          <cell r="F378" t="str">
            <v>E</v>
          </cell>
          <cell r="G378" t="str">
            <v>12490139</v>
          </cell>
          <cell r="H378" t="str">
            <v>Abdichtung w.g.</v>
          </cell>
          <cell r="I378">
            <v>51</v>
          </cell>
          <cell r="J378" t="str">
            <v>Stk</v>
          </cell>
          <cell r="K378">
            <v>45199</v>
          </cell>
          <cell r="L378" t="str">
            <v>829053</v>
          </cell>
          <cell r="M378" t="str">
            <v/>
          </cell>
          <cell r="N378" t="str">
            <v/>
          </cell>
          <cell r="O378" t="str">
            <v/>
          </cell>
          <cell r="P378" t="str">
            <v/>
          </cell>
          <cell r="Q378" t="str">
            <v/>
          </cell>
          <cell r="R378" t="str">
            <v/>
          </cell>
          <cell r="S378" t="str">
            <v/>
          </cell>
          <cell r="T378" t="str">
            <v/>
          </cell>
          <cell r="U378" t="str">
            <v/>
          </cell>
          <cell r="V378" t="str">
            <v>N52</v>
          </cell>
          <cell r="W378" t="str">
            <v/>
          </cell>
          <cell r="X378" t="str">
            <v/>
          </cell>
          <cell r="Y378" t="str">
            <v/>
          </cell>
          <cell r="Z378" t="str">
            <v/>
          </cell>
          <cell r="AA378" t="str">
            <v/>
          </cell>
          <cell r="AB378" t="str">
            <v>PA_4314868-CC.7005-3</v>
          </cell>
          <cell r="AC378">
            <v>1</v>
          </cell>
          <cell r="AD378" t="str">
            <v/>
          </cell>
          <cell r="AE378">
            <v>0</v>
          </cell>
          <cell r="AF378" t="str">
            <v/>
          </cell>
          <cell r="AG378" t="str">
            <v>12490139</v>
          </cell>
          <cell r="AH378">
            <v>44629.872824074075</v>
          </cell>
          <cell r="AI378" t="str">
            <v>N52</v>
          </cell>
          <cell r="AJ378" t="str">
            <v>F</v>
          </cell>
          <cell r="AK378" t="str">
            <v/>
          </cell>
        </row>
        <row r="379">
          <cell r="A379" t="str">
            <v>12490140829053</v>
          </cell>
          <cell r="B379" t="e">
            <v>#N/A</v>
          </cell>
          <cell r="C379">
            <v>5</v>
          </cell>
          <cell r="D379" t="str">
            <v>EK65</v>
          </cell>
          <cell r="E379" t="str">
            <v>525647</v>
          </cell>
          <cell r="F379" t="str">
            <v>E</v>
          </cell>
          <cell r="G379" t="str">
            <v>12490140</v>
          </cell>
          <cell r="H379" t="str">
            <v>Abdichtung sp.g.</v>
          </cell>
          <cell r="I379">
            <v>51</v>
          </cell>
          <cell r="J379" t="str">
            <v>Stk</v>
          </cell>
          <cell r="K379">
            <v>45199</v>
          </cell>
          <cell r="L379" t="str">
            <v>829053</v>
          </cell>
          <cell r="M379" t="str">
            <v/>
          </cell>
          <cell r="N379" t="str">
            <v/>
          </cell>
          <cell r="O379" t="str">
            <v/>
          </cell>
          <cell r="P379" t="str">
            <v/>
          </cell>
          <cell r="Q379" t="str">
            <v/>
          </cell>
          <cell r="R379" t="str">
            <v/>
          </cell>
          <cell r="S379" t="str">
            <v/>
          </cell>
          <cell r="T379" t="str">
            <v/>
          </cell>
          <cell r="U379" t="str">
            <v/>
          </cell>
          <cell r="V379" t="str">
            <v>N52</v>
          </cell>
          <cell r="W379" t="str">
            <v/>
          </cell>
          <cell r="X379" t="str">
            <v/>
          </cell>
          <cell r="Y379" t="str">
            <v/>
          </cell>
          <cell r="Z379" t="str">
            <v/>
          </cell>
          <cell r="AA379" t="str">
            <v/>
          </cell>
          <cell r="AB379" t="str">
            <v>PA_4314868-CC.7005-3</v>
          </cell>
          <cell r="AC379">
            <v>1</v>
          </cell>
          <cell r="AD379" t="str">
            <v/>
          </cell>
          <cell r="AE379">
            <v>0</v>
          </cell>
          <cell r="AF379" t="str">
            <v/>
          </cell>
          <cell r="AG379" t="str">
            <v>12490140</v>
          </cell>
          <cell r="AH379">
            <v>44629.872835648152</v>
          </cell>
          <cell r="AI379" t="str">
            <v>N52</v>
          </cell>
          <cell r="AJ379" t="str">
            <v>F</v>
          </cell>
          <cell r="AK379" t="str">
            <v/>
          </cell>
        </row>
        <row r="380">
          <cell r="A380" t="str">
            <v>12490260829053</v>
          </cell>
          <cell r="B380" t="e">
            <v>#N/A</v>
          </cell>
          <cell r="C380">
            <v>6</v>
          </cell>
          <cell r="D380" t="str">
            <v>EK65</v>
          </cell>
          <cell r="E380" t="str">
            <v>525648</v>
          </cell>
          <cell r="F380" t="str">
            <v>E</v>
          </cell>
          <cell r="G380" t="str">
            <v>12490260</v>
          </cell>
          <cell r="H380" t="str">
            <v>Abdichtung w.g.</v>
          </cell>
          <cell r="I380">
            <v>51</v>
          </cell>
          <cell r="J380" t="str">
            <v>Stk</v>
          </cell>
          <cell r="K380">
            <v>45199</v>
          </cell>
          <cell r="L380" t="str">
            <v>829053</v>
          </cell>
          <cell r="M380" t="str">
            <v/>
          </cell>
          <cell r="N380" t="str">
            <v/>
          </cell>
          <cell r="O380" t="str">
            <v/>
          </cell>
          <cell r="P380" t="str">
            <v/>
          </cell>
          <cell r="Q380" t="str">
            <v/>
          </cell>
          <cell r="R380" t="str">
            <v/>
          </cell>
          <cell r="S380" t="str">
            <v/>
          </cell>
          <cell r="T380" t="str">
            <v/>
          </cell>
          <cell r="U380" t="str">
            <v/>
          </cell>
          <cell r="V380" t="str">
            <v>N52</v>
          </cell>
          <cell r="W380" t="str">
            <v/>
          </cell>
          <cell r="X380" t="str">
            <v/>
          </cell>
          <cell r="Y380" t="str">
            <v/>
          </cell>
          <cell r="Z380" t="str">
            <v/>
          </cell>
          <cell r="AA380" t="str">
            <v/>
          </cell>
          <cell r="AB380" t="str">
            <v>PA_4314867-CC.7005-3</v>
          </cell>
          <cell r="AC380">
            <v>1</v>
          </cell>
          <cell r="AD380" t="str">
            <v/>
          </cell>
          <cell r="AE380">
            <v>0</v>
          </cell>
          <cell r="AF380" t="str">
            <v/>
          </cell>
          <cell r="AG380" t="str">
            <v>12490260</v>
          </cell>
          <cell r="AH380">
            <v>44629.872858796298</v>
          </cell>
          <cell r="AI380" t="str">
            <v>N52</v>
          </cell>
          <cell r="AJ380" t="str">
            <v>F</v>
          </cell>
          <cell r="AK380" t="str">
            <v/>
          </cell>
        </row>
        <row r="381">
          <cell r="A381" t="str">
            <v>12490262829053</v>
          </cell>
          <cell r="B381" t="e">
            <v>#N/A</v>
          </cell>
          <cell r="C381">
            <v>5</v>
          </cell>
          <cell r="D381" t="str">
            <v>EK65</v>
          </cell>
          <cell r="E381" t="str">
            <v>525649</v>
          </cell>
          <cell r="F381" t="str">
            <v>E</v>
          </cell>
          <cell r="G381" t="str">
            <v>12490262</v>
          </cell>
          <cell r="H381" t="str">
            <v>Abdichtung sp.g.</v>
          </cell>
          <cell r="I381">
            <v>51</v>
          </cell>
          <cell r="J381" t="str">
            <v>Stk</v>
          </cell>
          <cell r="K381">
            <v>45199</v>
          </cell>
          <cell r="L381" t="str">
            <v>829053</v>
          </cell>
          <cell r="M381" t="str">
            <v/>
          </cell>
          <cell r="N381" t="str">
            <v/>
          </cell>
          <cell r="O381" t="str">
            <v/>
          </cell>
          <cell r="P381" t="str">
            <v/>
          </cell>
          <cell r="Q381" t="str">
            <v/>
          </cell>
          <cell r="R381" t="str">
            <v/>
          </cell>
          <cell r="S381" t="str">
            <v/>
          </cell>
          <cell r="T381" t="str">
            <v/>
          </cell>
          <cell r="U381" t="str">
            <v/>
          </cell>
          <cell r="V381" t="str">
            <v>N52</v>
          </cell>
          <cell r="W381" t="str">
            <v/>
          </cell>
          <cell r="X381" t="str">
            <v/>
          </cell>
          <cell r="Y381" t="str">
            <v/>
          </cell>
          <cell r="Z381" t="str">
            <v/>
          </cell>
          <cell r="AA381" t="str">
            <v/>
          </cell>
          <cell r="AB381" t="str">
            <v>PA_4314867-CC.7005-3</v>
          </cell>
          <cell r="AC381">
            <v>1</v>
          </cell>
          <cell r="AD381" t="str">
            <v/>
          </cell>
          <cell r="AE381">
            <v>0</v>
          </cell>
          <cell r="AF381" t="str">
            <v/>
          </cell>
          <cell r="AG381" t="str">
            <v>12490262</v>
          </cell>
          <cell r="AH381">
            <v>44629.872870370367</v>
          </cell>
          <cell r="AI381" t="str">
            <v>N52</v>
          </cell>
          <cell r="AJ381" t="str">
            <v>F</v>
          </cell>
          <cell r="AK381" t="str">
            <v/>
          </cell>
        </row>
        <row r="382">
          <cell r="A382" t="str">
            <v>12492204829053</v>
          </cell>
          <cell r="B382" t="e">
            <v>#N/A</v>
          </cell>
          <cell r="C382">
            <v>12</v>
          </cell>
          <cell r="D382" t="str">
            <v>EK65</v>
          </cell>
          <cell r="E382" t="str">
            <v>525650</v>
          </cell>
          <cell r="F382" t="str">
            <v>E</v>
          </cell>
          <cell r="G382" t="str">
            <v>12492204</v>
          </cell>
          <cell r="H382" t="str">
            <v>Abdichtwinkel</v>
          </cell>
          <cell r="I382">
            <v>103</v>
          </cell>
          <cell r="J382" t="str">
            <v>Stk</v>
          </cell>
          <cell r="K382">
            <v>45198</v>
          </cell>
          <cell r="L382" t="str">
            <v>829053</v>
          </cell>
          <cell r="M382" t="str">
            <v/>
          </cell>
          <cell r="N382" t="str">
            <v/>
          </cell>
          <cell r="O382" t="str">
            <v/>
          </cell>
          <cell r="P382" t="str">
            <v/>
          </cell>
          <cell r="Q382" t="str">
            <v/>
          </cell>
          <cell r="R382" t="str">
            <v/>
          </cell>
          <cell r="S382" t="str">
            <v/>
          </cell>
          <cell r="T382" t="str">
            <v/>
          </cell>
          <cell r="U382" t="str">
            <v/>
          </cell>
          <cell r="V382" t="str">
            <v>N52</v>
          </cell>
          <cell r="W382" t="str">
            <v/>
          </cell>
          <cell r="X382" t="str">
            <v/>
          </cell>
          <cell r="Y382" t="str">
            <v/>
          </cell>
          <cell r="Z382" t="str">
            <v/>
          </cell>
          <cell r="AA382" t="str">
            <v/>
          </cell>
          <cell r="AB382" t="str">
            <v>PA_4454784-CC.7005-2</v>
          </cell>
          <cell r="AC382">
            <v>1</v>
          </cell>
          <cell r="AD382" t="str">
            <v/>
          </cell>
          <cell r="AE382">
            <v>0</v>
          </cell>
          <cell r="AF382" t="str">
            <v/>
          </cell>
          <cell r="AG382" t="str">
            <v>12492204</v>
          </cell>
          <cell r="AH382">
            <v>44629.873090277775</v>
          </cell>
          <cell r="AI382" t="str">
            <v>N52</v>
          </cell>
          <cell r="AJ382" t="str">
            <v>F</v>
          </cell>
          <cell r="AK382" t="str">
            <v/>
          </cell>
        </row>
        <row r="383">
          <cell r="A383" t="str">
            <v>12492204829051</v>
          </cell>
          <cell r="B383" t="e">
            <v>#N/A</v>
          </cell>
          <cell r="C383">
            <v>12</v>
          </cell>
          <cell r="D383" t="str">
            <v>EK65</v>
          </cell>
          <cell r="E383" t="str">
            <v>525651</v>
          </cell>
          <cell r="F383" t="str">
            <v>E</v>
          </cell>
          <cell r="G383" t="str">
            <v>12492204</v>
          </cell>
          <cell r="H383" t="str">
            <v>Abdichtwinkel</v>
          </cell>
          <cell r="I383">
            <v>183</v>
          </cell>
          <cell r="J383" t="str">
            <v>Stk</v>
          </cell>
          <cell r="K383">
            <v>45310</v>
          </cell>
          <cell r="L383" t="str">
            <v>829051</v>
          </cell>
          <cell r="M383" t="str">
            <v/>
          </cell>
          <cell r="N383" t="str">
            <v/>
          </cell>
          <cell r="O383" t="str">
            <v/>
          </cell>
          <cell r="P383" t="str">
            <v/>
          </cell>
          <cell r="Q383" t="str">
            <v/>
          </cell>
          <cell r="R383" t="str">
            <v/>
          </cell>
          <cell r="S383" t="str">
            <v/>
          </cell>
          <cell r="T383" t="str">
            <v/>
          </cell>
          <cell r="U383" t="str">
            <v/>
          </cell>
          <cell r="V383" t="str">
            <v>N52</v>
          </cell>
          <cell r="W383" t="str">
            <v/>
          </cell>
          <cell r="X383" t="str">
            <v/>
          </cell>
          <cell r="Y383" t="str">
            <v/>
          </cell>
          <cell r="Z383" t="str">
            <v/>
          </cell>
          <cell r="AA383" t="str">
            <v/>
          </cell>
          <cell r="AB383" t="str">
            <v>PA_4454784-CC.7005-2</v>
          </cell>
          <cell r="AC383">
            <v>1</v>
          </cell>
          <cell r="AD383" t="str">
            <v/>
          </cell>
          <cell r="AE383">
            <v>0</v>
          </cell>
          <cell r="AF383" t="str">
            <v/>
          </cell>
          <cell r="AG383" t="str">
            <v>12492204</v>
          </cell>
          <cell r="AH383">
            <v>44629.873090277775</v>
          </cell>
          <cell r="AI383" t="str">
            <v>N52</v>
          </cell>
          <cell r="AJ383" t="str">
            <v>F</v>
          </cell>
          <cell r="AK383" t="str">
            <v/>
          </cell>
        </row>
        <row r="384">
          <cell r="A384" t="str">
            <v>12492205829053</v>
          </cell>
          <cell r="B384" t="e">
            <v>#N/A</v>
          </cell>
          <cell r="C384">
            <v>12</v>
          </cell>
          <cell r="D384" t="str">
            <v>EK65</v>
          </cell>
          <cell r="E384" t="str">
            <v>525652</v>
          </cell>
          <cell r="F384" t="str">
            <v>E</v>
          </cell>
          <cell r="G384" t="str">
            <v>12492205</v>
          </cell>
          <cell r="H384" t="str">
            <v>Winkel</v>
          </cell>
          <cell r="I384">
            <v>103</v>
          </cell>
          <cell r="J384" t="str">
            <v>Stk</v>
          </cell>
          <cell r="K384">
            <v>45198</v>
          </cell>
          <cell r="L384" t="str">
            <v>829053</v>
          </cell>
          <cell r="M384" t="str">
            <v/>
          </cell>
          <cell r="N384" t="str">
            <v/>
          </cell>
          <cell r="O384" t="str">
            <v/>
          </cell>
          <cell r="P384" t="str">
            <v/>
          </cell>
          <cell r="Q384" t="str">
            <v/>
          </cell>
          <cell r="R384" t="str">
            <v/>
          </cell>
          <cell r="S384" t="str">
            <v/>
          </cell>
          <cell r="T384" t="str">
            <v/>
          </cell>
          <cell r="U384" t="str">
            <v/>
          </cell>
          <cell r="V384" t="str">
            <v>N52</v>
          </cell>
          <cell r="W384" t="str">
            <v/>
          </cell>
          <cell r="X384" t="str">
            <v/>
          </cell>
          <cell r="Y384" t="str">
            <v/>
          </cell>
          <cell r="Z384" t="str">
            <v/>
          </cell>
          <cell r="AA384" t="str">
            <v/>
          </cell>
          <cell r="AB384" t="str">
            <v>PA_4372456-CC.7005-3</v>
          </cell>
          <cell r="AC384">
            <v>1</v>
          </cell>
          <cell r="AD384" t="str">
            <v/>
          </cell>
          <cell r="AE384">
            <v>0</v>
          </cell>
          <cell r="AF384" t="str">
            <v/>
          </cell>
          <cell r="AG384" t="str">
            <v>12492205</v>
          </cell>
          <cell r="AH384">
            <v>44629.873124999998</v>
          </cell>
          <cell r="AI384" t="str">
            <v>N52</v>
          </cell>
          <cell r="AJ384" t="str">
            <v>F</v>
          </cell>
          <cell r="AK384" t="str">
            <v/>
          </cell>
        </row>
        <row r="385">
          <cell r="A385" t="str">
            <v>12492205829054</v>
          </cell>
          <cell r="B385" t="e">
            <v>#N/A</v>
          </cell>
          <cell r="C385">
            <v>12</v>
          </cell>
          <cell r="D385" t="str">
            <v>EK65</v>
          </cell>
          <cell r="E385" t="str">
            <v>525653</v>
          </cell>
          <cell r="F385" t="str">
            <v>E</v>
          </cell>
          <cell r="G385" t="str">
            <v>12492205</v>
          </cell>
          <cell r="H385" t="str">
            <v>Winkel</v>
          </cell>
          <cell r="I385">
            <v>72</v>
          </cell>
          <cell r="J385" t="str">
            <v>Stk</v>
          </cell>
          <cell r="K385">
            <v>45211</v>
          </cell>
          <cell r="L385" t="str">
            <v>829054</v>
          </cell>
          <cell r="M385" t="str">
            <v/>
          </cell>
          <cell r="N385" t="str">
            <v/>
          </cell>
          <cell r="O385" t="str">
            <v/>
          </cell>
          <cell r="P385" t="str">
            <v/>
          </cell>
          <cell r="Q385" t="str">
            <v/>
          </cell>
          <cell r="R385" t="str">
            <v/>
          </cell>
          <cell r="S385" t="str">
            <v/>
          </cell>
          <cell r="T385" t="str">
            <v/>
          </cell>
          <cell r="U385" t="str">
            <v/>
          </cell>
          <cell r="V385" t="str">
            <v>N52</v>
          </cell>
          <cell r="W385" t="str">
            <v/>
          </cell>
          <cell r="X385" t="str">
            <v/>
          </cell>
          <cell r="Y385" t="str">
            <v/>
          </cell>
          <cell r="Z385" t="str">
            <v/>
          </cell>
          <cell r="AA385" t="str">
            <v/>
          </cell>
          <cell r="AB385" t="str">
            <v>PA_4372456-CC.7005-3</v>
          </cell>
          <cell r="AC385">
            <v>1</v>
          </cell>
          <cell r="AD385" t="str">
            <v/>
          </cell>
          <cell r="AE385">
            <v>0</v>
          </cell>
          <cell r="AF385" t="str">
            <v/>
          </cell>
          <cell r="AG385" t="str">
            <v>12492205</v>
          </cell>
          <cell r="AH385">
            <v>44629.873124999998</v>
          </cell>
          <cell r="AI385" t="str">
            <v>N52</v>
          </cell>
          <cell r="AJ385" t="str">
            <v>F</v>
          </cell>
          <cell r="AK385" t="str">
            <v/>
          </cell>
        </row>
        <row r="386">
          <cell r="A386" t="str">
            <v>12492206829053</v>
          </cell>
          <cell r="B386" t="e">
            <v>#N/A</v>
          </cell>
          <cell r="C386">
            <v>12</v>
          </cell>
          <cell r="D386" t="str">
            <v>EK65</v>
          </cell>
          <cell r="E386" t="str">
            <v>525654</v>
          </cell>
          <cell r="F386" t="str">
            <v>E</v>
          </cell>
          <cell r="G386" t="str">
            <v>12492206</v>
          </cell>
          <cell r="H386" t="str">
            <v>Winkel w.g.</v>
          </cell>
          <cell r="I386">
            <v>51</v>
          </cell>
          <cell r="J386" t="str">
            <v>Stk</v>
          </cell>
          <cell r="K386">
            <v>45199</v>
          </cell>
          <cell r="L386" t="str">
            <v>829053</v>
          </cell>
          <cell r="M386" t="str">
            <v/>
          </cell>
          <cell r="N386" t="str">
            <v/>
          </cell>
          <cell r="O386" t="str">
            <v/>
          </cell>
          <cell r="P386" t="str">
            <v/>
          </cell>
          <cell r="Q386" t="str">
            <v/>
          </cell>
          <cell r="R386" t="str">
            <v/>
          </cell>
          <cell r="S386" t="str">
            <v/>
          </cell>
          <cell r="T386" t="str">
            <v/>
          </cell>
          <cell r="U386" t="str">
            <v/>
          </cell>
          <cell r="V386" t="str">
            <v>N52</v>
          </cell>
          <cell r="W386" t="str">
            <v/>
          </cell>
          <cell r="X386" t="str">
            <v/>
          </cell>
          <cell r="Y386" t="str">
            <v/>
          </cell>
          <cell r="Z386" t="str">
            <v/>
          </cell>
          <cell r="AA386" t="str">
            <v/>
          </cell>
          <cell r="AB386" t="str">
            <v>PA_4447933-CC.7005-3</v>
          </cell>
          <cell r="AC386">
            <v>1</v>
          </cell>
          <cell r="AD386" t="str">
            <v/>
          </cell>
          <cell r="AE386">
            <v>0</v>
          </cell>
          <cell r="AF386" t="str">
            <v/>
          </cell>
          <cell r="AG386" t="str">
            <v>12492206</v>
          </cell>
          <cell r="AH386">
            <v>44629.873136574075</v>
          </cell>
          <cell r="AI386" t="str">
            <v>N52</v>
          </cell>
          <cell r="AJ386" t="str">
            <v>F</v>
          </cell>
          <cell r="AK386" t="str">
            <v/>
          </cell>
        </row>
        <row r="387">
          <cell r="A387" t="str">
            <v>12492206829054</v>
          </cell>
          <cell r="B387" t="e">
            <v>#N/A</v>
          </cell>
          <cell r="C387">
            <v>12</v>
          </cell>
          <cell r="D387" t="str">
            <v>EK65</v>
          </cell>
          <cell r="E387" t="str">
            <v>525655</v>
          </cell>
          <cell r="F387" t="str">
            <v>E</v>
          </cell>
          <cell r="G387" t="str">
            <v>12492206</v>
          </cell>
          <cell r="H387" t="str">
            <v>Winkel w.g.</v>
          </cell>
          <cell r="I387">
            <v>35</v>
          </cell>
          <cell r="J387" t="str">
            <v>Stk</v>
          </cell>
          <cell r="K387">
            <v>45211</v>
          </cell>
          <cell r="L387" t="str">
            <v>829054</v>
          </cell>
          <cell r="M387" t="str">
            <v/>
          </cell>
          <cell r="N387" t="str">
            <v/>
          </cell>
          <cell r="O387" t="str">
            <v/>
          </cell>
          <cell r="P387" t="str">
            <v/>
          </cell>
          <cell r="Q387" t="str">
            <v/>
          </cell>
          <cell r="R387" t="str">
            <v/>
          </cell>
          <cell r="S387" t="str">
            <v/>
          </cell>
          <cell r="T387" t="str">
            <v/>
          </cell>
          <cell r="U387" t="str">
            <v/>
          </cell>
          <cell r="V387" t="str">
            <v>N52</v>
          </cell>
          <cell r="W387" t="str">
            <v/>
          </cell>
          <cell r="X387" t="str">
            <v/>
          </cell>
          <cell r="Y387" t="str">
            <v/>
          </cell>
          <cell r="Z387" t="str">
            <v/>
          </cell>
          <cell r="AA387" t="str">
            <v/>
          </cell>
          <cell r="AB387" t="str">
            <v>PA_4447933-CC.7005-3</v>
          </cell>
          <cell r="AC387">
            <v>1</v>
          </cell>
          <cell r="AD387" t="str">
            <v/>
          </cell>
          <cell r="AE387">
            <v>0</v>
          </cell>
          <cell r="AF387" t="str">
            <v/>
          </cell>
          <cell r="AG387" t="str">
            <v>12492206</v>
          </cell>
          <cell r="AH387">
            <v>44629.873148148145</v>
          </cell>
          <cell r="AI387" t="str">
            <v>N52</v>
          </cell>
          <cell r="AJ387" t="str">
            <v>F</v>
          </cell>
          <cell r="AK387" t="str">
            <v/>
          </cell>
        </row>
        <row r="388">
          <cell r="A388" t="str">
            <v>12492208829053</v>
          </cell>
          <cell r="B388" t="e">
            <v>#N/A</v>
          </cell>
          <cell r="C388">
            <v>12</v>
          </cell>
          <cell r="D388" t="str">
            <v>EK65</v>
          </cell>
          <cell r="E388" t="str">
            <v>525656</v>
          </cell>
          <cell r="F388" t="str">
            <v>E</v>
          </cell>
          <cell r="G388" t="str">
            <v>12492208</v>
          </cell>
          <cell r="H388" t="str">
            <v>Winkel sp.g.</v>
          </cell>
          <cell r="I388">
            <v>51</v>
          </cell>
          <cell r="J388" t="str">
            <v>Stk</v>
          </cell>
          <cell r="K388">
            <v>45199</v>
          </cell>
          <cell r="L388" t="str">
            <v>829053</v>
          </cell>
          <cell r="M388" t="str">
            <v/>
          </cell>
          <cell r="N388" t="str">
            <v/>
          </cell>
          <cell r="O388" t="str">
            <v/>
          </cell>
          <cell r="P388" t="str">
            <v/>
          </cell>
          <cell r="Q388" t="str">
            <v/>
          </cell>
          <cell r="R388" t="str">
            <v/>
          </cell>
          <cell r="S388" t="str">
            <v/>
          </cell>
          <cell r="T388" t="str">
            <v/>
          </cell>
          <cell r="U388" t="str">
            <v/>
          </cell>
          <cell r="V388" t="str">
            <v>N52</v>
          </cell>
          <cell r="W388" t="str">
            <v/>
          </cell>
          <cell r="X388" t="str">
            <v/>
          </cell>
          <cell r="Y388" t="str">
            <v/>
          </cell>
          <cell r="Z388" t="str">
            <v/>
          </cell>
          <cell r="AA388" t="str">
            <v/>
          </cell>
          <cell r="AB388" t="str">
            <v>PA_4447933-CC.7005-3</v>
          </cell>
          <cell r="AC388">
            <v>1</v>
          </cell>
          <cell r="AD388" t="str">
            <v/>
          </cell>
          <cell r="AE388">
            <v>0</v>
          </cell>
          <cell r="AF388" t="str">
            <v/>
          </cell>
          <cell r="AG388" t="str">
            <v>12492208</v>
          </cell>
          <cell r="AH388">
            <v>44629.873159722221</v>
          </cell>
          <cell r="AI388" t="str">
            <v>N52</v>
          </cell>
          <cell r="AJ388" t="str">
            <v>F</v>
          </cell>
          <cell r="AK388" t="str">
            <v/>
          </cell>
        </row>
        <row r="389">
          <cell r="A389" t="str">
            <v>12492208829054</v>
          </cell>
          <cell r="B389" t="e">
            <v>#N/A</v>
          </cell>
          <cell r="C389">
            <v>12</v>
          </cell>
          <cell r="D389" t="str">
            <v>EK65</v>
          </cell>
          <cell r="E389" t="str">
            <v>525657</v>
          </cell>
          <cell r="F389" t="str">
            <v>E</v>
          </cell>
          <cell r="G389" t="str">
            <v>12492208</v>
          </cell>
          <cell r="H389" t="str">
            <v>Winkel sp.g.</v>
          </cell>
          <cell r="I389">
            <v>34</v>
          </cell>
          <cell r="J389" t="str">
            <v>Stk</v>
          </cell>
          <cell r="K389">
            <v>45212</v>
          </cell>
          <cell r="L389" t="str">
            <v>829054</v>
          </cell>
          <cell r="M389" t="str">
            <v/>
          </cell>
          <cell r="N389" t="str">
            <v/>
          </cell>
          <cell r="O389" t="str">
            <v/>
          </cell>
          <cell r="P389" t="str">
            <v/>
          </cell>
          <cell r="Q389" t="str">
            <v/>
          </cell>
          <cell r="R389" t="str">
            <v/>
          </cell>
          <cell r="S389" t="str">
            <v/>
          </cell>
          <cell r="T389" t="str">
            <v/>
          </cell>
          <cell r="U389" t="str">
            <v/>
          </cell>
          <cell r="V389" t="str">
            <v>N52</v>
          </cell>
          <cell r="W389" t="str">
            <v/>
          </cell>
          <cell r="X389" t="str">
            <v/>
          </cell>
          <cell r="Y389" t="str">
            <v/>
          </cell>
          <cell r="Z389" t="str">
            <v/>
          </cell>
          <cell r="AA389" t="str">
            <v/>
          </cell>
          <cell r="AB389" t="str">
            <v>PA_4447933-CC.7005-3</v>
          </cell>
          <cell r="AC389">
            <v>1</v>
          </cell>
          <cell r="AD389" t="str">
            <v/>
          </cell>
          <cell r="AE389">
            <v>0</v>
          </cell>
          <cell r="AF389" t="str">
            <v/>
          </cell>
          <cell r="AG389" t="str">
            <v>12492208</v>
          </cell>
          <cell r="AH389">
            <v>44629.873159722221</v>
          </cell>
          <cell r="AI389" t="str">
            <v>N52</v>
          </cell>
          <cell r="AJ389" t="str">
            <v>F</v>
          </cell>
          <cell r="AK389" t="str">
            <v/>
          </cell>
        </row>
        <row r="390">
          <cell r="A390" t="str">
            <v>12495053829053</v>
          </cell>
          <cell r="B390" t="e">
            <v>#N/A</v>
          </cell>
          <cell r="C390">
            <v>16</v>
          </cell>
          <cell r="D390" t="str">
            <v>EK65</v>
          </cell>
          <cell r="E390" t="str">
            <v>525658</v>
          </cell>
          <cell r="F390" t="str">
            <v>E</v>
          </cell>
          <cell r="G390" t="str">
            <v>12495053</v>
          </cell>
          <cell r="H390" t="str">
            <v>Dehnhuelse</v>
          </cell>
          <cell r="I390">
            <v>1270</v>
          </cell>
          <cell r="J390" t="str">
            <v>Stk</v>
          </cell>
          <cell r="K390">
            <v>45197</v>
          </cell>
          <cell r="L390" t="str">
            <v>829053</v>
          </cell>
          <cell r="M390" t="str">
            <v/>
          </cell>
          <cell r="N390" t="str">
            <v/>
          </cell>
          <cell r="O390" t="str">
            <v/>
          </cell>
          <cell r="P390" t="str">
            <v/>
          </cell>
          <cell r="Q390" t="str">
            <v/>
          </cell>
          <cell r="R390" t="str">
            <v/>
          </cell>
          <cell r="S390" t="str">
            <v/>
          </cell>
          <cell r="T390" t="str">
            <v/>
          </cell>
          <cell r="U390" t="str">
            <v/>
          </cell>
          <cell r="V390" t="str">
            <v>N52</v>
          </cell>
          <cell r="W390" t="str">
            <v/>
          </cell>
          <cell r="X390" t="str">
            <v/>
          </cell>
          <cell r="Y390" t="str">
            <v/>
          </cell>
          <cell r="Z390" t="str">
            <v/>
          </cell>
          <cell r="AA390" t="str">
            <v/>
          </cell>
          <cell r="AB390" t="str">
            <v>PA_4464495-CF.7005-4</v>
          </cell>
          <cell r="AC390">
            <v>4</v>
          </cell>
          <cell r="AD390" t="str">
            <v/>
          </cell>
          <cell r="AE390">
            <v>0</v>
          </cell>
          <cell r="AF390" t="str">
            <v/>
          </cell>
          <cell r="AG390" t="str">
            <v>12495053</v>
          </cell>
          <cell r="AH390">
            <v>44629.873356481483</v>
          </cell>
          <cell r="AI390" t="str">
            <v>N52</v>
          </cell>
          <cell r="AJ390" t="str">
            <v>F</v>
          </cell>
          <cell r="AK390" t="str">
            <v/>
          </cell>
        </row>
        <row r="391">
          <cell r="A391" t="str">
            <v>12495053829054</v>
          </cell>
          <cell r="B391" t="e">
            <v>#N/A</v>
          </cell>
          <cell r="C391">
            <v>16</v>
          </cell>
          <cell r="D391" t="str">
            <v>EK65</v>
          </cell>
          <cell r="E391" t="str">
            <v>525659</v>
          </cell>
          <cell r="F391" t="str">
            <v>E</v>
          </cell>
          <cell r="G391" t="str">
            <v>12495053</v>
          </cell>
          <cell r="H391" t="str">
            <v>Dehnhuelse</v>
          </cell>
          <cell r="I391">
            <v>429</v>
          </cell>
          <cell r="J391" t="str">
            <v>Stk</v>
          </cell>
          <cell r="K391">
            <v>45209</v>
          </cell>
          <cell r="L391" t="str">
            <v>829054</v>
          </cell>
          <cell r="M391" t="str">
            <v/>
          </cell>
          <cell r="N391" t="str">
            <v/>
          </cell>
          <cell r="O391" t="str">
            <v/>
          </cell>
          <cell r="P391" t="str">
            <v/>
          </cell>
          <cell r="Q391" t="str">
            <v/>
          </cell>
          <cell r="R391" t="str">
            <v/>
          </cell>
          <cell r="S391" t="str">
            <v/>
          </cell>
          <cell r="T391" t="str">
            <v/>
          </cell>
          <cell r="U391" t="str">
            <v/>
          </cell>
          <cell r="V391" t="str">
            <v>N52</v>
          </cell>
          <cell r="W391" t="str">
            <v/>
          </cell>
          <cell r="X391" t="str">
            <v/>
          </cell>
          <cell r="Y391" t="str">
            <v/>
          </cell>
          <cell r="Z391" t="str">
            <v/>
          </cell>
          <cell r="AA391" t="str">
            <v/>
          </cell>
          <cell r="AB391" t="str">
            <v>PA_4464495-CF.7005-4</v>
          </cell>
          <cell r="AC391">
            <v>4</v>
          </cell>
          <cell r="AD391" t="str">
            <v/>
          </cell>
          <cell r="AE391">
            <v>0</v>
          </cell>
          <cell r="AF391" t="str">
            <v/>
          </cell>
          <cell r="AG391" t="str">
            <v>12495053</v>
          </cell>
          <cell r="AH391">
            <v>44629.873356481483</v>
          </cell>
          <cell r="AI391" t="str">
            <v>N52</v>
          </cell>
          <cell r="AJ391" t="str">
            <v>F</v>
          </cell>
          <cell r="AK391" t="str">
            <v/>
          </cell>
        </row>
        <row r="392">
          <cell r="A392" t="str">
            <v>12495053829051</v>
          </cell>
          <cell r="B392" t="e">
            <v>#N/A</v>
          </cell>
          <cell r="C392">
            <v>16</v>
          </cell>
          <cell r="D392" t="str">
            <v>EK65</v>
          </cell>
          <cell r="E392" t="str">
            <v>525660</v>
          </cell>
          <cell r="F392" t="str">
            <v>E</v>
          </cell>
          <cell r="G392" t="str">
            <v>12495053</v>
          </cell>
          <cell r="H392" t="str">
            <v>Dehnhuelse</v>
          </cell>
          <cell r="I392">
            <v>4355</v>
          </cell>
          <cell r="J392" t="str">
            <v>Stk</v>
          </cell>
          <cell r="K392">
            <v>45315</v>
          </cell>
          <cell r="L392" t="str">
            <v>829051</v>
          </cell>
          <cell r="M392" t="str">
            <v/>
          </cell>
          <cell r="N392" t="str">
            <v/>
          </cell>
          <cell r="O392" t="str">
            <v/>
          </cell>
          <cell r="P392" t="str">
            <v/>
          </cell>
          <cell r="Q392" t="str">
            <v/>
          </cell>
          <cell r="R392" t="str">
            <v/>
          </cell>
          <cell r="S392" t="str">
            <v/>
          </cell>
          <cell r="T392" t="str">
            <v/>
          </cell>
          <cell r="U392" t="str">
            <v/>
          </cell>
          <cell r="V392" t="str">
            <v>N52</v>
          </cell>
          <cell r="W392" t="str">
            <v/>
          </cell>
          <cell r="X392" t="str">
            <v/>
          </cell>
          <cell r="Y392" t="str">
            <v/>
          </cell>
          <cell r="Z392" t="str">
            <v/>
          </cell>
          <cell r="AA392" t="str">
            <v/>
          </cell>
          <cell r="AB392" t="str">
            <v>PA_4464495-CF.7005-4</v>
          </cell>
          <cell r="AC392">
            <v>4</v>
          </cell>
          <cell r="AD392" t="str">
            <v/>
          </cell>
          <cell r="AE392">
            <v>0</v>
          </cell>
          <cell r="AF392" t="str">
            <v/>
          </cell>
          <cell r="AG392" t="str">
            <v>12495053</v>
          </cell>
          <cell r="AH392">
            <v>44629.873356481483</v>
          </cell>
          <cell r="AI392" t="str">
            <v>N52</v>
          </cell>
          <cell r="AJ392" t="str">
            <v>F</v>
          </cell>
          <cell r="AK392" t="str">
            <v/>
          </cell>
        </row>
        <row r="393">
          <cell r="A393" t="str">
            <v>12495053829052</v>
          </cell>
          <cell r="B393" t="str">
            <v>BL20230413-2</v>
          </cell>
          <cell r="C393">
            <v>16</v>
          </cell>
          <cell r="D393" t="str">
            <v>EK65</v>
          </cell>
          <cell r="E393" t="str">
            <v>525661</v>
          </cell>
          <cell r="F393" t="str">
            <v>E</v>
          </cell>
          <cell r="G393" t="str">
            <v>12495053</v>
          </cell>
          <cell r="H393" t="str">
            <v>Dehnhuelse</v>
          </cell>
          <cell r="I393">
            <v>1496</v>
          </cell>
          <cell r="J393" t="str">
            <v>Stk</v>
          </cell>
          <cell r="K393">
            <v>45345</v>
          </cell>
          <cell r="L393" t="str">
            <v>829052</v>
          </cell>
          <cell r="M393" t="str">
            <v/>
          </cell>
          <cell r="N393" t="str">
            <v/>
          </cell>
          <cell r="O393" t="str">
            <v/>
          </cell>
          <cell r="P393" t="str">
            <v/>
          </cell>
          <cell r="Q393" t="str">
            <v/>
          </cell>
          <cell r="R393" t="str">
            <v/>
          </cell>
          <cell r="S393" t="str">
            <v/>
          </cell>
          <cell r="T393" t="str">
            <v/>
          </cell>
          <cell r="U393" t="str">
            <v/>
          </cell>
          <cell r="V393" t="str">
            <v>N52</v>
          </cell>
          <cell r="W393" t="str">
            <v/>
          </cell>
          <cell r="X393" t="str">
            <v/>
          </cell>
          <cell r="Y393" t="str">
            <v/>
          </cell>
          <cell r="Z393" t="str">
            <v/>
          </cell>
          <cell r="AA393" t="str">
            <v/>
          </cell>
          <cell r="AB393" t="str">
            <v>PA_4464495-CF.7005-4</v>
          </cell>
          <cell r="AC393">
            <v>4</v>
          </cell>
          <cell r="AD393" t="str">
            <v/>
          </cell>
          <cell r="AE393">
            <v>0</v>
          </cell>
          <cell r="AF393" t="str">
            <v/>
          </cell>
          <cell r="AG393" t="str">
            <v>12495053</v>
          </cell>
          <cell r="AH393">
            <v>44629.873356481483</v>
          </cell>
          <cell r="AI393" t="str">
            <v>N52</v>
          </cell>
          <cell r="AJ393" t="str">
            <v>F</v>
          </cell>
          <cell r="AK393" t="str">
            <v/>
          </cell>
        </row>
        <row r="394">
          <cell r="A394" t="str">
            <v>12496621829053</v>
          </cell>
          <cell r="B394" t="e">
            <v>#N/A</v>
          </cell>
          <cell r="C394">
            <v>12</v>
          </cell>
          <cell r="D394" t="str">
            <v>EK65</v>
          </cell>
          <cell r="E394" t="str">
            <v>525662</v>
          </cell>
          <cell r="F394" t="str">
            <v>E</v>
          </cell>
          <cell r="G394" t="str">
            <v>12496621</v>
          </cell>
          <cell r="H394" t="str">
            <v>JK Hinterlage Niederhalter</v>
          </cell>
          <cell r="I394">
            <v>414</v>
          </cell>
          <cell r="J394" t="str">
            <v>Stk</v>
          </cell>
          <cell r="K394">
            <v>45196</v>
          </cell>
          <cell r="L394" t="str">
            <v>829053</v>
          </cell>
          <cell r="M394" t="str">
            <v/>
          </cell>
          <cell r="N394" t="str">
            <v/>
          </cell>
          <cell r="O394" t="str">
            <v/>
          </cell>
          <cell r="P394" t="str">
            <v/>
          </cell>
          <cell r="Q394" t="str">
            <v/>
          </cell>
          <cell r="R394" t="str">
            <v/>
          </cell>
          <cell r="S394" t="str">
            <v/>
          </cell>
          <cell r="T394" t="str">
            <v/>
          </cell>
          <cell r="U394" t="str">
            <v/>
          </cell>
          <cell r="V394" t="str">
            <v>N52</v>
          </cell>
          <cell r="W394" t="str">
            <v/>
          </cell>
          <cell r="X394" t="str">
            <v/>
          </cell>
          <cell r="Y394" t="str">
            <v/>
          </cell>
          <cell r="Z394" t="str">
            <v/>
          </cell>
          <cell r="AA394" t="str">
            <v/>
          </cell>
          <cell r="AB394" t="str">
            <v>PA_4278947-NB.7005-3</v>
          </cell>
          <cell r="AC394">
            <v>1</v>
          </cell>
          <cell r="AD394" t="str">
            <v/>
          </cell>
          <cell r="AE394">
            <v>0</v>
          </cell>
          <cell r="AF394" t="str">
            <v/>
          </cell>
          <cell r="AG394" t="str">
            <v>12496621</v>
          </cell>
          <cell r="AH394">
            <v>44629.873437499999</v>
          </cell>
          <cell r="AI394" t="str">
            <v>N52</v>
          </cell>
          <cell r="AJ394" t="str">
            <v>F</v>
          </cell>
          <cell r="AK394" t="str">
            <v/>
          </cell>
        </row>
        <row r="395">
          <cell r="A395" t="str">
            <v>12496621829054</v>
          </cell>
          <cell r="B395" t="e">
            <v>#N/A</v>
          </cell>
          <cell r="C395">
            <v>12</v>
          </cell>
          <cell r="D395" t="str">
            <v>EK65</v>
          </cell>
          <cell r="E395" t="str">
            <v>525663</v>
          </cell>
          <cell r="F395" t="str">
            <v>E</v>
          </cell>
          <cell r="G395" t="str">
            <v>12496621</v>
          </cell>
          <cell r="H395" t="str">
            <v>JK Hinterlage Niederhalter</v>
          </cell>
          <cell r="I395">
            <v>140</v>
          </cell>
          <cell r="J395" t="str">
            <v>Stk</v>
          </cell>
          <cell r="K395">
            <v>45205</v>
          </cell>
          <cell r="L395" t="str">
            <v>829054</v>
          </cell>
          <cell r="M395" t="str">
            <v/>
          </cell>
          <cell r="N395" t="str">
            <v/>
          </cell>
          <cell r="O395" t="str">
            <v/>
          </cell>
          <cell r="P395" t="str">
            <v/>
          </cell>
          <cell r="Q395" t="str">
            <v/>
          </cell>
          <cell r="R395" t="str">
            <v/>
          </cell>
          <cell r="S395" t="str">
            <v/>
          </cell>
          <cell r="T395" t="str">
            <v/>
          </cell>
          <cell r="U395" t="str">
            <v/>
          </cell>
          <cell r="V395" t="str">
            <v>N52</v>
          </cell>
          <cell r="W395" t="str">
            <v/>
          </cell>
          <cell r="X395" t="str">
            <v/>
          </cell>
          <cell r="Y395" t="str">
            <v/>
          </cell>
          <cell r="Z395" t="str">
            <v/>
          </cell>
          <cell r="AA395" t="str">
            <v/>
          </cell>
          <cell r="AB395" t="str">
            <v>PA_4278947-NB.7005-3</v>
          </cell>
          <cell r="AC395">
            <v>1</v>
          </cell>
          <cell r="AD395" t="str">
            <v/>
          </cell>
          <cell r="AE395">
            <v>0</v>
          </cell>
          <cell r="AF395" t="str">
            <v/>
          </cell>
          <cell r="AG395" t="str">
            <v>12496621</v>
          </cell>
          <cell r="AH395">
            <v>44629.873437499999</v>
          </cell>
          <cell r="AI395" t="str">
            <v>N52</v>
          </cell>
          <cell r="AJ395" t="str">
            <v>F</v>
          </cell>
          <cell r="AK395" t="str">
            <v/>
          </cell>
        </row>
        <row r="396">
          <cell r="A396" t="str">
            <v>12496626829053</v>
          </cell>
          <cell r="B396" t="e">
            <v>#N/A</v>
          </cell>
          <cell r="C396">
            <v>16</v>
          </cell>
          <cell r="D396" t="str">
            <v>EK65</v>
          </cell>
          <cell r="E396" t="str">
            <v>525664</v>
          </cell>
          <cell r="F396" t="str">
            <v>E</v>
          </cell>
          <cell r="G396" t="str">
            <v>12496626</v>
          </cell>
          <cell r="H396" t="str">
            <v>JK Hinterlage Schwenkhebel</v>
          </cell>
          <cell r="I396">
            <v>876</v>
          </cell>
          <cell r="J396" t="str">
            <v>Stk</v>
          </cell>
          <cell r="K396">
            <v>45189</v>
          </cell>
          <cell r="L396" t="str">
            <v>829053</v>
          </cell>
          <cell r="M396" t="str">
            <v/>
          </cell>
          <cell r="N396" t="str">
            <v/>
          </cell>
          <cell r="O396" t="str">
            <v/>
          </cell>
          <cell r="P396" t="str">
            <v/>
          </cell>
          <cell r="Q396" t="str">
            <v/>
          </cell>
          <cell r="R396" t="str">
            <v/>
          </cell>
          <cell r="S396" t="str">
            <v/>
          </cell>
          <cell r="T396" t="str">
            <v/>
          </cell>
          <cell r="U396" t="str">
            <v/>
          </cell>
          <cell r="V396" t="str">
            <v>N52</v>
          </cell>
          <cell r="W396" t="str">
            <v/>
          </cell>
          <cell r="X396" t="str">
            <v/>
          </cell>
          <cell r="Y396" t="str">
            <v/>
          </cell>
          <cell r="Z396" t="str">
            <v/>
          </cell>
          <cell r="AA396" t="str">
            <v/>
          </cell>
          <cell r="AB396" t="str">
            <v>PA_2335400-NB.7005-3</v>
          </cell>
          <cell r="AC396">
            <v>1</v>
          </cell>
          <cell r="AD396" t="str">
            <v/>
          </cell>
          <cell r="AE396">
            <v>0</v>
          </cell>
          <cell r="AF396" t="str">
            <v/>
          </cell>
          <cell r="AG396" t="str">
            <v>12496626</v>
          </cell>
          <cell r="AH396">
            <v>44629.873460648145</v>
          </cell>
          <cell r="AI396" t="str">
            <v>N52</v>
          </cell>
          <cell r="AJ396" t="str">
            <v>F</v>
          </cell>
          <cell r="AK396" t="str">
            <v/>
          </cell>
        </row>
        <row r="397">
          <cell r="A397" t="str">
            <v>12496626829054</v>
          </cell>
          <cell r="B397" t="e">
            <v>#N/A</v>
          </cell>
          <cell r="C397">
            <v>16</v>
          </cell>
          <cell r="D397" t="str">
            <v>EK65</v>
          </cell>
          <cell r="E397" t="str">
            <v>525665</v>
          </cell>
          <cell r="F397" t="str">
            <v>E</v>
          </cell>
          <cell r="G397" t="str">
            <v>12496626</v>
          </cell>
          <cell r="H397" t="str">
            <v>JK Hinterlage Schwenkhebel</v>
          </cell>
          <cell r="I397">
            <v>253</v>
          </cell>
          <cell r="J397" t="str">
            <v>Stk</v>
          </cell>
          <cell r="K397">
            <v>45227</v>
          </cell>
          <cell r="L397" t="str">
            <v>829054</v>
          </cell>
          <cell r="M397" t="str">
            <v/>
          </cell>
          <cell r="N397" t="str">
            <v/>
          </cell>
          <cell r="O397" t="str">
            <v/>
          </cell>
          <cell r="P397" t="str">
            <v/>
          </cell>
          <cell r="Q397" t="str">
            <v/>
          </cell>
          <cell r="R397" t="str">
            <v/>
          </cell>
          <cell r="S397" t="str">
            <v/>
          </cell>
          <cell r="T397" t="str">
            <v/>
          </cell>
          <cell r="U397" t="str">
            <v/>
          </cell>
          <cell r="V397" t="str">
            <v>N52</v>
          </cell>
          <cell r="W397" t="str">
            <v/>
          </cell>
          <cell r="X397" t="str">
            <v/>
          </cell>
          <cell r="Y397" t="str">
            <v/>
          </cell>
          <cell r="Z397" t="str">
            <v/>
          </cell>
          <cell r="AA397" t="str">
            <v/>
          </cell>
          <cell r="AB397" t="str">
            <v>PA_2335400-NB.7005-3</v>
          </cell>
          <cell r="AC397">
            <v>1</v>
          </cell>
          <cell r="AD397" t="str">
            <v/>
          </cell>
          <cell r="AE397">
            <v>0</v>
          </cell>
          <cell r="AF397" t="str">
            <v/>
          </cell>
          <cell r="AG397" t="str">
            <v>12496626</v>
          </cell>
          <cell r="AH397">
            <v>44629.873460648145</v>
          </cell>
          <cell r="AI397" t="str">
            <v>N52</v>
          </cell>
          <cell r="AJ397" t="str">
            <v>F</v>
          </cell>
          <cell r="AK397" t="str">
            <v/>
          </cell>
        </row>
        <row r="398">
          <cell r="A398" t="str">
            <v>12505894829053</v>
          </cell>
          <cell r="B398" t="e">
            <v>#N/A</v>
          </cell>
          <cell r="C398">
            <v>24</v>
          </cell>
          <cell r="D398" t="str">
            <v>EK65</v>
          </cell>
          <cell r="E398" t="str">
            <v>525666</v>
          </cell>
          <cell r="F398" t="str">
            <v>E</v>
          </cell>
          <cell r="G398" t="str">
            <v>12505894</v>
          </cell>
          <cell r="H398" t="str">
            <v>Klemmblech</v>
          </cell>
          <cell r="I398">
            <v>414</v>
          </cell>
          <cell r="J398" t="str">
            <v>Stk</v>
          </cell>
          <cell r="K398">
            <v>45210</v>
          </cell>
          <cell r="L398" t="str">
            <v>829053</v>
          </cell>
          <cell r="M398" t="str">
            <v/>
          </cell>
          <cell r="N398" t="str">
            <v/>
          </cell>
          <cell r="O398" t="str">
            <v/>
          </cell>
          <cell r="P398" t="str">
            <v/>
          </cell>
          <cell r="Q398" t="str">
            <v/>
          </cell>
          <cell r="R398" t="str">
            <v/>
          </cell>
          <cell r="S398" t="str">
            <v/>
          </cell>
          <cell r="T398" t="str">
            <v/>
          </cell>
          <cell r="U398" t="str">
            <v/>
          </cell>
          <cell r="V398" t="str">
            <v>N52</v>
          </cell>
          <cell r="W398" t="str">
            <v/>
          </cell>
          <cell r="X398" t="str">
            <v/>
          </cell>
          <cell r="Y398" t="str">
            <v/>
          </cell>
          <cell r="Z398" t="str">
            <v/>
          </cell>
          <cell r="AA398" t="str">
            <v/>
          </cell>
          <cell r="AB398" t="str">
            <v>PA_2343464-LD.7005-4</v>
          </cell>
          <cell r="AC398">
            <v>1</v>
          </cell>
          <cell r="AD398" t="str">
            <v/>
          </cell>
          <cell r="AE398">
            <v>0</v>
          </cell>
          <cell r="AF398" t="str">
            <v/>
          </cell>
          <cell r="AG398" t="str">
            <v>12505894</v>
          </cell>
          <cell r="AH398">
            <v>44629.873645833337</v>
          </cell>
          <cell r="AI398" t="str">
            <v>N52</v>
          </cell>
          <cell r="AJ398" t="str">
            <v>F</v>
          </cell>
          <cell r="AK398" t="str">
            <v/>
          </cell>
        </row>
        <row r="399">
          <cell r="A399" t="str">
            <v>12505894829054</v>
          </cell>
          <cell r="B399" t="e">
            <v>#N/A</v>
          </cell>
          <cell r="C399">
            <v>24</v>
          </cell>
          <cell r="D399" t="str">
            <v>EK65</v>
          </cell>
          <cell r="E399" t="str">
            <v>525667</v>
          </cell>
          <cell r="F399" t="str">
            <v>E</v>
          </cell>
          <cell r="G399" t="str">
            <v>12505894</v>
          </cell>
          <cell r="H399" t="str">
            <v>Klemmblech</v>
          </cell>
          <cell r="I399">
            <v>139</v>
          </cell>
          <cell r="J399" t="str">
            <v>Stk</v>
          </cell>
          <cell r="K399">
            <v>45218</v>
          </cell>
          <cell r="L399" t="str">
            <v>829054</v>
          </cell>
          <cell r="M399" t="str">
            <v/>
          </cell>
          <cell r="N399" t="str">
            <v/>
          </cell>
          <cell r="O399" t="str">
            <v/>
          </cell>
          <cell r="P399" t="str">
            <v/>
          </cell>
          <cell r="Q399" t="str">
            <v/>
          </cell>
          <cell r="R399" t="str">
            <v/>
          </cell>
          <cell r="S399" t="str">
            <v/>
          </cell>
          <cell r="T399" t="str">
            <v/>
          </cell>
          <cell r="U399" t="str">
            <v/>
          </cell>
          <cell r="V399" t="str">
            <v>N52</v>
          </cell>
          <cell r="W399" t="str">
            <v/>
          </cell>
          <cell r="X399" t="str">
            <v/>
          </cell>
          <cell r="Y399" t="str">
            <v/>
          </cell>
          <cell r="Z399" t="str">
            <v/>
          </cell>
          <cell r="AA399" t="str">
            <v/>
          </cell>
          <cell r="AB399" t="str">
            <v>PA_2343464-LD.7005-4</v>
          </cell>
          <cell r="AC399">
            <v>1</v>
          </cell>
          <cell r="AD399" t="str">
            <v/>
          </cell>
          <cell r="AE399">
            <v>0</v>
          </cell>
          <cell r="AF399" t="str">
            <v/>
          </cell>
          <cell r="AG399" t="str">
            <v>12505894</v>
          </cell>
          <cell r="AH399">
            <v>44629.873645833337</v>
          </cell>
          <cell r="AI399" t="str">
            <v>N52</v>
          </cell>
          <cell r="AJ399" t="str">
            <v>F</v>
          </cell>
          <cell r="AK399" t="str">
            <v/>
          </cell>
        </row>
        <row r="400">
          <cell r="A400" t="str">
            <v>12505894829051</v>
          </cell>
          <cell r="B400" t="e">
            <v>#N/A</v>
          </cell>
          <cell r="C400">
            <v>24</v>
          </cell>
          <cell r="D400" t="str">
            <v>EK65</v>
          </cell>
          <cell r="E400" t="str">
            <v>525668</v>
          </cell>
          <cell r="F400" t="str">
            <v>E</v>
          </cell>
          <cell r="G400" t="str">
            <v>12505894</v>
          </cell>
          <cell r="H400" t="str">
            <v>Klemmblech</v>
          </cell>
          <cell r="I400">
            <v>1086</v>
          </cell>
          <cell r="J400" t="str">
            <v>Stk</v>
          </cell>
          <cell r="K400">
            <v>45324</v>
          </cell>
          <cell r="L400" t="str">
            <v>829051</v>
          </cell>
          <cell r="M400" t="str">
            <v/>
          </cell>
          <cell r="N400" t="str">
            <v/>
          </cell>
          <cell r="O400" t="str">
            <v/>
          </cell>
          <cell r="P400" t="str">
            <v/>
          </cell>
          <cell r="Q400" t="str">
            <v/>
          </cell>
          <cell r="R400" t="str">
            <v/>
          </cell>
          <cell r="S400" t="str">
            <v/>
          </cell>
          <cell r="T400" t="str">
            <v/>
          </cell>
          <cell r="U400" t="str">
            <v/>
          </cell>
          <cell r="V400" t="str">
            <v>N52</v>
          </cell>
          <cell r="W400" t="str">
            <v/>
          </cell>
          <cell r="X400" t="str">
            <v/>
          </cell>
          <cell r="Y400" t="str">
            <v/>
          </cell>
          <cell r="Z400" t="str">
            <v/>
          </cell>
          <cell r="AA400" t="str">
            <v/>
          </cell>
          <cell r="AB400" t="str">
            <v>PA_2343464-LD.7005-4</v>
          </cell>
          <cell r="AC400">
            <v>1</v>
          </cell>
          <cell r="AD400" t="str">
            <v/>
          </cell>
          <cell r="AE400">
            <v>0</v>
          </cell>
          <cell r="AF400" t="str">
            <v/>
          </cell>
          <cell r="AG400" t="str">
            <v>12505894</v>
          </cell>
          <cell r="AH400">
            <v>44629.873645833337</v>
          </cell>
          <cell r="AI400" t="str">
            <v>N52</v>
          </cell>
          <cell r="AJ400" t="str">
            <v>F</v>
          </cell>
          <cell r="AK400" t="str">
            <v/>
          </cell>
        </row>
        <row r="401">
          <cell r="A401" t="str">
            <v>12505894829052</v>
          </cell>
          <cell r="B401" t="e">
            <v>#N/A</v>
          </cell>
          <cell r="C401">
            <v>24</v>
          </cell>
          <cell r="D401" t="str">
            <v>EK65</v>
          </cell>
          <cell r="E401" t="str">
            <v>525669</v>
          </cell>
          <cell r="F401" t="str">
            <v>E</v>
          </cell>
          <cell r="G401" t="str">
            <v>12505894</v>
          </cell>
          <cell r="H401" t="str">
            <v>Klemmblech</v>
          </cell>
          <cell r="I401">
            <v>372</v>
          </cell>
          <cell r="J401" t="str">
            <v>Stk</v>
          </cell>
          <cell r="K401">
            <v>45357</v>
          </cell>
          <cell r="L401" t="str">
            <v>829052</v>
          </cell>
          <cell r="M401" t="str">
            <v/>
          </cell>
          <cell r="N401" t="str">
            <v/>
          </cell>
          <cell r="O401" t="str">
            <v/>
          </cell>
          <cell r="P401" t="str">
            <v/>
          </cell>
          <cell r="Q401" t="str">
            <v/>
          </cell>
          <cell r="R401" t="str">
            <v/>
          </cell>
          <cell r="S401" t="str">
            <v/>
          </cell>
          <cell r="T401" t="str">
            <v/>
          </cell>
          <cell r="U401" t="str">
            <v/>
          </cell>
          <cell r="V401" t="str">
            <v>N52</v>
          </cell>
          <cell r="W401" t="str">
            <v/>
          </cell>
          <cell r="X401" t="str">
            <v/>
          </cell>
          <cell r="Y401" t="str">
            <v/>
          </cell>
          <cell r="Z401" t="str">
            <v/>
          </cell>
          <cell r="AA401" t="str">
            <v/>
          </cell>
          <cell r="AB401" t="str">
            <v>PA_2343464-LD.7005-4</v>
          </cell>
          <cell r="AC401">
            <v>1</v>
          </cell>
          <cell r="AD401" t="str">
            <v/>
          </cell>
          <cell r="AE401">
            <v>0</v>
          </cell>
          <cell r="AF401" t="str">
            <v/>
          </cell>
          <cell r="AG401" t="str">
            <v>12505894</v>
          </cell>
          <cell r="AH401">
            <v>44629.873645833337</v>
          </cell>
          <cell r="AI401" t="str">
            <v>N52</v>
          </cell>
          <cell r="AJ401" t="str">
            <v>F</v>
          </cell>
          <cell r="AK401" t="str">
            <v/>
          </cell>
        </row>
        <row r="402">
          <cell r="A402" t="str">
            <v>12506504829053</v>
          </cell>
          <cell r="B402" t="e">
            <v>#N/A</v>
          </cell>
          <cell r="C402">
            <v>12</v>
          </cell>
          <cell r="D402" t="str">
            <v>EK65</v>
          </cell>
          <cell r="E402" t="str">
            <v>525670</v>
          </cell>
          <cell r="F402" t="str">
            <v>E</v>
          </cell>
          <cell r="G402" t="str">
            <v>12506504</v>
          </cell>
          <cell r="H402" t="str">
            <v>Abdichtwinkel</v>
          </cell>
          <cell r="I402">
            <v>310</v>
          </cell>
          <cell r="J402" t="str">
            <v>Stk</v>
          </cell>
          <cell r="K402">
            <v>45198</v>
          </cell>
          <cell r="L402" t="str">
            <v>829053</v>
          </cell>
          <cell r="M402" t="str">
            <v/>
          </cell>
          <cell r="N402" t="str">
            <v/>
          </cell>
          <cell r="O402" t="str">
            <v/>
          </cell>
          <cell r="P402" t="str">
            <v/>
          </cell>
          <cell r="Q402" t="str">
            <v/>
          </cell>
          <cell r="R402" t="str">
            <v/>
          </cell>
          <cell r="S402" t="str">
            <v/>
          </cell>
          <cell r="T402" t="str">
            <v/>
          </cell>
          <cell r="U402" t="str">
            <v/>
          </cell>
          <cell r="V402" t="str">
            <v>N52</v>
          </cell>
          <cell r="W402" t="str">
            <v/>
          </cell>
          <cell r="X402" t="str">
            <v/>
          </cell>
          <cell r="Y402" t="str">
            <v/>
          </cell>
          <cell r="Z402" t="str">
            <v/>
          </cell>
          <cell r="AA402" t="str">
            <v/>
          </cell>
          <cell r="AB402" t="str">
            <v>PA_4510607-CC.7005-3</v>
          </cell>
          <cell r="AC402">
            <v>1</v>
          </cell>
          <cell r="AD402" t="str">
            <v/>
          </cell>
          <cell r="AE402">
            <v>0</v>
          </cell>
          <cell r="AF402" t="str">
            <v/>
          </cell>
          <cell r="AG402" t="str">
            <v>12506504</v>
          </cell>
          <cell r="AH402">
            <v>44629.873703703706</v>
          </cell>
          <cell r="AI402" t="str">
            <v>N52</v>
          </cell>
          <cell r="AJ402" t="str">
            <v>F</v>
          </cell>
          <cell r="AK402" t="str">
            <v/>
          </cell>
        </row>
        <row r="403">
          <cell r="A403" t="str">
            <v>12506504829054</v>
          </cell>
          <cell r="B403" t="e">
            <v>#N/A</v>
          </cell>
          <cell r="C403">
            <v>12</v>
          </cell>
          <cell r="D403" t="str">
            <v>EK65</v>
          </cell>
          <cell r="E403" t="str">
            <v>525671</v>
          </cell>
          <cell r="F403" t="str">
            <v>E</v>
          </cell>
          <cell r="G403" t="str">
            <v>12506504</v>
          </cell>
          <cell r="H403" t="str">
            <v>Abdichtwinkel</v>
          </cell>
          <cell r="I403">
            <v>139</v>
          </cell>
          <cell r="J403" t="str">
            <v>Stk</v>
          </cell>
          <cell r="K403">
            <v>45211</v>
          </cell>
          <cell r="L403" t="str">
            <v>829054</v>
          </cell>
          <cell r="M403" t="str">
            <v/>
          </cell>
          <cell r="N403" t="str">
            <v/>
          </cell>
          <cell r="O403" t="str">
            <v/>
          </cell>
          <cell r="P403" t="str">
            <v/>
          </cell>
          <cell r="Q403" t="str">
            <v/>
          </cell>
          <cell r="R403" t="str">
            <v/>
          </cell>
          <cell r="S403" t="str">
            <v/>
          </cell>
          <cell r="T403" t="str">
            <v/>
          </cell>
          <cell r="U403" t="str">
            <v/>
          </cell>
          <cell r="V403" t="str">
            <v>N52</v>
          </cell>
          <cell r="W403" t="str">
            <v/>
          </cell>
          <cell r="X403" t="str">
            <v/>
          </cell>
          <cell r="Y403" t="str">
            <v/>
          </cell>
          <cell r="Z403" t="str">
            <v/>
          </cell>
          <cell r="AA403" t="str">
            <v/>
          </cell>
          <cell r="AB403" t="str">
            <v>PA_4510607-CC.7005-3</v>
          </cell>
          <cell r="AC403">
            <v>1</v>
          </cell>
          <cell r="AD403" t="str">
            <v/>
          </cell>
          <cell r="AE403">
            <v>0</v>
          </cell>
          <cell r="AF403" t="str">
            <v/>
          </cell>
          <cell r="AG403" t="str">
            <v>12506504</v>
          </cell>
          <cell r="AH403">
            <v>44629.873703703706</v>
          </cell>
          <cell r="AI403" t="str">
            <v>N52</v>
          </cell>
          <cell r="AJ403" t="str">
            <v>F</v>
          </cell>
          <cell r="AK403" t="str">
            <v/>
          </cell>
        </row>
        <row r="404">
          <cell r="A404" t="str">
            <v>12518249829053</v>
          </cell>
          <cell r="B404" t="e">
            <v>#N/A</v>
          </cell>
          <cell r="C404">
            <v>12</v>
          </cell>
          <cell r="D404" t="str">
            <v>EK65</v>
          </cell>
          <cell r="E404" t="str">
            <v>525672</v>
          </cell>
          <cell r="F404" t="str">
            <v>E</v>
          </cell>
          <cell r="G404" t="str">
            <v>12518249</v>
          </cell>
          <cell r="H404" t="str">
            <v>Halter</v>
          </cell>
          <cell r="I404">
            <v>206</v>
          </cell>
          <cell r="J404" t="str">
            <v>Stk</v>
          </cell>
          <cell r="K404">
            <v>45210</v>
          </cell>
          <cell r="L404" t="str">
            <v>829053</v>
          </cell>
          <cell r="M404" t="str">
            <v/>
          </cell>
          <cell r="N404" t="str">
            <v/>
          </cell>
          <cell r="O404" t="str">
            <v/>
          </cell>
          <cell r="P404" t="str">
            <v/>
          </cell>
          <cell r="Q404" t="str">
            <v/>
          </cell>
          <cell r="R404" t="str">
            <v/>
          </cell>
          <cell r="S404" t="str">
            <v/>
          </cell>
          <cell r="T404" t="str">
            <v/>
          </cell>
          <cell r="U404" t="str">
            <v/>
          </cell>
          <cell r="V404" t="str">
            <v>N52</v>
          </cell>
          <cell r="W404" t="str">
            <v/>
          </cell>
          <cell r="X404" t="str">
            <v/>
          </cell>
          <cell r="Y404" t="str">
            <v/>
          </cell>
          <cell r="Z404" t="str">
            <v/>
          </cell>
          <cell r="AA404" t="str">
            <v/>
          </cell>
          <cell r="AB404" t="str">
            <v>PA_2340622-TB.7005-3</v>
          </cell>
          <cell r="AC404">
            <v>1</v>
          </cell>
          <cell r="AD404" t="str">
            <v/>
          </cell>
          <cell r="AE404">
            <v>0</v>
          </cell>
          <cell r="AF404" t="str">
            <v/>
          </cell>
          <cell r="AG404" t="str">
            <v>12518249</v>
          </cell>
          <cell r="AH404">
            <v>44629.874212962961</v>
          </cell>
          <cell r="AI404" t="str">
            <v>N52</v>
          </cell>
          <cell r="AJ404" t="str">
            <v>F</v>
          </cell>
          <cell r="AK404" t="str">
            <v/>
          </cell>
        </row>
        <row r="405">
          <cell r="A405" t="str">
            <v>12518249829054</v>
          </cell>
          <cell r="B405" t="e">
            <v>#N/A</v>
          </cell>
          <cell r="C405">
            <v>12</v>
          </cell>
          <cell r="D405" t="str">
            <v>EK65</v>
          </cell>
          <cell r="E405" t="str">
            <v>525673</v>
          </cell>
          <cell r="F405" t="str">
            <v>E</v>
          </cell>
          <cell r="G405" t="str">
            <v>12518249</v>
          </cell>
          <cell r="H405" t="str">
            <v>Halter</v>
          </cell>
          <cell r="I405">
            <v>69</v>
          </cell>
          <cell r="J405" t="str">
            <v>Stk</v>
          </cell>
          <cell r="K405">
            <v>45218</v>
          </cell>
          <cell r="L405" t="str">
            <v>829054</v>
          </cell>
          <cell r="M405" t="str">
            <v/>
          </cell>
          <cell r="N405" t="str">
            <v/>
          </cell>
          <cell r="O405" t="str">
            <v/>
          </cell>
          <cell r="P405" t="str">
            <v/>
          </cell>
          <cell r="Q405" t="str">
            <v/>
          </cell>
          <cell r="R405" t="str">
            <v/>
          </cell>
          <cell r="S405" t="str">
            <v/>
          </cell>
          <cell r="T405" t="str">
            <v/>
          </cell>
          <cell r="U405" t="str">
            <v/>
          </cell>
          <cell r="V405" t="str">
            <v>N52</v>
          </cell>
          <cell r="W405" t="str">
            <v/>
          </cell>
          <cell r="X405" t="str">
            <v/>
          </cell>
          <cell r="Y405" t="str">
            <v/>
          </cell>
          <cell r="Z405" t="str">
            <v/>
          </cell>
          <cell r="AA405" t="str">
            <v/>
          </cell>
          <cell r="AB405" t="str">
            <v>PA_2340622-TB.7005-3</v>
          </cell>
          <cell r="AC405">
            <v>1</v>
          </cell>
          <cell r="AD405" t="str">
            <v/>
          </cell>
          <cell r="AE405">
            <v>0</v>
          </cell>
          <cell r="AF405" t="str">
            <v/>
          </cell>
          <cell r="AG405" t="str">
            <v>12518249</v>
          </cell>
          <cell r="AH405">
            <v>44629.874212962961</v>
          </cell>
          <cell r="AI405" t="str">
            <v>N52</v>
          </cell>
          <cell r="AJ405" t="str">
            <v>F</v>
          </cell>
          <cell r="AK405" t="str">
            <v/>
          </cell>
        </row>
        <row r="406">
          <cell r="A406" t="str">
            <v>12518258829054</v>
          </cell>
          <cell r="B406" t="e">
            <v>#N/A</v>
          </cell>
          <cell r="C406">
            <v>8</v>
          </cell>
          <cell r="D406" t="str">
            <v>EK65</v>
          </cell>
          <cell r="E406" t="str">
            <v>525674</v>
          </cell>
          <cell r="F406" t="str">
            <v>E</v>
          </cell>
          <cell r="G406" t="str">
            <v>12518258</v>
          </cell>
          <cell r="H406" t="str">
            <v>Halter</v>
          </cell>
          <cell r="I406">
            <v>101</v>
          </cell>
          <cell r="J406" t="str">
            <v>Stk</v>
          </cell>
          <cell r="K406">
            <v>45141</v>
          </cell>
          <cell r="L406" t="str">
            <v>829054</v>
          </cell>
          <cell r="M406" t="str">
            <v/>
          </cell>
          <cell r="N406" t="str">
            <v/>
          </cell>
          <cell r="O406" t="str">
            <v/>
          </cell>
          <cell r="P406" t="str">
            <v/>
          </cell>
          <cell r="Q406" t="str">
            <v/>
          </cell>
          <cell r="R406" t="str">
            <v/>
          </cell>
          <cell r="S406" t="str">
            <v/>
          </cell>
          <cell r="T406" t="str">
            <v/>
          </cell>
          <cell r="U406" t="str">
            <v/>
          </cell>
          <cell r="V406" t="str">
            <v>N52</v>
          </cell>
          <cell r="W406" t="str">
            <v/>
          </cell>
          <cell r="X406" t="str">
            <v/>
          </cell>
          <cell r="Y406" t="str">
            <v/>
          </cell>
          <cell r="Z406" t="str">
            <v/>
          </cell>
          <cell r="AA406" t="str">
            <v/>
          </cell>
          <cell r="AB406" t="str">
            <v>PA_2343607-TC.7005-2</v>
          </cell>
          <cell r="AC406">
            <v>1</v>
          </cell>
          <cell r="AD406" t="str">
            <v/>
          </cell>
          <cell r="AE406">
            <v>0</v>
          </cell>
          <cell r="AF406" t="str">
            <v/>
          </cell>
          <cell r="AG406" t="str">
            <v>12518258</v>
          </cell>
          <cell r="AH406">
            <v>44629.874305555553</v>
          </cell>
          <cell r="AI406" t="str">
            <v>N52</v>
          </cell>
          <cell r="AJ406" t="str">
            <v>F</v>
          </cell>
          <cell r="AK406" t="str">
            <v/>
          </cell>
        </row>
        <row r="407">
          <cell r="A407" t="str">
            <v>12518258829053</v>
          </cell>
          <cell r="B407" t="e">
            <v>#N/A</v>
          </cell>
          <cell r="C407">
            <v>8</v>
          </cell>
          <cell r="D407" t="str">
            <v>EK65</v>
          </cell>
          <cell r="E407" t="str">
            <v>525675</v>
          </cell>
          <cell r="F407" t="str">
            <v>E</v>
          </cell>
          <cell r="G407" t="str">
            <v>12518258</v>
          </cell>
          <cell r="H407" t="str">
            <v>Halter</v>
          </cell>
          <cell r="I407">
            <v>176</v>
          </cell>
          <cell r="J407" t="str">
            <v>Stk</v>
          </cell>
          <cell r="K407">
            <v>45239</v>
          </cell>
          <cell r="L407" t="str">
            <v>829053</v>
          </cell>
          <cell r="M407" t="str">
            <v/>
          </cell>
          <cell r="N407" t="str">
            <v/>
          </cell>
          <cell r="O407" t="str">
            <v/>
          </cell>
          <cell r="P407" t="str">
            <v/>
          </cell>
          <cell r="Q407" t="str">
            <v/>
          </cell>
          <cell r="R407" t="str">
            <v/>
          </cell>
          <cell r="S407" t="str">
            <v/>
          </cell>
          <cell r="T407" t="str">
            <v/>
          </cell>
          <cell r="U407" t="str">
            <v/>
          </cell>
          <cell r="V407" t="str">
            <v>N52</v>
          </cell>
          <cell r="W407" t="str">
            <v/>
          </cell>
          <cell r="X407" t="str">
            <v/>
          </cell>
          <cell r="Y407" t="str">
            <v/>
          </cell>
          <cell r="Z407" t="str">
            <v/>
          </cell>
          <cell r="AA407" t="str">
            <v/>
          </cell>
          <cell r="AB407" t="str">
            <v>PA_2343607-TC.7005-2</v>
          </cell>
          <cell r="AC407">
            <v>1</v>
          </cell>
          <cell r="AD407" t="str">
            <v/>
          </cell>
          <cell r="AE407">
            <v>0</v>
          </cell>
          <cell r="AF407" t="str">
            <v/>
          </cell>
          <cell r="AG407" t="str">
            <v>12518258</v>
          </cell>
          <cell r="AH407">
            <v>44629.874305555553</v>
          </cell>
          <cell r="AI407" t="str">
            <v>N52</v>
          </cell>
          <cell r="AJ407" t="str">
            <v>F</v>
          </cell>
          <cell r="AK407" t="str">
            <v/>
          </cell>
        </row>
        <row r="408">
          <cell r="A408" t="str">
            <v>12520420829053</v>
          </cell>
          <cell r="B408" t="e">
            <v>#N/A</v>
          </cell>
          <cell r="C408">
            <v>12</v>
          </cell>
          <cell r="D408" t="str">
            <v>EK65</v>
          </cell>
          <cell r="E408" t="str">
            <v>525676</v>
          </cell>
          <cell r="F408" t="str">
            <v>E</v>
          </cell>
          <cell r="G408" t="str">
            <v>12520420</v>
          </cell>
          <cell r="H408" t="str">
            <v>Halter</v>
          </cell>
          <cell r="I408">
            <v>321</v>
          </cell>
          <cell r="J408" t="str">
            <v>Stk</v>
          </cell>
          <cell r="K408">
            <v>45195</v>
          </cell>
          <cell r="L408" t="str">
            <v>829053</v>
          </cell>
          <cell r="M408" t="str">
            <v/>
          </cell>
          <cell r="N408" t="str">
            <v/>
          </cell>
          <cell r="O408" t="str">
            <v/>
          </cell>
          <cell r="P408" t="str">
            <v/>
          </cell>
          <cell r="Q408" t="str">
            <v/>
          </cell>
          <cell r="R408" t="str">
            <v/>
          </cell>
          <cell r="S408" t="str">
            <v/>
          </cell>
          <cell r="T408" t="str">
            <v/>
          </cell>
          <cell r="U408" t="str">
            <v/>
          </cell>
          <cell r="V408" t="str">
            <v>N52</v>
          </cell>
          <cell r="W408" t="str">
            <v/>
          </cell>
          <cell r="X408" t="str">
            <v/>
          </cell>
          <cell r="Y408" t="str">
            <v/>
          </cell>
          <cell r="Z408" t="str">
            <v/>
          </cell>
          <cell r="AA408" t="str">
            <v/>
          </cell>
          <cell r="AB408" t="str">
            <v>PA_4466222-UA.7005-3</v>
          </cell>
          <cell r="AC408">
            <v>1</v>
          </cell>
          <cell r="AD408" t="str">
            <v/>
          </cell>
          <cell r="AE408">
            <v>0</v>
          </cell>
          <cell r="AF408" t="str">
            <v/>
          </cell>
          <cell r="AG408" t="str">
            <v>12520420</v>
          </cell>
          <cell r="AH408">
            <v>44629.874571759261</v>
          </cell>
          <cell r="AI408" t="str">
            <v>N52</v>
          </cell>
          <cell r="AJ408" t="str">
            <v>F</v>
          </cell>
          <cell r="AK408" t="str">
            <v/>
          </cell>
        </row>
        <row r="409">
          <cell r="A409" t="str">
            <v>12520420829054</v>
          </cell>
          <cell r="B409" t="e">
            <v>#N/A</v>
          </cell>
          <cell r="C409">
            <v>12</v>
          </cell>
          <cell r="D409" t="str">
            <v>EK65</v>
          </cell>
          <cell r="E409" t="str">
            <v>525677</v>
          </cell>
          <cell r="F409" t="str">
            <v>E</v>
          </cell>
          <cell r="G409" t="str">
            <v>12520420</v>
          </cell>
          <cell r="H409" t="str">
            <v>Halter</v>
          </cell>
          <cell r="I409">
            <v>96</v>
          </cell>
          <cell r="J409" t="str">
            <v>Stk</v>
          </cell>
          <cell r="K409">
            <v>45231</v>
          </cell>
          <cell r="L409" t="str">
            <v>829054</v>
          </cell>
          <cell r="M409" t="str">
            <v/>
          </cell>
          <cell r="N409" t="str">
            <v/>
          </cell>
          <cell r="O409" t="str">
            <v/>
          </cell>
          <cell r="P409" t="str">
            <v/>
          </cell>
          <cell r="Q409" t="str">
            <v/>
          </cell>
          <cell r="R409" t="str">
            <v/>
          </cell>
          <cell r="S409" t="str">
            <v/>
          </cell>
          <cell r="T409" t="str">
            <v/>
          </cell>
          <cell r="U409" t="str">
            <v/>
          </cell>
          <cell r="V409" t="str">
            <v>N52</v>
          </cell>
          <cell r="W409" t="str">
            <v/>
          </cell>
          <cell r="X409" t="str">
            <v/>
          </cell>
          <cell r="Y409" t="str">
            <v/>
          </cell>
          <cell r="Z409" t="str">
            <v/>
          </cell>
          <cell r="AA409" t="str">
            <v/>
          </cell>
          <cell r="AB409" t="str">
            <v>PA_4466222-UA.7005-3</v>
          </cell>
          <cell r="AC409">
            <v>1</v>
          </cell>
          <cell r="AD409" t="str">
            <v/>
          </cell>
          <cell r="AE409">
            <v>0</v>
          </cell>
          <cell r="AF409" t="str">
            <v/>
          </cell>
          <cell r="AG409" t="str">
            <v>12520420</v>
          </cell>
          <cell r="AH409">
            <v>44629.874571759261</v>
          </cell>
          <cell r="AI409" t="str">
            <v>N52</v>
          </cell>
          <cell r="AJ409" t="str">
            <v>F</v>
          </cell>
          <cell r="AK409" t="str">
            <v/>
          </cell>
        </row>
        <row r="410">
          <cell r="A410" t="str">
            <v>12520504829053</v>
          </cell>
          <cell r="B410" t="e">
            <v>#N/A</v>
          </cell>
          <cell r="C410">
            <v>24</v>
          </cell>
          <cell r="D410" t="str">
            <v>EK65</v>
          </cell>
          <cell r="E410" t="str">
            <v>525678</v>
          </cell>
          <cell r="F410" t="str">
            <v>E</v>
          </cell>
          <cell r="G410" t="str">
            <v>12520504</v>
          </cell>
          <cell r="H410" t="str">
            <v>Steckerblech</v>
          </cell>
          <cell r="I410">
            <v>101</v>
          </cell>
          <cell r="J410" t="str">
            <v>Stk</v>
          </cell>
          <cell r="K410">
            <v>45198</v>
          </cell>
          <cell r="L410" t="str">
            <v>829053</v>
          </cell>
          <cell r="M410" t="str">
            <v/>
          </cell>
          <cell r="N410" t="str">
            <v/>
          </cell>
          <cell r="O410" t="str">
            <v/>
          </cell>
          <cell r="P410" t="str">
            <v/>
          </cell>
          <cell r="Q410" t="str">
            <v/>
          </cell>
          <cell r="R410" t="str">
            <v/>
          </cell>
          <cell r="S410" t="str">
            <v/>
          </cell>
          <cell r="T410" t="str">
            <v/>
          </cell>
          <cell r="U410" t="str">
            <v/>
          </cell>
          <cell r="V410" t="str">
            <v>N52</v>
          </cell>
          <cell r="W410" t="str">
            <v/>
          </cell>
          <cell r="X410" t="str">
            <v/>
          </cell>
          <cell r="Y410" t="str">
            <v/>
          </cell>
          <cell r="Z410" t="str">
            <v/>
          </cell>
          <cell r="AA410" t="str">
            <v/>
          </cell>
          <cell r="AB410" t="str">
            <v>PA_4522108-UA.7005-3</v>
          </cell>
          <cell r="AC410">
            <v>1</v>
          </cell>
          <cell r="AD410" t="str">
            <v/>
          </cell>
          <cell r="AE410">
            <v>0</v>
          </cell>
          <cell r="AF410" t="str">
            <v/>
          </cell>
          <cell r="AG410" t="str">
            <v>12520504</v>
          </cell>
          <cell r="AH410">
            <v>44629.874594907407</v>
          </cell>
          <cell r="AI410" t="str">
            <v>N52</v>
          </cell>
          <cell r="AJ410" t="str">
            <v>F</v>
          </cell>
          <cell r="AK410" t="str">
            <v/>
          </cell>
        </row>
        <row r="411">
          <cell r="A411" t="str">
            <v>12520504829054</v>
          </cell>
          <cell r="B411" t="e">
            <v>#N/A</v>
          </cell>
          <cell r="C411">
            <v>24</v>
          </cell>
          <cell r="D411" t="str">
            <v>EK65</v>
          </cell>
          <cell r="E411" t="str">
            <v>525679</v>
          </cell>
          <cell r="F411" t="str">
            <v>E</v>
          </cell>
          <cell r="G411" t="str">
            <v>12520504</v>
          </cell>
          <cell r="H411" t="str">
            <v>Steckerblech</v>
          </cell>
          <cell r="I411">
            <v>18</v>
          </cell>
          <cell r="J411" t="str">
            <v>Stk</v>
          </cell>
          <cell r="K411">
            <v>45209</v>
          </cell>
          <cell r="L411" t="str">
            <v>829054</v>
          </cell>
          <cell r="M411" t="str">
            <v/>
          </cell>
          <cell r="N411" t="str">
            <v/>
          </cell>
          <cell r="O411" t="str">
            <v/>
          </cell>
          <cell r="P411" t="str">
            <v/>
          </cell>
          <cell r="Q411" t="str">
            <v/>
          </cell>
          <cell r="R411" t="str">
            <v/>
          </cell>
          <cell r="S411" t="str">
            <v/>
          </cell>
          <cell r="T411" t="str">
            <v/>
          </cell>
          <cell r="U411" t="str">
            <v/>
          </cell>
          <cell r="V411" t="str">
            <v>N52</v>
          </cell>
          <cell r="W411" t="str">
            <v/>
          </cell>
          <cell r="X411" t="str">
            <v/>
          </cell>
          <cell r="Y411" t="str">
            <v/>
          </cell>
          <cell r="Z411" t="str">
            <v/>
          </cell>
          <cell r="AA411" t="str">
            <v/>
          </cell>
          <cell r="AB411" t="str">
            <v>PA_4522108-UA.7005-3</v>
          </cell>
          <cell r="AC411">
            <v>1</v>
          </cell>
          <cell r="AD411" t="str">
            <v/>
          </cell>
          <cell r="AE411">
            <v>0</v>
          </cell>
          <cell r="AF411" t="str">
            <v/>
          </cell>
          <cell r="AG411" t="str">
            <v>12520504</v>
          </cell>
          <cell r="AH411">
            <v>44629.874594907407</v>
          </cell>
          <cell r="AI411" t="str">
            <v>N52</v>
          </cell>
          <cell r="AJ411" t="str">
            <v>F</v>
          </cell>
          <cell r="AK411" t="str">
            <v/>
          </cell>
        </row>
        <row r="412">
          <cell r="A412" t="str">
            <v>12528009829053</v>
          </cell>
          <cell r="B412" t="e">
            <v>#N/A</v>
          </cell>
          <cell r="C412">
            <v>10</v>
          </cell>
          <cell r="D412" t="str">
            <v>EK65</v>
          </cell>
          <cell r="E412" t="str">
            <v>525682</v>
          </cell>
          <cell r="F412" t="str">
            <v>E</v>
          </cell>
          <cell r="G412" t="str">
            <v>12528009</v>
          </cell>
          <cell r="H412" t="str">
            <v>Halter</v>
          </cell>
          <cell r="I412">
            <v>427</v>
          </cell>
          <cell r="J412" t="str">
            <v>Stk</v>
          </cell>
          <cell r="K412">
            <v>45195</v>
          </cell>
          <cell r="L412" t="str">
            <v>829053</v>
          </cell>
          <cell r="M412" t="str">
            <v/>
          </cell>
          <cell r="N412" t="str">
            <v/>
          </cell>
          <cell r="O412" t="str">
            <v/>
          </cell>
          <cell r="P412" t="str">
            <v/>
          </cell>
          <cell r="Q412" t="str">
            <v/>
          </cell>
          <cell r="R412" t="str">
            <v/>
          </cell>
          <cell r="S412" t="str">
            <v/>
          </cell>
          <cell r="T412" t="str">
            <v/>
          </cell>
          <cell r="U412" t="str">
            <v/>
          </cell>
          <cell r="V412" t="str">
            <v>N52</v>
          </cell>
          <cell r="W412" t="str">
            <v/>
          </cell>
          <cell r="X412" t="str">
            <v/>
          </cell>
          <cell r="Y412" t="str">
            <v/>
          </cell>
          <cell r="Z412" t="str">
            <v/>
          </cell>
          <cell r="AA412" t="str">
            <v/>
          </cell>
          <cell r="AB412" t="str">
            <v>PA_4444688-UA.7005-3</v>
          </cell>
          <cell r="AC412">
            <v>1</v>
          </cell>
          <cell r="AD412" t="str">
            <v/>
          </cell>
          <cell r="AE412">
            <v>0</v>
          </cell>
          <cell r="AF412" t="str">
            <v/>
          </cell>
          <cell r="AG412" t="str">
            <v>12528009</v>
          </cell>
          <cell r="AH412">
            <v>44629.8747337963</v>
          </cell>
          <cell r="AI412" t="str">
            <v>N52</v>
          </cell>
          <cell r="AJ412" t="str">
            <v>F</v>
          </cell>
          <cell r="AK412" t="str">
            <v/>
          </cell>
        </row>
        <row r="413">
          <cell r="A413" t="str">
            <v>12528009829054</v>
          </cell>
          <cell r="B413" t="e">
            <v>#N/A</v>
          </cell>
          <cell r="C413">
            <v>10</v>
          </cell>
          <cell r="D413" t="str">
            <v>EK65</v>
          </cell>
          <cell r="E413" t="str">
            <v>525683</v>
          </cell>
          <cell r="F413" t="str">
            <v>E</v>
          </cell>
          <cell r="G413" t="str">
            <v>12528009</v>
          </cell>
          <cell r="H413" t="str">
            <v>Halter</v>
          </cell>
          <cell r="I413">
            <v>272</v>
          </cell>
          <cell r="J413" t="str">
            <v>Stk</v>
          </cell>
          <cell r="K413">
            <v>45210</v>
          </cell>
          <cell r="L413" t="str">
            <v>829054</v>
          </cell>
          <cell r="M413" t="str">
            <v/>
          </cell>
          <cell r="N413" t="str">
            <v/>
          </cell>
          <cell r="O413" t="str">
            <v/>
          </cell>
          <cell r="P413" t="str">
            <v/>
          </cell>
          <cell r="Q413" t="str">
            <v/>
          </cell>
          <cell r="R413" t="str">
            <v/>
          </cell>
          <cell r="S413" t="str">
            <v/>
          </cell>
          <cell r="T413" t="str">
            <v/>
          </cell>
          <cell r="U413" t="str">
            <v/>
          </cell>
          <cell r="V413" t="str">
            <v>N52</v>
          </cell>
          <cell r="W413" t="str">
            <v/>
          </cell>
          <cell r="X413" t="str">
            <v/>
          </cell>
          <cell r="Y413" t="str">
            <v/>
          </cell>
          <cell r="Z413" t="str">
            <v/>
          </cell>
          <cell r="AA413" t="str">
            <v/>
          </cell>
          <cell r="AB413" t="str">
            <v>PA_4444688-UA.7005-3</v>
          </cell>
          <cell r="AC413">
            <v>1</v>
          </cell>
          <cell r="AD413" t="str">
            <v/>
          </cell>
          <cell r="AE413">
            <v>0</v>
          </cell>
          <cell r="AF413" t="str">
            <v/>
          </cell>
          <cell r="AG413" t="str">
            <v>12528009</v>
          </cell>
          <cell r="AH413">
            <v>44629.8747337963</v>
          </cell>
          <cell r="AI413" t="str">
            <v>N52</v>
          </cell>
          <cell r="AJ413" t="str">
            <v>F</v>
          </cell>
          <cell r="AK413" t="str">
            <v/>
          </cell>
        </row>
        <row r="414">
          <cell r="A414" t="str">
            <v>12528102829053</v>
          </cell>
          <cell r="B414" t="e">
            <v>#N/A</v>
          </cell>
          <cell r="C414">
            <v>20</v>
          </cell>
          <cell r="D414" t="str">
            <v>EK65</v>
          </cell>
          <cell r="E414" t="str">
            <v>525686</v>
          </cell>
          <cell r="F414" t="str">
            <v>E</v>
          </cell>
          <cell r="G414" t="str">
            <v>12528102</v>
          </cell>
          <cell r="H414" t="str">
            <v>Blech</v>
          </cell>
          <cell r="I414">
            <v>2543</v>
          </cell>
          <cell r="J414" t="str">
            <v>Stk</v>
          </cell>
          <cell r="K414">
            <v>45197</v>
          </cell>
          <cell r="L414" t="str">
            <v>829053</v>
          </cell>
          <cell r="M414" t="str">
            <v/>
          </cell>
          <cell r="N414" t="str">
            <v/>
          </cell>
          <cell r="O414" t="str">
            <v/>
          </cell>
          <cell r="P414" t="str">
            <v/>
          </cell>
          <cell r="Q414" t="str">
            <v/>
          </cell>
          <cell r="R414" t="str">
            <v/>
          </cell>
          <cell r="S414" t="str">
            <v/>
          </cell>
          <cell r="T414" t="str">
            <v/>
          </cell>
          <cell r="U414" t="str">
            <v/>
          </cell>
          <cell r="V414" t="str">
            <v>N52</v>
          </cell>
          <cell r="W414" t="str">
            <v/>
          </cell>
          <cell r="X414" t="str">
            <v/>
          </cell>
          <cell r="Y414" t="str">
            <v/>
          </cell>
          <cell r="Z414" t="str">
            <v/>
          </cell>
          <cell r="AA414" t="str">
            <v/>
          </cell>
          <cell r="AB414" t="str">
            <v>PA_4512493-UA.7005-4</v>
          </cell>
          <cell r="AC414">
            <v>4</v>
          </cell>
          <cell r="AD414" t="str">
            <v/>
          </cell>
          <cell r="AE414">
            <v>0</v>
          </cell>
          <cell r="AF414" t="str">
            <v/>
          </cell>
          <cell r="AG414" t="str">
            <v>12528102</v>
          </cell>
          <cell r="AH414">
            <v>44629.874814814815</v>
          </cell>
          <cell r="AI414" t="str">
            <v>N52</v>
          </cell>
          <cell r="AJ414" t="str">
            <v>F</v>
          </cell>
          <cell r="AK414" t="str">
            <v/>
          </cell>
        </row>
        <row r="415">
          <cell r="A415" t="str">
            <v>12528102829054</v>
          </cell>
          <cell r="B415" t="e">
            <v>#N/A</v>
          </cell>
          <cell r="C415">
            <v>20</v>
          </cell>
          <cell r="D415" t="str">
            <v>EK65</v>
          </cell>
          <cell r="E415" t="str">
            <v>525687</v>
          </cell>
          <cell r="F415" t="str">
            <v>E</v>
          </cell>
          <cell r="G415" t="str">
            <v>12528102</v>
          </cell>
          <cell r="H415" t="str">
            <v>Blech</v>
          </cell>
          <cell r="I415">
            <v>882</v>
          </cell>
          <cell r="J415" t="str">
            <v>Stk</v>
          </cell>
          <cell r="K415">
            <v>45209</v>
          </cell>
          <cell r="L415" t="str">
            <v>829054</v>
          </cell>
          <cell r="M415" t="str">
            <v/>
          </cell>
          <cell r="N415" t="str">
            <v/>
          </cell>
          <cell r="O415" t="str">
            <v/>
          </cell>
          <cell r="P415" t="str">
            <v/>
          </cell>
          <cell r="Q415" t="str">
            <v/>
          </cell>
          <cell r="R415" t="str">
            <v/>
          </cell>
          <cell r="S415" t="str">
            <v/>
          </cell>
          <cell r="T415" t="str">
            <v/>
          </cell>
          <cell r="U415" t="str">
            <v/>
          </cell>
          <cell r="V415" t="str">
            <v>N52</v>
          </cell>
          <cell r="W415" t="str">
            <v/>
          </cell>
          <cell r="X415" t="str">
            <v/>
          </cell>
          <cell r="Y415" t="str">
            <v/>
          </cell>
          <cell r="Z415" t="str">
            <v/>
          </cell>
          <cell r="AA415" t="str">
            <v/>
          </cell>
          <cell r="AB415" t="str">
            <v>PA_4512493-UA.7005-4</v>
          </cell>
          <cell r="AC415">
            <v>4</v>
          </cell>
          <cell r="AD415" t="str">
            <v/>
          </cell>
          <cell r="AE415">
            <v>0</v>
          </cell>
          <cell r="AF415" t="str">
            <v/>
          </cell>
          <cell r="AG415" t="str">
            <v>12528102</v>
          </cell>
          <cell r="AH415">
            <v>44629.874814814815</v>
          </cell>
          <cell r="AI415" t="str">
            <v>N52</v>
          </cell>
          <cell r="AJ415" t="str">
            <v>F</v>
          </cell>
          <cell r="AK415" t="str">
            <v/>
          </cell>
        </row>
        <row r="416">
          <cell r="A416" t="str">
            <v>12528109829053</v>
          </cell>
          <cell r="B416" t="e">
            <v>#N/A</v>
          </cell>
          <cell r="C416">
            <v>10</v>
          </cell>
          <cell r="D416" t="str">
            <v>EK65</v>
          </cell>
          <cell r="E416" t="str">
            <v>525688</v>
          </cell>
          <cell r="F416" t="str">
            <v>E</v>
          </cell>
          <cell r="G416" t="str">
            <v>12528109</v>
          </cell>
          <cell r="H416" t="str">
            <v>Blech</v>
          </cell>
          <cell r="I416">
            <v>206</v>
          </cell>
          <cell r="J416" t="str">
            <v>Stk</v>
          </cell>
          <cell r="K416">
            <v>45197</v>
          </cell>
          <cell r="L416" t="str">
            <v>829053</v>
          </cell>
          <cell r="M416" t="str">
            <v/>
          </cell>
          <cell r="N416" t="str">
            <v/>
          </cell>
          <cell r="O416" t="str">
            <v/>
          </cell>
          <cell r="P416" t="str">
            <v/>
          </cell>
          <cell r="Q416" t="str">
            <v/>
          </cell>
          <cell r="R416" t="str">
            <v/>
          </cell>
          <cell r="S416" t="str">
            <v/>
          </cell>
          <cell r="T416" t="str">
            <v/>
          </cell>
          <cell r="U416" t="str">
            <v/>
          </cell>
          <cell r="V416" t="str">
            <v>N52</v>
          </cell>
          <cell r="W416" t="str">
            <v/>
          </cell>
          <cell r="X416" t="str">
            <v/>
          </cell>
          <cell r="Y416" t="str">
            <v/>
          </cell>
          <cell r="Z416" t="str">
            <v/>
          </cell>
          <cell r="AA416" t="str">
            <v/>
          </cell>
          <cell r="AB416" t="str">
            <v>PA_4511987-UA.7005-4</v>
          </cell>
          <cell r="AC416">
            <v>1</v>
          </cell>
          <cell r="AD416" t="str">
            <v/>
          </cell>
          <cell r="AE416">
            <v>0</v>
          </cell>
          <cell r="AF416" t="str">
            <v/>
          </cell>
          <cell r="AG416" t="str">
            <v>12528109</v>
          </cell>
          <cell r="AH416">
            <v>44629.874826388892</v>
          </cell>
          <cell r="AI416" t="str">
            <v>N52</v>
          </cell>
          <cell r="AJ416" t="str">
            <v>F</v>
          </cell>
          <cell r="AK416" t="str">
            <v/>
          </cell>
        </row>
        <row r="417">
          <cell r="A417" t="str">
            <v>12528109829054</v>
          </cell>
          <cell r="B417" t="e">
            <v>#N/A</v>
          </cell>
          <cell r="C417">
            <v>10</v>
          </cell>
          <cell r="D417" t="str">
            <v>EK65</v>
          </cell>
          <cell r="E417" t="str">
            <v>525689</v>
          </cell>
          <cell r="F417" t="str">
            <v>E</v>
          </cell>
          <cell r="G417" t="str">
            <v>12528109</v>
          </cell>
          <cell r="H417" t="str">
            <v>Blech</v>
          </cell>
          <cell r="I417">
            <v>65</v>
          </cell>
          <cell r="J417" t="str">
            <v>Stk</v>
          </cell>
          <cell r="K417">
            <v>45210</v>
          </cell>
          <cell r="L417" t="str">
            <v>829054</v>
          </cell>
          <cell r="M417" t="str">
            <v/>
          </cell>
          <cell r="N417" t="str">
            <v/>
          </cell>
          <cell r="O417" t="str">
            <v/>
          </cell>
          <cell r="P417" t="str">
            <v/>
          </cell>
          <cell r="Q417" t="str">
            <v/>
          </cell>
          <cell r="R417" t="str">
            <v/>
          </cell>
          <cell r="S417" t="str">
            <v/>
          </cell>
          <cell r="T417" t="str">
            <v/>
          </cell>
          <cell r="U417" t="str">
            <v/>
          </cell>
          <cell r="V417" t="str">
            <v>N52</v>
          </cell>
          <cell r="W417" t="str">
            <v/>
          </cell>
          <cell r="X417" t="str">
            <v/>
          </cell>
          <cell r="Y417" t="str">
            <v/>
          </cell>
          <cell r="Z417" t="str">
            <v/>
          </cell>
          <cell r="AA417" t="str">
            <v/>
          </cell>
          <cell r="AB417" t="str">
            <v>PA_4511987-UA.7005-4</v>
          </cell>
          <cell r="AC417">
            <v>1</v>
          </cell>
          <cell r="AD417" t="str">
            <v/>
          </cell>
          <cell r="AE417">
            <v>0</v>
          </cell>
          <cell r="AF417" t="str">
            <v/>
          </cell>
          <cell r="AG417" t="str">
            <v>12528109</v>
          </cell>
          <cell r="AH417">
            <v>44629.874826388892</v>
          </cell>
          <cell r="AI417" t="str">
            <v>N52</v>
          </cell>
          <cell r="AJ417" t="str">
            <v>F</v>
          </cell>
          <cell r="AK417" t="str">
            <v/>
          </cell>
        </row>
        <row r="418">
          <cell r="A418" t="str">
            <v>12528115829053</v>
          </cell>
          <cell r="B418" t="e">
            <v>#N/A</v>
          </cell>
          <cell r="C418">
            <v>10</v>
          </cell>
          <cell r="D418" t="str">
            <v>EK65</v>
          </cell>
          <cell r="E418" t="str">
            <v>525690</v>
          </cell>
          <cell r="F418" t="str">
            <v>E</v>
          </cell>
          <cell r="G418" t="str">
            <v>12528115</v>
          </cell>
          <cell r="H418" t="str">
            <v>Blech</v>
          </cell>
          <cell r="I418">
            <v>103</v>
          </cell>
          <cell r="J418" t="str">
            <v>Stk</v>
          </cell>
          <cell r="K418">
            <v>45197</v>
          </cell>
          <cell r="L418" t="str">
            <v>829053</v>
          </cell>
          <cell r="M418" t="str">
            <v/>
          </cell>
          <cell r="N418" t="str">
            <v/>
          </cell>
          <cell r="O418" t="str">
            <v/>
          </cell>
          <cell r="P418" t="str">
            <v/>
          </cell>
          <cell r="Q418" t="str">
            <v/>
          </cell>
          <cell r="R418" t="str">
            <v/>
          </cell>
          <cell r="S418" t="str">
            <v/>
          </cell>
          <cell r="T418" t="str">
            <v/>
          </cell>
          <cell r="U418" t="str">
            <v/>
          </cell>
          <cell r="V418" t="str">
            <v>N52</v>
          </cell>
          <cell r="W418" t="str">
            <v/>
          </cell>
          <cell r="X418" t="str">
            <v/>
          </cell>
          <cell r="Y418" t="str">
            <v/>
          </cell>
          <cell r="Z418" t="str">
            <v/>
          </cell>
          <cell r="AA418" t="str">
            <v/>
          </cell>
          <cell r="AB418" t="str">
            <v>PA_4518061-UA.7005-3</v>
          </cell>
          <cell r="AC418">
            <v>1</v>
          </cell>
          <cell r="AD418" t="str">
            <v/>
          </cell>
          <cell r="AE418">
            <v>0</v>
          </cell>
          <cell r="AF418" t="str">
            <v/>
          </cell>
          <cell r="AG418" t="str">
            <v>12528115</v>
          </cell>
          <cell r="AH418">
            <v>44629.874849537038</v>
          </cell>
          <cell r="AI418" t="str">
            <v>N52</v>
          </cell>
          <cell r="AJ418" t="str">
            <v>F</v>
          </cell>
          <cell r="AK418" t="str">
            <v/>
          </cell>
        </row>
        <row r="419">
          <cell r="A419" t="str">
            <v>12528115829054</v>
          </cell>
          <cell r="B419" t="e">
            <v>#N/A</v>
          </cell>
          <cell r="C419">
            <v>10</v>
          </cell>
          <cell r="D419" t="str">
            <v>EK65</v>
          </cell>
          <cell r="E419" t="str">
            <v>525691</v>
          </cell>
          <cell r="F419" t="str">
            <v>E</v>
          </cell>
          <cell r="G419" t="str">
            <v>12528115</v>
          </cell>
          <cell r="H419" t="str">
            <v>Blech</v>
          </cell>
          <cell r="I419">
            <v>32</v>
          </cell>
          <cell r="J419" t="str">
            <v>Stk</v>
          </cell>
          <cell r="K419">
            <v>45231</v>
          </cell>
          <cell r="L419" t="str">
            <v>829054</v>
          </cell>
          <cell r="M419" t="str">
            <v/>
          </cell>
          <cell r="N419" t="str">
            <v/>
          </cell>
          <cell r="O419" t="str">
            <v/>
          </cell>
          <cell r="P419" t="str">
            <v/>
          </cell>
          <cell r="Q419" t="str">
            <v/>
          </cell>
          <cell r="R419" t="str">
            <v/>
          </cell>
          <cell r="S419" t="str">
            <v/>
          </cell>
          <cell r="T419" t="str">
            <v/>
          </cell>
          <cell r="U419" t="str">
            <v/>
          </cell>
          <cell r="V419" t="str">
            <v>N52</v>
          </cell>
          <cell r="W419" t="str">
            <v/>
          </cell>
          <cell r="X419" t="str">
            <v/>
          </cell>
          <cell r="Y419" t="str">
            <v/>
          </cell>
          <cell r="Z419" t="str">
            <v/>
          </cell>
          <cell r="AA419" t="str">
            <v/>
          </cell>
          <cell r="AB419" t="str">
            <v>PA_4518061-UA.7005-3</v>
          </cell>
          <cell r="AC419">
            <v>1</v>
          </cell>
          <cell r="AD419" t="str">
            <v/>
          </cell>
          <cell r="AE419">
            <v>0</v>
          </cell>
          <cell r="AF419" t="str">
            <v/>
          </cell>
          <cell r="AG419" t="str">
            <v>12528115</v>
          </cell>
          <cell r="AH419">
            <v>44629.874849537038</v>
          </cell>
          <cell r="AI419" t="str">
            <v>N52</v>
          </cell>
          <cell r="AJ419" t="str">
            <v>F</v>
          </cell>
          <cell r="AK419" t="str">
            <v/>
          </cell>
        </row>
        <row r="420">
          <cell r="A420" t="str">
            <v>12528124829053</v>
          </cell>
          <cell r="B420" t="e">
            <v>#N/A</v>
          </cell>
          <cell r="C420">
            <v>10</v>
          </cell>
          <cell r="D420" t="str">
            <v>EK65</v>
          </cell>
          <cell r="E420" t="str">
            <v>525692</v>
          </cell>
          <cell r="F420" t="str">
            <v>E</v>
          </cell>
          <cell r="G420" t="str">
            <v>12528124</v>
          </cell>
          <cell r="H420" t="str">
            <v>Steckerblech</v>
          </cell>
          <cell r="I420">
            <v>51</v>
          </cell>
          <cell r="J420" t="str">
            <v>Stk</v>
          </cell>
          <cell r="K420">
            <v>45198</v>
          </cell>
          <cell r="L420" t="str">
            <v>829053</v>
          </cell>
          <cell r="M420" t="str">
            <v/>
          </cell>
          <cell r="N420" t="str">
            <v/>
          </cell>
          <cell r="O420" t="str">
            <v/>
          </cell>
          <cell r="P420" t="str">
            <v/>
          </cell>
          <cell r="Q420" t="str">
            <v/>
          </cell>
          <cell r="R420" t="str">
            <v/>
          </cell>
          <cell r="S420" t="str">
            <v/>
          </cell>
          <cell r="T420" t="str">
            <v/>
          </cell>
          <cell r="U420" t="str">
            <v/>
          </cell>
          <cell r="V420" t="str">
            <v>N52</v>
          </cell>
          <cell r="W420" t="str">
            <v/>
          </cell>
          <cell r="X420" t="str">
            <v/>
          </cell>
          <cell r="Y420" t="str">
            <v/>
          </cell>
          <cell r="Z420" t="str">
            <v/>
          </cell>
          <cell r="AA420" t="str">
            <v/>
          </cell>
          <cell r="AB420" t="str">
            <v>PA_4528764-UA.7005-3</v>
          </cell>
          <cell r="AC420">
            <v>1</v>
          </cell>
          <cell r="AD420" t="str">
            <v/>
          </cell>
          <cell r="AE420">
            <v>0</v>
          </cell>
          <cell r="AF420" t="str">
            <v/>
          </cell>
          <cell r="AG420" t="str">
            <v>12528124</v>
          </cell>
          <cell r="AH420">
            <v>44629.874861111108</v>
          </cell>
          <cell r="AI420" t="str">
            <v>N52</v>
          </cell>
          <cell r="AJ420" t="str">
            <v>F</v>
          </cell>
          <cell r="AK420" t="str">
            <v/>
          </cell>
        </row>
        <row r="421">
          <cell r="A421" t="str">
            <v>12528124829054</v>
          </cell>
          <cell r="B421" t="e">
            <v>#N/A</v>
          </cell>
          <cell r="C421">
            <v>10</v>
          </cell>
          <cell r="D421" t="str">
            <v>EK65</v>
          </cell>
          <cell r="E421" t="str">
            <v>525693</v>
          </cell>
          <cell r="F421" t="str">
            <v>E</v>
          </cell>
          <cell r="G421" t="str">
            <v>12528124</v>
          </cell>
          <cell r="H421" t="str">
            <v>Steckerblech</v>
          </cell>
          <cell r="I421">
            <v>16</v>
          </cell>
          <cell r="J421" t="str">
            <v>Stk</v>
          </cell>
          <cell r="K421">
            <v>45231</v>
          </cell>
          <cell r="L421" t="str">
            <v>829054</v>
          </cell>
          <cell r="M421" t="str">
            <v/>
          </cell>
          <cell r="N421" t="str">
            <v/>
          </cell>
          <cell r="O421" t="str">
            <v/>
          </cell>
          <cell r="P421" t="str">
            <v/>
          </cell>
          <cell r="Q421" t="str">
            <v/>
          </cell>
          <cell r="R421" t="str">
            <v/>
          </cell>
          <cell r="S421" t="str">
            <v/>
          </cell>
          <cell r="T421" t="str">
            <v/>
          </cell>
          <cell r="U421" t="str">
            <v/>
          </cell>
          <cell r="V421" t="str">
            <v>N52</v>
          </cell>
          <cell r="W421" t="str">
            <v/>
          </cell>
          <cell r="X421" t="str">
            <v/>
          </cell>
          <cell r="Y421" t="str">
            <v/>
          </cell>
          <cell r="Z421" t="str">
            <v/>
          </cell>
          <cell r="AA421" t="str">
            <v/>
          </cell>
          <cell r="AB421" t="str">
            <v>PA_4528764-UA.7005-3</v>
          </cell>
          <cell r="AC421">
            <v>1</v>
          </cell>
          <cell r="AD421" t="str">
            <v/>
          </cell>
          <cell r="AE421">
            <v>0</v>
          </cell>
          <cell r="AF421" t="str">
            <v/>
          </cell>
          <cell r="AG421" t="str">
            <v>12528124</v>
          </cell>
          <cell r="AH421">
            <v>44629.874861111108</v>
          </cell>
          <cell r="AI421" t="str">
            <v>N52</v>
          </cell>
          <cell r="AJ421" t="str">
            <v>F</v>
          </cell>
          <cell r="AK421" t="str">
            <v/>
          </cell>
        </row>
        <row r="422">
          <cell r="A422" t="str">
            <v>12536670829053</v>
          </cell>
          <cell r="B422" t="e">
            <v>#N/A</v>
          </cell>
          <cell r="C422">
            <v>6</v>
          </cell>
          <cell r="D422" t="str">
            <v>EK65</v>
          </cell>
          <cell r="E422" t="str">
            <v>525697</v>
          </cell>
          <cell r="F422" t="str">
            <v>E</v>
          </cell>
          <cell r="G422" t="str">
            <v>12536670</v>
          </cell>
          <cell r="H422" t="str">
            <v>Kabelhalter Sitzgestell EW +53</v>
          </cell>
          <cell r="I422">
            <v>51</v>
          </cell>
          <cell r="J422" t="str">
            <v>Stk</v>
          </cell>
          <cell r="K422">
            <v>45198</v>
          </cell>
          <cell r="L422" t="str">
            <v>829053</v>
          </cell>
          <cell r="M422" t="str">
            <v/>
          </cell>
          <cell r="N422" t="str">
            <v/>
          </cell>
          <cell r="O422" t="str">
            <v/>
          </cell>
          <cell r="P422" t="str">
            <v/>
          </cell>
          <cell r="Q422" t="str">
            <v/>
          </cell>
          <cell r="R422" t="str">
            <v/>
          </cell>
          <cell r="S422" t="str">
            <v/>
          </cell>
          <cell r="T422" t="str">
            <v/>
          </cell>
          <cell r="U422" t="str">
            <v/>
          </cell>
          <cell r="V422" t="str">
            <v>N52</v>
          </cell>
          <cell r="W422" t="str">
            <v/>
          </cell>
          <cell r="X422" t="str">
            <v/>
          </cell>
          <cell r="Y422" t="str">
            <v/>
          </cell>
          <cell r="Z422" t="str">
            <v/>
          </cell>
          <cell r="AA422" t="str">
            <v/>
          </cell>
          <cell r="AB422" t="str">
            <v>PA_4626631-UA.7005-3</v>
          </cell>
          <cell r="AC422">
            <v>1</v>
          </cell>
          <cell r="AD422" t="str">
            <v/>
          </cell>
          <cell r="AE422">
            <v>0</v>
          </cell>
          <cell r="AF422" t="str">
            <v/>
          </cell>
          <cell r="AG422" t="str">
            <v>12536670</v>
          </cell>
          <cell r="AH422">
            <v>44629.875416666669</v>
          </cell>
          <cell r="AI422" t="str">
            <v>N52</v>
          </cell>
          <cell r="AJ422" t="str">
            <v>F</v>
          </cell>
          <cell r="AK422" t="str">
            <v/>
          </cell>
        </row>
        <row r="423">
          <cell r="A423" t="str">
            <v>12517556829053</v>
          </cell>
          <cell r="B423" t="e">
            <v>#N/A</v>
          </cell>
          <cell r="C423">
            <v>7</v>
          </cell>
          <cell r="D423" t="str">
            <v>EK65</v>
          </cell>
          <cell r="E423" t="str">
            <v>525769</v>
          </cell>
          <cell r="F423" t="str">
            <v>E</v>
          </cell>
          <cell r="G423" t="str">
            <v>12517556</v>
          </cell>
          <cell r="H423" t="str">
            <v>Sammelschiene 3 vollst.</v>
          </cell>
          <cell r="I423">
            <v>23</v>
          </cell>
          <cell r="J423" t="str">
            <v>Stk</v>
          </cell>
          <cell r="K423">
            <v>45153</v>
          </cell>
          <cell r="L423" t="str">
            <v>829053</v>
          </cell>
          <cell r="M423" t="str">
            <v/>
          </cell>
          <cell r="N423" t="str">
            <v/>
          </cell>
          <cell r="O423" t="str">
            <v/>
          </cell>
          <cell r="P423" t="str">
            <v/>
          </cell>
          <cell r="Q423" t="str">
            <v/>
          </cell>
          <cell r="R423" t="str">
            <v/>
          </cell>
          <cell r="S423" t="str">
            <v/>
          </cell>
          <cell r="T423" t="str">
            <v/>
          </cell>
          <cell r="U423" t="str">
            <v/>
          </cell>
          <cell r="V423" t="str">
            <v>N52</v>
          </cell>
          <cell r="W423" t="str">
            <v/>
          </cell>
          <cell r="X423" t="str">
            <v/>
          </cell>
          <cell r="Y423" t="str">
            <v/>
          </cell>
          <cell r="Z423" t="str">
            <v/>
          </cell>
          <cell r="AA423" t="str">
            <v/>
          </cell>
          <cell r="AB423" t="str">
            <v>PA_4444625-UA.7005-3</v>
          </cell>
          <cell r="AC423">
            <v>1</v>
          </cell>
          <cell r="AD423" t="str">
            <v/>
          </cell>
          <cell r="AE423">
            <v>0</v>
          </cell>
          <cell r="AF423" t="str">
            <v/>
          </cell>
          <cell r="AG423" t="str">
            <v>12517556</v>
          </cell>
          <cell r="AH423">
            <v>44629.902002314811</v>
          </cell>
          <cell r="AI423" t="str">
            <v>N52</v>
          </cell>
          <cell r="AJ423" t="str">
            <v>F</v>
          </cell>
          <cell r="AK423" t="str">
            <v>A</v>
          </cell>
        </row>
        <row r="424">
          <cell r="A424" t="str">
            <v>12534217829051</v>
          </cell>
          <cell r="B424" t="e">
            <v>#N/A</v>
          </cell>
          <cell r="C424">
            <v>6</v>
          </cell>
          <cell r="D424" t="str">
            <v>EK65</v>
          </cell>
          <cell r="E424" t="str">
            <v>525786</v>
          </cell>
          <cell r="F424" t="str">
            <v>E</v>
          </cell>
          <cell r="G424" t="str">
            <v>12534217</v>
          </cell>
          <cell r="H424" t="str">
            <v>J-FSST Distanzplatte</v>
          </cell>
          <cell r="I424">
            <v>360</v>
          </cell>
          <cell r="J424" t="str">
            <v>Stk</v>
          </cell>
          <cell r="K424">
            <v>45330</v>
          </cell>
          <cell r="L424" t="str">
            <v>829051</v>
          </cell>
          <cell r="M424" t="str">
            <v/>
          </cell>
          <cell r="N424" t="str">
            <v/>
          </cell>
          <cell r="O424" t="str">
            <v/>
          </cell>
          <cell r="P424" t="str">
            <v/>
          </cell>
          <cell r="Q424" t="str">
            <v/>
          </cell>
          <cell r="R424" t="str">
            <v/>
          </cell>
          <cell r="S424" t="str">
            <v/>
          </cell>
          <cell r="T424" t="str">
            <v/>
          </cell>
          <cell r="U424" t="str">
            <v/>
          </cell>
          <cell r="V424" t="str">
            <v>N52</v>
          </cell>
          <cell r="W424" t="str">
            <v/>
          </cell>
          <cell r="X424" t="str">
            <v/>
          </cell>
          <cell r="Y424" t="str">
            <v/>
          </cell>
          <cell r="Z424" t="str">
            <v/>
          </cell>
          <cell r="AA424" t="str">
            <v/>
          </cell>
          <cell r="AB424" t="str">
            <v>PA_4394082-NB.7004-4</v>
          </cell>
          <cell r="AC424">
            <v>1</v>
          </cell>
          <cell r="AD424" t="str">
            <v/>
          </cell>
          <cell r="AE424">
            <v>0</v>
          </cell>
          <cell r="AF424" t="str">
            <v/>
          </cell>
          <cell r="AG424" t="str">
            <v>12534217</v>
          </cell>
          <cell r="AH424">
            <v>44629.902638888889</v>
          </cell>
          <cell r="AI424" t="str">
            <v>N52</v>
          </cell>
          <cell r="AJ424" t="str">
            <v>F</v>
          </cell>
          <cell r="AK424" t="str">
            <v/>
          </cell>
        </row>
        <row r="425">
          <cell r="A425" t="str">
            <v>12534329829051</v>
          </cell>
          <cell r="B425" t="e">
            <v>#N/A</v>
          </cell>
          <cell r="C425">
            <v>6</v>
          </cell>
          <cell r="D425" t="str">
            <v>EK65</v>
          </cell>
          <cell r="E425" t="str">
            <v>525792</v>
          </cell>
          <cell r="F425" t="str">
            <v>E</v>
          </cell>
          <cell r="G425" t="str">
            <v>12534329</v>
          </cell>
          <cell r="H425" t="str">
            <v>J-FSST Distanzplatte</v>
          </cell>
          <cell r="I425">
            <v>540</v>
          </cell>
          <cell r="J425" t="str">
            <v>Stk</v>
          </cell>
          <cell r="K425">
            <v>45330</v>
          </cell>
          <cell r="L425" t="str">
            <v>829051</v>
          </cell>
          <cell r="M425" t="str">
            <v/>
          </cell>
          <cell r="N425" t="str">
            <v/>
          </cell>
          <cell r="O425" t="str">
            <v/>
          </cell>
          <cell r="P425" t="str">
            <v/>
          </cell>
          <cell r="Q425" t="str">
            <v/>
          </cell>
          <cell r="R425" t="str">
            <v/>
          </cell>
          <cell r="S425" t="str">
            <v/>
          </cell>
          <cell r="T425" t="str">
            <v/>
          </cell>
          <cell r="U425" t="str">
            <v/>
          </cell>
          <cell r="V425" t="str">
            <v>N52</v>
          </cell>
          <cell r="W425" t="str">
            <v/>
          </cell>
          <cell r="X425" t="str">
            <v/>
          </cell>
          <cell r="Y425" t="str">
            <v/>
          </cell>
          <cell r="Z425" t="str">
            <v/>
          </cell>
          <cell r="AA425" t="str">
            <v/>
          </cell>
          <cell r="AB425" t="str">
            <v>PA_4394093-NB.7004-4</v>
          </cell>
          <cell r="AC425">
            <v>1</v>
          </cell>
          <cell r="AD425" t="str">
            <v/>
          </cell>
          <cell r="AE425">
            <v>0</v>
          </cell>
          <cell r="AF425" t="str">
            <v/>
          </cell>
          <cell r="AG425" t="str">
            <v>12534329</v>
          </cell>
          <cell r="AH425">
            <v>44629.902754629627</v>
          </cell>
          <cell r="AI425" t="str">
            <v>N52</v>
          </cell>
          <cell r="AJ425" t="str">
            <v>F</v>
          </cell>
          <cell r="AK425" t="str">
            <v/>
          </cell>
        </row>
        <row r="426">
          <cell r="A426" t="str">
            <v>12534392829053</v>
          </cell>
          <cell r="B426" t="e">
            <v>#N/A</v>
          </cell>
          <cell r="C426">
            <v>4</v>
          </cell>
          <cell r="D426" t="str">
            <v>EK65</v>
          </cell>
          <cell r="E426" t="str">
            <v>525795</v>
          </cell>
          <cell r="F426" t="str">
            <v>E</v>
          </cell>
          <cell r="G426" t="str">
            <v>12534392</v>
          </cell>
          <cell r="H426" t="str">
            <v>Sammelschiene 4 vollst.</v>
          </cell>
          <cell r="I426">
            <v>24</v>
          </cell>
          <cell r="J426" t="str">
            <v>Stk</v>
          </cell>
          <cell r="K426">
            <v>45153</v>
          </cell>
          <cell r="L426" t="str">
            <v>829053</v>
          </cell>
          <cell r="M426" t="str">
            <v/>
          </cell>
          <cell r="N426" t="str">
            <v/>
          </cell>
          <cell r="O426" t="str">
            <v/>
          </cell>
          <cell r="P426" t="str">
            <v/>
          </cell>
          <cell r="Q426" t="str">
            <v/>
          </cell>
          <cell r="R426" t="str">
            <v/>
          </cell>
          <cell r="S426" t="str">
            <v/>
          </cell>
          <cell r="T426" t="str">
            <v/>
          </cell>
          <cell r="U426" t="str">
            <v/>
          </cell>
          <cell r="V426" t="str">
            <v>N52</v>
          </cell>
          <cell r="W426" t="str">
            <v/>
          </cell>
          <cell r="X426" t="str">
            <v/>
          </cell>
          <cell r="Y426" t="str">
            <v/>
          </cell>
          <cell r="Z426" t="str">
            <v/>
          </cell>
          <cell r="AA426" t="str">
            <v/>
          </cell>
          <cell r="AB426" t="str">
            <v>PA_4586361-UA.7005-3</v>
          </cell>
          <cell r="AC426">
            <v>1</v>
          </cell>
          <cell r="AD426" t="str">
            <v/>
          </cell>
          <cell r="AE426">
            <v>0</v>
          </cell>
          <cell r="AF426" t="str">
            <v/>
          </cell>
          <cell r="AG426" t="str">
            <v>12534392</v>
          </cell>
          <cell r="AH426">
            <v>44629.902824074074</v>
          </cell>
          <cell r="AI426" t="str">
            <v>N52</v>
          </cell>
          <cell r="AJ426" t="str">
            <v>F</v>
          </cell>
          <cell r="AK426" t="str">
            <v/>
          </cell>
        </row>
        <row r="427">
          <cell r="A427" t="str">
            <v>12486702829053</v>
          </cell>
          <cell r="B427" t="e">
            <v>#N/A</v>
          </cell>
          <cell r="C427">
            <v>6</v>
          </cell>
          <cell r="D427" t="str">
            <v>EK65</v>
          </cell>
          <cell r="E427" t="str">
            <v>525852</v>
          </cell>
          <cell r="F427" t="str">
            <v>E</v>
          </cell>
          <cell r="G427" t="str">
            <v>12486702</v>
          </cell>
          <cell r="H427" t="str">
            <v>Haltewinkel</v>
          </cell>
          <cell r="I427">
            <v>25</v>
          </cell>
          <cell r="J427" t="str">
            <v>Stk</v>
          </cell>
          <cell r="K427">
            <v>45204</v>
          </cell>
          <cell r="L427" t="str">
            <v>829053</v>
          </cell>
          <cell r="M427" t="str">
            <v/>
          </cell>
          <cell r="N427" t="str">
            <v/>
          </cell>
          <cell r="O427" t="str">
            <v/>
          </cell>
          <cell r="P427" t="str">
            <v/>
          </cell>
          <cell r="Q427" t="str">
            <v/>
          </cell>
          <cell r="R427" t="str">
            <v/>
          </cell>
          <cell r="S427" t="str">
            <v/>
          </cell>
          <cell r="T427" t="str">
            <v/>
          </cell>
          <cell r="U427" t="str">
            <v/>
          </cell>
          <cell r="V427" t="str">
            <v>N52</v>
          </cell>
          <cell r="W427" t="str">
            <v/>
          </cell>
          <cell r="X427" t="str">
            <v/>
          </cell>
          <cell r="Y427" t="str">
            <v/>
          </cell>
          <cell r="Z427" t="str">
            <v/>
          </cell>
          <cell r="AA427" t="str">
            <v/>
          </cell>
          <cell r="AB427" t="str">
            <v>PA_4310264-QE.7005-3</v>
          </cell>
          <cell r="AC427">
            <v>1</v>
          </cell>
          <cell r="AD427" t="str">
            <v/>
          </cell>
          <cell r="AE427">
            <v>0</v>
          </cell>
          <cell r="AF427" t="str">
            <v/>
          </cell>
          <cell r="AG427" t="str">
            <v>12486702</v>
          </cell>
          <cell r="AH427">
            <v>44629.925150462965</v>
          </cell>
          <cell r="AI427" t="str">
            <v>N52</v>
          </cell>
          <cell r="AJ427" t="str">
            <v>F</v>
          </cell>
          <cell r="AK427" t="str">
            <v/>
          </cell>
        </row>
        <row r="428">
          <cell r="A428" t="str">
            <v>12486711829053</v>
          </cell>
          <cell r="B428" t="e">
            <v>#N/A</v>
          </cell>
          <cell r="C428">
            <v>6</v>
          </cell>
          <cell r="D428" t="str">
            <v>EK65</v>
          </cell>
          <cell r="E428" t="str">
            <v>525853</v>
          </cell>
          <cell r="F428" t="str">
            <v>E</v>
          </cell>
          <cell r="G428" t="str">
            <v>12486711</v>
          </cell>
          <cell r="H428" t="str">
            <v>Haltewinkel</v>
          </cell>
          <cell r="I428">
            <v>25</v>
          </cell>
          <cell r="J428" t="str">
            <v>Stk</v>
          </cell>
          <cell r="K428">
            <v>45204</v>
          </cell>
          <cell r="L428" t="str">
            <v>829053</v>
          </cell>
          <cell r="M428" t="str">
            <v/>
          </cell>
          <cell r="N428" t="str">
            <v/>
          </cell>
          <cell r="O428" t="str">
            <v/>
          </cell>
          <cell r="P428" t="str">
            <v/>
          </cell>
          <cell r="Q428" t="str">
            <v/>
          </cell>
          <cell r="R428" t="str">
            <v/>
          </cell>
          <cell r="S428" t="str">
            <v/>
          </cell>
          <cell r="T428" t="str">
            <v/>
          </cell>
          <cell r="U428" t="str">
            <v/>
          </cell>
          <cell r="V428" t="str">
            <v>N52</v>
          </cell>
          <cell r="W428" t="str">
            <v/>
          </cell>
          <cell r="X428" t="str">
            <v/>
          </cell>
          <cell r="Y428" t="str">
            <v/>
          </cell>
          <cell r="Z428" t="str">
            <v/>
          </cell>
          <cell r="AA428" t="str">
            <v/>
          </cell>
          <cell r="AB428" t="str">
            <v>PA_4310422-QE.7005-3</v>
          </cell>
          <cell r="AC428">
            <v>1</v>
          </cell>
          <cell r="AD428" t="str">
            <v/>
          </cell>
          <cell r="AE428">
            <v>0</v>
          </cell>
          <cell r="AF428" t="str">
            <v/>
          </cell>
          <cell r="AG428" t="str">
            <v>12486711</v>
          </cell>
          <cell r="AH428">
            <v>44629.925162037034</v>
          </cell>
          <cell r="AI428" t="str">
            <v>N52</v>
          </cell>
          <cell r="AJ428" t="str">
            <v>F</v>
          </cell>
          <cell r="AK428" t="str">
            <v/>
          </cell>
        </row>
        <row r="429">
          <cell r="A429" t="str">
            <v>12486727829053</v>
          </cell>
          <cell r="B429" t="e">
            <v>#N/A</v>
          </cell>
          <cell r="C429">
            <v>6</v>
          </cell>
          <cell r="D429" t="str">
            <v>EK65</v>
          </cell>
          <cell r="E429" t="str">
            <v>525854</v>
          </cell>
          <cell r="F429" t="str">
            <v>E</v>
          </cell>
          <cell r="G429" t="str">
            <v>12486727</v>
          </cell>
          <cell r="H429" t="str">
            <v>Haltewinkel</v>
          </cell>
          <cell r="I429">
            <v>25</v>
          </cell>
          <cell r="J429" t="str">
            <v>Stk</v>
          </cell>
          <cell r="K429">
            <v>45204</v>
          </cell>
          <cell r="L429" t="str">
            <v>829053</v>
          </cell>
          <cell r="M429" t="str">
            <v/>
          </cell>
          <cell r="N429" t="str">
            <v/>
          </cell>
          <cell r="O429" t="str">
            <v/>
          </cell>
          <cell r="P429" t="str">
            <v/>
          </cell>
          <cell r="Q429" t="str">
            <v/>
          </cell>
          <cell r="R429" t="str">
            <v/>
          </cell>
          <cell r="S429" t="str">
            <v/>
          </cell>
          <cell r="T429" t="str">
            <v/>
          </cell>
          <cell r="U429" t="str">
            <v/>
          </cell>
          <cell r="V429" t="str">
            <v>N52</v>
          </cell>
          <cell r="W429" t="str">
            <v/>
          </cell>
          <cell r="X429" t="str">
            <v/>
          </cell>
          <cell r="Y429" t="str">
            <v/>
          </cell>
          <cell r="Z429" t="str">
            <v/>
          </cell>
          <cell r="AA429" t="str">
            <v/>
          </cell>
          <cell r="AB429" t="str">
            <v>PA_4307696-QE.7005-3</v>
          </cell>
          <cell r="AC429">
            <v>1</v>
          </cell>
          <cell r="AD429" t="str">
            <v/>
          </cell>
          <cell r="AE429">
            <v>0</v>
          </cell>
          <cell r="AF429" t="str">
            <v/>
          </cell>
          <cell r="AG429" t="str">
            <v>12486727</v>
          </cell>
          <cell r="AH429">
            <v>44629.925162037034</v>
          </cell>
          <cell r="AI429" t="str">
            <v>N52</v>
          </cell>
          <cell r="AJ429" t="str">
            <v>F</v>
          </cell>
          <cell r="AK429" t="str">
            <v/>
          </cell>
        </row>
        <row r="430">
          <cell r="A430" t="str">
            <v>12496623829054</v>
          </cell>
          <cell r="B430" t="e">
            <v>#N/A</v>
          </cell>
          <cell r="C430">
            <v>10</v>
          </cell>
          <cell r="D430" t="str">
            <v>EK65</v>
          </cell>
          <cell r="E430" t="str">
            <v>525856</v>
          </cell>
          <cell r="F430" t="str">
            <v>E</v>
          </cell>
          <cell r="G430" t="str">
            <v>12496623</v>
          </cell>
          <cell r="H430" t="str">
            <v>JK-Schwenkhebelkonsole</v>
          </cell>
          <cell r="I430">
            <v>134</v>
          </cell>
          <cell r="J430" t="str">
            <v>Stk</v>
          </cell>
          <cell r="K430">
            <v>45216</v>
          </cell>
          <cell r="L430" t="str">
            <v>829054</v>
          </cell>
          <cell r="M430" t="str">
            <v/>
          </cell>
          <cell r="N430" t="str">
            <v/>
          </cell>
          <cell r="O430" t="str">
            <v/>
          </cell>
          <cell r="P430" t="str">
            <v/>
          </cell>
          <cell r="Q430" t="str">
            <v/>
          </cell>
          <cell r="R430" t="str">
            <v/>
          </cell>
          <cell r="S430" t="str">
            <v/>
          </cell>
          <cell r="T430" t="str">
            <v/>
          </cell>
          <cell r="U430" t="str">
            <v/>
          </cell>
          <cell r="V430" t="str">
            <v>N52</v>
          </cell>
          <cell r="W430" t="str">
            <v/>
          </cell>
          <cell r="X430" t="str">
            <v/>
          </cell>
          <cell r="Y430" t="str">
            <v/>
          </cell>
          <cell r="Z430" t="str">
            <v/>
          </cell>
          <cell r="AA430" t="str">
            <v/>
          </cell>
          <cell r="AB430" t="str">
            <v>PA_4304982-NB.7005-2</v>
          </cell>
          <cell r="AC430">
            <v>1</v>
          </cell>
          <cell r="AD430" t="str">
            <v/>
          </cell>
          <cell r="AE430">
            <v>0</v>
          </cell>
          <cell r="AF430" t="str">
            <v/>
          </cell>
          <cell r="AG430" t="str">
            <v>12496623</v>
          </cell>
          <cell r="AH430">
            <v>44629.926319444443</v>
          </cell>
          <cell r="AI430" t="str">
            <v>N52</v>
          </cell>
          <cell r="AJ430" t="str">
            <v>F</v>
          </cell>
          <cell r="AK430" t="str">
            <v/>
          </cell>
        </row>
        <row r="431">
          <cell r="A431" t="str">
            <v>12496623829053</v>
          </cell>
          <cell r="B431" t="e">
            <v>#N/A</v>
          </cell>
          <cell r="C431">
            <v>10</v>
          </cell>
          <cell r="D431" t="str">
            <v>EK65</v>
          </cell>
          <cell r="E431" t="str">
            <v>525857</v>
          </cell>
          <cell r="F431" t="str">
            <v>E</v>
          </cell>
          <cell r="G431" t="str">
            <v>12496623</v>
          </cell>
          <cell r="H431" t="str">
            <v>JK-Schwenkhebelkonsole</v>
          </cell>
          <cell r="I431">
            <v>388</v>
          </cell>
          <cell r="J431" t="str">
            <v>Stk</v>
          </cell>
          <cell r="K431">
            <v>45218</v>
          </cell>
          <cell r="L431" t="str">
            <v>829053</v>
          </cell>
          <cell r="M431" t="str">
            <v/>
          </cell>
          <cell r="N431" t="str">
            <v/>
          </cell>
          <cell r="O431" t="str">
            <v/>
          </cell>
          <cell r="P431" t="str">
            <v/>
          </cell>
          <cell r="Q431" t="str">
            <v/>
          </cell>
          <cell r="R431" t="str">
            <v/>
          </cell>
          <cell r="S431" t="str">
            <v/>
          </cell>
          <cell r="T431" t="str">
            <v/>
          </cell>
          <cell r="U431" t="str">
            <v/>
          </cell>
          <cell r="V431" t="str">
            <v>N52</v>
          </cell>
          <cell r="W431" t="str">
            <v/>
          </cell>
          <cell r="X431" t="str">
            <v/>
          </cell>
          <cell r="Y431" t="str">
            <v/>
          </cell>
          <cell r="Z431" t="str">
            <v/>
          </cell>
          <cell r="AA431" t="str">
            <v/>
          </cell>
          <cell r="AB431" t="str">
            <v>PA_4304982-NB.7005-2</v>
          </cell>
          <cell r="AC431">
            <v>1</v>
          </cell>
          <cell r="AD431" t="str">
            <v/>
          </cell>
          <cell r="AE431">
            <v>0</v>
          </cell>
          <cell r="AF431" t="str">
            <v/>
          </cell>
          <cell r="AG431" t="str">
            <v>12496623</v>
          </cell>
          <cell r="AH431">
            <v>44629.926319444443</v>
          </cell>
          <cell r="AI431" t="str">
            <v>N52</v>
          </cell>
          <cell r="AJ431" t="str">
            <v>F</v>
          </cell>
          <cell r="AK431" t="str">
            <v/>
          </cell>
        </row>
        <row r="432">
          <cell r="A432" t="str">
            <v>12501186829053</v>
          </cell>
          <cell r="B432" t="e">
            <v>#N/A</v>
          </cell>
          <cell r="C432">
            <v>6</v>
          </cell>
          <cell r="D432" t="str">
            <v>EK65</v>
          </cell>
          <cell r="E432" t="str">
            <v>525858</v>
          </cell>
          <cell r="F432" t="str">
            <v>E</v>
          </cell>
          <cell r="G432" t="str">
            <v>12501186</v>
          </cell>
          <cell r="H432" t="str">
            <v>Blechhalter kompl.</v>
          </cell>
          <cell r="I432">
            <v>25</v>
          </cell>
          <cell r="J432" t="str">
            <v>Stk</v>
          </cell>
          <cell r="K432">
            <v>45218</v>
          </cell>
          <cell r="L432" t="str">
            <v>829053</v>
          </cell>
          <cell r="M432" t="str">
            <v/>
          </cell>
          <cell r="N432" t="str">
            <v/>
          </cell>
          <cell r="O432" t="str">
            <v/>
          </cell>
          <cell r="P432" t="str">
            <v/>
          </cell>
          <cell r="Q432" t="str">
            <v/>
          </cell>
          <cell r="R432" t="str">
            <v/>
          </cell>
          <cell r="S432" t="str">
            <v/>
          </cell>
          <cell r="T432" t="str">
            <v/>
          </cell>
          <cell r="U432" t="str">
            <v/>
          </cell>
          <cell r="V432" t="str">
            <v>N52</v>
          </cell>
          <cell r="W432" t="str">
            <v/>
          </cell>
          <cell r="X432" t="str">
            <v/>
          </cell>
          <cell r="Y432" t="str">
            <v/>
          </cell>
          <cell r="Z432" t="str">
            <v/>
          </cell>
          <cell r="AA432" t="str">
            <v/>
          </cell>
          <cell r="AB432" t="str">
            <v>PA_2336055-UA.7005-3</v>
          </cell>
          <cell r="AC432">
            <v>1</v>
          </cell>
          <cell r="AD432" t="str">
            <v/>
          </cell>
          <cell r="AE432">
            <v>0</v>
          </cell>
          <cell r="AF432" t="str">
            <v/>
          </cell>
          <cell r="AG432" t="str">
            <v>12501186</v>
          </cell>
          <cell r="AH432">
            <v>44629.927129629628</v>
          </cell>
          <cell r="AI432" t="str">
            <v>N52</v>
          </cell>
          <cell r="AJ432" t="str">
            <v>F</v>
          </cell>
          <cell r="AK432" t="str">
            <v/>
          </cell>
        </row>
        <row r="433">
          <cell r="A433" t="str">
            <v>12510577829054</v>
          </cell>
          <cell r="B433" t="e">
            <v>#N/A</v>
          </cell>
          <cell r="C433">
            <v>20</v>
          </cell>
          <cell r="D433" t="str">
            <v>EK65</v>
          </cell>
          <cell r="E433" t="str">
            <v>525861</v>
          </cell>
          <cell r="F433" t="str">
            <v>E</v>
          </cell>
          <cell r="G433" t="str">
            <v>12510577</v>
          </cell>
          <cell r="H433" t="str">
            <v>JK-Dehnhuelse ID 10,5  AD 30  H34</v>
          </cell>
          <cell r="I433">
            <v>540</v>
          </cell>
          <cell r="J433" t="str">
            <v>Stk</v>
          </cell>
          <cell r="K433">
            <v>45216</v>
          </cell>
          <cell r="L433" t="str">
            <v>829054</v>
          </cell>
          <cell r="M433" t="str">
            <v/>
          </cell>
          <cell r="N433" t="str">
            <v/>
          </cell>
          <cell r="O433" t="str">
            <v/>
          </cell>
          <cell r="P433" t="str">
            <v/>
          </cell>
          <cell r="Q433" t="str">
            <v/>
          </cell>
          <cell r="R433" t="str">
            <v/>
          </cell>
          <cell r="S433" t="str">
            <v/>
          </cell>
          <cell r="T433" t="str">
            <v/>
          </cell>
          <cell r="U433" t="str">
            <v/>
          </cell>
          <cell r="V433" t="str">
            <v>N52</v>
          </cell>
          <cell r="W433" t="str">
            <v/>
          </cell>
          <cell r="X433" t="str">
            <v/>
          </cell>
          <cell r="Y433" t="str">
            <v/>
          </cell>
          <cell r="Z433" t="str">
            <v/>
          </cell>
          <cell r="AA433" t="str">
            <v/>
          </cell>
          <cell r="AB433" t="str">
            <v>PA_2335415-NB.7005-4</v>
          </cell>
          <cell r="AC433">
            <v>4</v>
          </cell>
          <cell r="AD433" t="str">
            <v/>
          </cell>
          <cell r="AE433">
            <v>0</v>
          </cell>
          <cell r="AF433" t="str">
            <v/>
          </cell>
          <cell r="AG433" t="str">
            <v>12510577</v>
          </cell>
          <cell r="AH433">
            <v>44629.93172453704</v>
          </cell>
          <cell r="AI433" t="str">
            <v>N52</v>
          </cell>
          <cell r="AJ433" t="str">
            <v>F</v>
          </cell>
          <cell r="AK433" t="str">
            <v/>
          </cell>
        </row>
        <row r="434">
          <cell r="A434" t="str">
            <v>12510577829053</v>
          </cell>
          <cell r="B434" t="e">
            <v>#N/A</v>
          </cell>
          <cell r="C434">
            <v>20</v>
          </cell>
          <cell r="D434" t="str">
            <v>EK65</v>
          </cell>
          <cell r="E434" t="str">
            <v>525862</v>
          </cell>
          <cell r="F434" t="str">
            <v>E</v>
          </cell>
          <cell r="G434" t="str">
            <v>12510577</v>
          </cell>
          <cell r="H434" t="str">
            <v>JK-Dehnhuelse ID 10,5  AD 30  H34</v>
          </cell>
          <cell r="I434">
            <v>1561</v>
          </cell>
          <cell r="J434" t="str">
            <v>Stk</v>
          </cell>
          <cell r="K434">
            <v>45218</v>
          </cell>
          <cell r="L434" t="str">
            <v>829053</v>
          </cell>
          <cell r="M434" t="str">
            <v/>
          </cell>
          <cell r="N434" t="str">
            <v/>
          </cell>
          <cell r="O434" t="str">
            <v/>
          </cell>
          <cell r="P434" t="str">
            <v/>
          </cell>
          <cell r="Q434" t="str">
            <v/>
          </cell>
          <cell r="R434" t="str">
            <v/>
          </cell>
          <cell r="S434" t="str">
            <v/>
          </cell>
          <cell r="T434" t="str">
            <v/>
          </cell>
          <cell r="U434" t="str">
            <v/>
          </cell>
          <cell r="V434" t="str">
            <v>N52</v>
          </cell>
          <cell r="W434" t="str">
            <v/>
          </cell>
          <cell r="X434" t="str">
            <v/>
          </cell>
          <cell r="Y434" t="str">
            <v/>
          </cell>
          <cell r="Z434" t="str">
            <v/>
          </cell>
          <cell r="AA434" t="str">
            <v/>
          </cell>
          <cell r="AB434" t="str">
            <v>PA_2335415-NB.7005-4</v>
          </cell>
          <cell r="AC434">
            <v>4</v>
          </cell>
          <cell r="AD434" t="str">
            <v/>
          </cell>
          <cell r="AE434">
            <v>0</v>
          </cell>
          <cell r="AF434" t="str">
            <v/>
          </cell>
          <cell r="AG434" t="str">
            <v>12510577</v>
          </cell>
          <cell r="AH434">
            <v>44629.93172453704</v>
          </cell>
          <cell r="AI434" t="str">
            <v>N52</v>
          </cell>
          <cell r="AJ434" t="str">
            <v>F</v>
          </cell>
          <cell r="AK434" t="str">
            <v/>
          </cell>
        </row>
        <row r="435">
          <cell r="A435" t="str">
            <v>12518240829053</v>
          </cell>
          <cell r="B435" t="e">
            <v>#N/A</v>
          </cell>
          <cell r="C435">
            <v>8</v>
          </cell>
          <cell r="D435" t="str">
            <v>EK65</v>
          </cell>
          <cell r="E435" t="str">
            <v>525870</v>
          </cell>
          <cell r="F435" t="str">
            <v>E</v>
          </cell>
          <cell r="G435" t="str">
            <v>12518240</v>
          </cell>
          <cell r="H435" t="str">
            <v>JK-Dehnhuelse ID 10,5  AD 30  H10</v>
          </cell>
          <cell r="I435">
            <v>626</v>
          </cell>
          <cell r="J435" t="str">
            <v>Stk</v>
          </cell>
          <cell r="K435">
            <v>45118</v>
          </cell>
          <cell r="L435" t="str">
            <v>829053</v>
          </cell>
          <cell r="M435" t="str">
            <v/>
          </cell>
          <cell r="N435" t="str">
            <v/>
          </cell>
          <cell r="O435" t="str">
            <v/>
          </cell>
          <cell r="P435" t="str">
            <v/>
          </cell>
          <cell r="Q435" t="str">
            <v/>
          </cell>
          <cell r="R435" t="str">
            <v/>
          </cell>
          <cell r="S435" t="str">
            <v/>
          </cell>
          <cell r="T435" t="str">
            <v/>
          </cell>
          <cell r="U435" t="str">
            <v/>
          </cell>
          <cell r="V435" t="str">
            <v>N52</v>
          </cell>
          <cell r="W435" t="str">
            <v/>
          </cell>
          <cell r="X435" t="str">
            <v/>
          </cell>
          <cell r="Y435" t="str">
            <v/>
          </cell>
          <cell r="Z435" t="str">
            <v/>
          </cell>
          <cell r="AA435" t="str">
            <v/>
          </cell>
          <cell r="AB435" t="str">
            <v>PA_4563958-NB.7005-4</v>
          </cell>
          <cell r="AC435">
            <v>1</v>
          </cell>
          <cell r="AD435" t="str">
            <v/>
          </cell>
          <cell r="AE435">
            <v>0</v>
          </cell>
          <cell r="AF435" t="str">
            <v/>
          </cell>
          <cell r="AG435" t="str">
            <v>12518240</v>
          </cell>
          <cell r="AH435">
            <v>44629.934675925928</v>
          </cell>
          <cell r="AI435" t="str">
            <v>N52</v>
          </cell>
          <cell r="AJ435" t="str">
            <v>F</v>
          </cell>
          <cell r="AK435" t="str">
            <v/>
          </cell>
        </row>
        <row r="436">
          <cell r="A436" t="str">
            <v>12518240829054</v>
          </cell>
          <cell r="B436" t="e">
            <v>#N/A</v>
          </cell>
          <cell r="C436">
            <v>8</v>
          </cell>
          <cell r="D436" t="str">
            <v>EK65</v>
          </cell>
          <cell r="E436" t="str">
            <v>525871</v>
          </cell>
          <cell r="F436" t="str">
            <v>E</v>
          </cell>
          <cell r="G436" t="str">
            <v>12518240</v>
          </cell>
          <cell r="H436" t="str">
            <v>JK-Dehnhuelse ID 10,5  AD 30  H10</v>
          </cell>
          <cell r="I436">
            <v>133</v>
          </cell>
          <cell r="J436" t="str">
            <v>Stk</v>
          </cell>
          <cell r="K436">
            <v>45216</v>
          </cell>
          <cell r="L436" t="str">
            <v>829054</v>
          </cell>
          <cell r="M436" t="str">
            <v/>
          </cell>
          <cell r="N436" t="str">
            <v/>
          </cell>
          <cell r="O436" t="str">
            <v/>
          </cell>
          <cell r="P436" t="str">
            <v/>
          </cell>
          <cell r="Q436" t="str">
            <v/>
          </cell>
          <cell r="R436" t="str">
            <v/>
          </cell>
          <cell r="S436" t="str">
            <v/>
          </cell>
          <cell r="T436" t="str">
            <v/>
          </cell>
          <cell r="U436" t="str">
            <v/>
          </cell>
          <cell r="V436" t="str">
            <v>N52</v>
          </cell>
          <cell r="W436" t="str">
            <v/>
          </cell>
          <cell r="X436" t="str">
            <v/>
          </cell>
          <cell r="Y436" t="str">
            <v/>
          </cell>
          <cell r="Z436" t="str">
            <v/>
          </cell>
          <cell r="AA436" t="str">
            <v/>
          </cell>
          <cell r="AB436" t="str">
            <v>PA_4563958-NB.7005-4</v>
          </cell>
          <cell r="AC436">
            <v>1</v>
          </cell>
          <cell r="AD436" t="str">
            <v/>
          </cell>
          <cell r="AE436">
            <v>0</v>
          </cell>
          <cell r="AF436" t="str">
            <v/>
          </cell>
          <cell r="AG436" t="str">
            <v>12518240</v>
          </cell>
          <cell r="AH436">
            <v>44629.934675925928</v>
          </cell>
          <cell r="AI436" t="str">
            <v>N52</v>
          </cell>
          <cell r="AJ436" t="str">
            <v>F</v>
          </cell>
          <cell r="AK436" t="str">
            <v/>
          </cell>
        </row>
        <row r="437">
          <cell r="A437" t="str">
            <v>12519424829053</v>
          </cell>
          <cell r="B437" t="e">
            <v>#N/A</v>
          </cell>
          <cell r="C437">
            <v>6</v>
          </cell>
          <cell r="D437" t="str">
            <v>EK65</v>
          </cell>
          <cell r="E437" t="str">
            <v>525872</v>
          </cell>
          <cell r="F437" t="str">
            <v>E</v>
          </cell>
          <cell r="G437" t="str">
            <v>12519424</v>
          </cell>
          <cell r="H437" t="str">
            <v>Halter vollst.</v>
          </cell>
          <cell r="I437">
            <v>51</v>
          </cell>
          <cell r="J437" t="str">
            <v>Stk</v>
          </cell>
          <cell r="K437">
            <v>45209</v>
          </cell>
          <cell r="L437" t="str">
            <v>829053</v>
          </cell>
          <cell r="M437" t="str">
            <v/>
          </cell>
          <cell r="N437" t="str">
            <v/>
          </cell>
          <cell r="O437" t="str">
            <v/>
          </cell>
          <cell r="P437" t="str">
            <v/>
          </cell>
          <cell r="Q437" t="str">
            <v/>
          </cell>
          <cell r="R437" t="str">
            <v/>
          </cell>
          <cell r="S437" t="str">
            <v/>
          </cell>
          <cell r="T437" t="str">
            <v/>
          </cell>
          <cell r="U437" t="str">
            <v/>
          </cell>
          <cell r="V437" t="str">
            <v>N52</v>
          </cell>
          <cell r="W437" t="str">
            <v/>
          </cell>
          <cell r="X437" t="str">
            <v/>
          </cell>
          <cell r="Y437" t="str">
            <v/>
          </cell>
          <cell r="Z437" t="str">
            <v/>
          </cell>
          <cell r="AA437" t="str">
            <v/>
          </cell>
          <cell r="AB437" t="str">
            <v>PA_4438245-UA.7005-3</v>
          </cell>
          <cell r="AC437">
            <v>1</v>
          </cell>
          <cell r="AD437" t="str">
            <v/>
          </cell>
          <cell r="AE437">
            <v>0</v>
          </cell>
          <cell r="AF437" t="str">
            <v/>
          </cell>
          <cell r="AG437" t="str">
            <v>12519424</v>
          </cell>
          <cell r="AH437">
            <v>44629.935104166667</v>
          </cell>
          <cell r="AI437" t="str">
            <v>N52</v>
          </cell>
          <cell r="AJ437" t="str">
            <v>F</v>
          </cell>
          <cell r="AK437" t="str">
            <v/>
          </cell>
        </row>
        <row r="438">
          <cell r="A438" t="str">
            <v>12529619829053</v>
          </cell>
          <cell r="B438" t="e">
            <v>#N/A</v>
          </cell>
          <cell r="C438">
            <v>14</v>
          </cell>
          <cell r="D438" t="str">
            <v>EK65</v>
          </cell>
          <cell r="E438" t="str">
            <v>525901</v>
          </cell>
          <cell r="F438" t="str">
            <v>E</v>
          </cell>
          <cell r="G438" t="str">
            <v>12529619</v>
          </cell>
          <cell r="H438" t="str">
            <v>Halter</v>
          </cell>
          <cell r="I438">
            <v>25</v>
          </cell>
          <cell r="J438" t="str">
            <v>Stk</v>
          </cell>
          <cell r="K438">
            <v>45218</v>
          </cell>
          <cell r="L438" t="str">
            <v>829053</v>
          </cell>
          <cell r="M438" t="str">
            <v/>
          </cell>
          <cell r="N438" t="str">
            <v/>
          </cell>
          <cell r="O438" t="str">
            <v/>
          </cell>
          <cell r="P438" t="str">
            <v/>
          </cell>
          <cell r="Q438" t="str">
            <v/>
          </cell>
          <cell r="R438" t="str">
            <v/>
          </cell>
          <cell r="S438" t="str">
            <v/>
          </cell>
          <cell r="T438" t="str">
            <v/>
          </cell>
          <cell r="U438" t="str">
            <v/>
          </cell>
          <cell r="V438" t="str">
            <v>N52</v>
          </cell>
          <cell r="W438" t="str">
            <v/>
          </cell>
          <cell r="X438" t="str">
            <v/>
          </cell>
          <cell r="Y438" t="str">
            <v/>
          </cell>
          <cell r="Z438" t="str">
            <v/>
          </cell>
          <cell r="AA438" t="str">
            <v/>
          </cell>
          <cell r="AB438" t="str">
            <v>PA_4373614-UA.7005-3</v>
          </cell>
          <cell r="AC438">
            <v>1</v>
          </cell>
          <cell r="AD438" t="str">
            <v/>
          </cell>
          <cell r="AE438">
            <v>0</v>
          </cell>
          <cell r="AF438" t="str">
            <v/>
          </cell>
          <cell r="AG438" t="str">
            <v>12529619</v>
          </cell>
          <cell r="AH438">
            <v>44629.937719907408</v>
          </cell>
          <cell r="AI438" t="str">
            <v>N52</v>
          </cell>
          <cell r="AJ438" t="str">
            <v>F</v>
          </cell>
          <cell r="AK438" t="str">
            <v/>
          </cell>
        </row>
        <row r="439">
          <cell r="A439" t="str">
            <v>12496621829051</v>
          </cell>
          <cell r="B439" t="e">
            <v>#N/A</v>
          </cell>
          <cell r="C439">
            <v>12</v>
          </cell>
          <cell r="D439" t="str">
            <v>EK65</v>
          </cell>
          <cell r="E439" t="str">
            <v>529038</v>
          </cell>
          <cell r="F439" t="str">
            <v>E</v>
          </cell>
          <cell r="G439" t="str">
            <v>12496621</v>
          </cell>
          <cell r="H439" t="str">
            <v>JK Hinterlage Niederhalter</v>
          </cell>
          <cell r="I439">
            <v>1086</v>
          </cell>
          <cell r="J439" t="str">
            <v>Stk</v>
          </cell>
          <cell r="K439">
            <v>45310</v>
          </cell>
          <cell r="L439" t="str">
            <v>829051</v>
          </cell>
          <cell r="M439" t="str">
            <v/>
          </cell>
          <cell r="N439" t="str">
            <v/>
          </cell>
          <cell r="O439" t="str">
            <v/>
          </cell>
          <cell r="P439" t="str">
            <v/>
          </cell>
          <cell r="Q439" t="str">
            <v/>
          </cell>
          <cell r="R439" t="str">
            <v/>
          </cell>
          <cell r="S439" t="str">
            <v/>
          </cell>
          <cell r="T439" t="str">
            <v/>
          </cell>
          <cell r="U439" t="str">
            <v/>
          </cell>
          <cell r="V439" t="str">
            <v>N52</v>
          </cell>
          <cell r="W439" t="str">
            <v/>
          </cell>
          <cell r="X439" t="str">
            <v/>
          </cell>
          <cell r="Y439" t="str">
            <v/>
          </cell>
          <cell r="Z439" t="str">
            <v/>
          </cell>
          <cell r="AA439" t="str">
            <v/>
          </cell>
          <cell r="AB439" t="str">
            <v>PA_4278947-NB.7005-3</v>
          </cell>
          <cell r="AC439">
            <v>1</v>
          </cell>
          <cell r="AD439" t="str">
            <v/>
          </cell>
          <cell r="AE439">
            <v>0</v>
          </cell>
          <cell r="AF439" t="str">
            <v/>
          </cell>
          <cell r="AG439" t="str">
            <v>12496621</v>
          </cell>
          <cell r="AH439">
            <v>44630.95207175926</v>
          </cell>
          <cell r="AI439" t="str">
            <v>N52</v>
          </cell>
          <cell r="AJ439" t="str">
            <v>F</v>
          </cell>
          <cell r="AK439" t="str">
            <v/>
          </cell>
        </row>
        <row r="440">
          <cell r="A440" t="str">
            <v>12496621829052</v>
          </cell>
          <cell r="B440" t="str">
            <v>BL20230413-2</v>
          </cell>
          <cell r="C440">
            <v>12</v>
          </cell>
          <cell r="D440" t="str">
            <v>EK65</v>
          </cell>
          <cell r="E440" t="str">
            <v>529039</v>
          </cell>
          <cell r="F440" t="str">
            <v>E</v>
          </cell>
          <cell r="G440" t="str">
            <v>12496621</v>
          </cell>
          <cell r="H440" t="str">
            <v>JK Hinterlage Niederhalter</v>
          </cell>
          <cell r="I440">
            <v>372</v>
          </cell>
          <cell r="J440" t="str">
            <v>Stk</v>
          </cell>
          <cell r="K440">
            <v>45344</v>
          </cell>
          <cell r="L440" t="str">
            <v>829052</v>
          </cell>
          <cell r="M440" t="str">
            <v/>
          </cell>
          <cell r="N440" t="str">
            <v/>
          </cell>
          <cell r="O440" t="str">
            <v/>
          </cell>
          <cell r="P440" t="str">
            <v/>
          </cell>
          <cell r="Q440" t="str">
            <v/>
          </cell>
          <cell r="R440" t="str">
            <v/>
          </cell>
          <cell r="S440" t="str">
            <v/>
          </cell>
          <cell r="T440" t="str">
            <v/>
          </cell>
          <cell r="U440" t="str">
            <v/>
          </cell>
          <cell r="V440" t="str">
            <v>N52</v>
          </cell>
          <cell r="W440" t="str">
            <v/>
          </cell>
          <cell r="X440" t="str">
            <v/>
          </cell>
          <cell r="Y440" t="str">
            <v/>
          </cell>
          <cell r="Z440" t="str">
            <v/>
          </cell>
          <cell r="AA440" t="str">
            <v/>
          </cell>
          <cell r="AB440" t="str">
            <v>PA_4278947-NB.7005-3</v>
          </cell>
          <cell r="AC440">
            <v>1</v>
          </cell>
          <cell r="AD440" t="str">
            <v/>
          </cell>
          <cell r="AE440">
            <v>0</v>
          </cell>
          <cell r="AF440" t="str">
            <v/>
          </cell>
          <cell r="AG440" t="str">
            <v>12496621</v>
          </cell>
          <cell r="AH440">
            <v>44630.95207175926</v>
          </cell>
          <cell r="AI440" t="str">
            <v>N52</v>
          </cell>
          <cell r="AJ440" t="str">
            <v>F</v>
          </cell>
          <cell r="AK440" t="str">
            <v/>
          </cell>
        </row>
        <row r="441">
          <cell r="A441" t="str">
            <v>12496626829051</v>
          </cell>
          <cell r="B441" t="e">
            <v>#N/A</v>
          </cell>
          <cell r="C441">
            <v>16</v>
          </cell>
          <cell r="D441" t="str">
            <v>EK65</v>
          </cell>
          <cell r="E441" t="str">
            <v>529040</v>
          </cell>
          <cell r="F441" t="str">
            <v>E</v>
          </cell>
          <cell r="G441" t="str">
            <v>12496626</v>
          </cell>
          <cell r="H441" t="str">
            <v>JK Hinterlage Schwenkhebel</v>
          </cell>
          <cell r="I441">
            <v>1812</v>
          </cell>
          <cell r="J441" t="str">
            <v>Stk</v>
          </cell>
          <cell r="K441">
            <v>45310</v>
          </cell>
          <cell r="L441" t="str">
            <v>829051</v>
          </cell>
          <cell r="M441" t="str">
            <v/>
          </cell>
          <cell r="N441" t="str">
            <v/>
          </cell>
          <cell r="O441" t="str">
            <v/>
          </cell>
          <cell r="P441" t="str">
            <v/>
          </cell>
          <cell r="Q441" t="str">
            <v/>
          </cell>
          <cell r="R441" t="str">
            <v/>
          </cell>
          <cell r="S441" t="str">
            <v/>
          </cell>
          <cell r="T441" t="str">
            <v/>
          </cell>
          <cell r="U441" t="str">
            <v/>
          </cell>
          <cell r="V441" t="str">
            <v>N52</v>
          </cell>
          <cell r="W441" t="str">
            <v/>
          </cell>
          <cell r="X441" t="str">
            <v/>
          </cell>
          <cell r="Y441" t="str">
            <v/>
          </cell>
          <cell r="Z441" t="str">
            <v/>
          </cell>
          <cell r="AA441" t="str">
            <v/>
          </cell>
          <cell r="AB441" t="str">
            <v>PA_2335400-NB.7005-3</v>
          </cell>
          <cell r="AC441">
            <v>1</v>
          </cell>
          <cell r="AD441" t="str">
            <v/>
          </cell>
          <cell r="AE441">
            <v>0</v>
          </cell>
          <cell r="AF441" t="str">
            <v/>
          </cell>
          <cell r="AG441" t="str">
            <v>12496626</v>
          </cell>
          <cell r="AH441">
            <v>44630.952152777776</v>
          </cell>
          <cell r="AI441" t="str">
            <v>N52</v>
          </cell>
          <cell r="AJ441" t="str">
            <v>F</v>
          </cell>
          <cell r="AK441" t="str">
            <v/>
          </cell>
        </row>
        <row r="442">
          <cell r="A442" t="str">
            <v>12496626829052</v>
          </cell>
          <cell r="B442" t="str">
            <v>BL20230413-2</v>
          </cell>
          <cell r="C442">
            <v>16</v>
          </cell>
          <cell r="D442" t="str">
            <v>EK65</v>
          </cell>
          <cell r="E442" t="str">
            <v>529041</v>
          </cell>
          <cell r="F442" t="str">
            <v>E</v>
          </cell>
          <cell r="G442" t="str">
            <v>12496626</v>
          </cell>
          <cell r="H442" t="str">
            <v>JK Hinterlage Schwenkhebel</v>
          </cell>
          <cell r="I442">
            <v>748</v>
          </cell>
          <cell r="J442" t="str">
            <v>Stk</v>
          </cell>
          <cell r="K442">
            <v>45343</v>
          </cell>
          <cell r="L442" t="str">
            <v>829052</v>
          </cell>
          <cell r="M442" t="str">
            <v/>
          </cell>
          <cell r="N442" t="str">
            <v/>
          </cell>
          <cell r="O442" t="str">
            <v/>
          </cell>
          <cell r="P442" t="str">
            <v/>
          </cell>
          <cell r="Q442" t="str">
            <v/>
          </cell>
          <cell r="R442" t="str">
            <v/>
          </cell>
          <cell r="S442" t="str">
            <v/>
          </cell>
          <cell r="T442" t="str">
            <v/>
          </cell>
          <cell r="U442" t="str">
            <v/>
          </cell>
          <cell r="V442" t="str">
            <v>N52</v>
          </cell>
          <cell r="W442" t="str">
            <v/>
          </cell>
          <cell r="X442" t="str">
            <v/>
          </cell>
          <cell r="Y442" t="str">
            <v/>
          </cell>
          <cell r="Z442" t="str">
            <v/>
          </cell>
          <cell r="AA442" t="str">
            <v/>
          </cell>
          <cell r="AB442" t="str">
            <v>PA_2335400-NB.7005-3</v>
          </cell>
          <cell r="AC442">
            <v>1</v>
          </cell>
          <cell r="AD442" t="str">
            <v/>
          </cell>
          <cell r="AE442">
            <v>0</v>
          </cell>
          <cell r="AF442" t="str">
            <v/>
          </cell>
          <cell r="AG442" t="str">
            <v>12496626</v>
          </cell>
          <cell r="AH442">
            <v>44630.952164351853</v>
          </cell>
          <cell r="AI442" t="str">
            <v>N52</v>
          </cell>
          <cell r="AJ442" t="str">
            <v>F</v>
          </cell>
          <cell r="AK442" t="str">
            <v/>
          </cell>
        </row>
        <row r="443">
          <cell r="A443" t="str">
            <v>12527114829051</v>
          </cell>
          <cell r="B443" t="e">
            <v>#N/A</v>
          </cell>
          <cell r="C443">
            <v>10</v>
          </cell>
          <cell r="D443" t="str">
            <v>EK65</v>
          </cell>
          <cell r="E443" t="str">
            <v>529058</v>
          </cell>
          <cell r="F443" t="str">
            <v>E</v>
          </cell>
          <cell r="G443" t="str">
            <v>12527114</v>
          </cell>
          <cell r="H443" t="str">
            <v>J-Dehnhuelse ID10,5 AD25 H20</v>
          </cell>
          <cell r="I443">
            <v>3260</v>
          </cell>
          <cell r="J443" t="str">
            <v>Stk</v>
          </cell>
          <cell r="K443">
            <v>45310</v>
          </cell>
          <cell r="L443" t="str">
            <v>829051</v>
          </cell>
          <cell r="M443" t="str">
            <v/>
          </cell>
          <cell r="N443" t="str">
            <v/>
          </cell>
          <cell r="O443" t="str">
            <v/>
          </cell>
          <cell r="P443" t="str">
            <v/>
          </cell>
          <cell r="Q443" t="str">
            <v/>
          </cell>
          <cell r="R443" t="str">
            <v/>
          </cell>
          <cell r="S443" t="str">
            <v/>
          </cell>
          <cell r="T443" t="str">
            <v/>
          </cell>
          <cell r="U443" t="str">
            <v/>
          </cell>
          <cell r="V443" t="str">
            <v>N52</v>
          </cell>
          <cell r="W443" t="str">
            <v/>
          </cell>
          <cell r="X443" t="str">
            <v/>
          </cell>
          <cell r="Y443" t="str">
            <v/>
          </cell>
          <cell r="Z443" t="str">
            <v/>
          </cell>
          <cell r="AA443" t="str">
            <v/>
          </cell>
          <cell r="AB443" t="str">
            <v>PA_4583479-NB.7005-4</v>
          </cell>
          <cell r="AC443">
            <v>1</v>
          </cell>
          <cell r="AD443" t="str">
            <v/>
          </cell>
          <cell r="AE443">
            <v>0</v>
          </cell>
          <cell r="AF443" t="str">
            <v/>
          </cell>
          <cell r="AG443" t="str">
            <v>12527114</v>
          </cell>
          <cell r="AH443">
            <v>44630.955208333333</v>
          </cell>
          <cell r="AI443" t="str">
            <v>N52</v>
          </cell>
          <cell r="AJ443" t="str">
            <v>F</v>
          </cell>
          <cell r="AK443" t="str">
            <v/>
          </cell>
        </row>
        <row r="444">
          <cell r="A444" t="str">
            <v>12527114829052</v>
          </cell>
          <cell r="B444" t="e">
            <v>#N/A</v>
          </cell>
          <cell r="C444">
            <v>10</v>
          </cell>
          <cell r="D444" t="str">
            <v>EK65</v>
          </cell>
          <cell r="E444" t="str">
            <v>529059</v>
          </cell>
          <cell r="F444" t="str">
            <v>E</v>
          </cell>
          <cell r="G444" t="str">
            <v>12527114</v>
          </cell>
          <cell r="H444" t="str">
            <v>J-Dehnhuelse ID10,5 AD25 H20</v>
          </cell>
          <cell r="I444">
            <v>328</v>
          </cell>
          <cell r="J444" t="str">
            <v>Stk</v>
          </cell>
          <cell r="K444">
            <v>45492</v>
          </cell>
          <cell r="L444" t="str">
            <v>829052</v>
          </cell>
          <cell r="M444" t="str">
            <v/>
          </cell>
          <cell r="N444" t="str">
            <v/>
          </cell>
          <cell r="O444" t="str">
            <v/>
          </cell>
          <cell r="P444" t="str">
            <v/>
          </cell>
          <cell r="Q444" t="str">
            <v/>
          </cell>
          <cell r="R444" t="str">
            <v/>
          </cell>
          <cell r="S444" t="str">
            <v/>
          </cell>
          <cell r="T444" t="str">
            <v/>
          </cell>
          <cell r="U444" t="str">
            <v/>
          </cell>
          <cell r="V444" t="str">
            <v>N52</v>
          </cell>
          <cell r="W444" t="str">
            <v/>
          </cell>
          <cell r="X444" t="str">
            <v/>
          </cell>
          <cell r="Y444" t="str">
            <v/>
          </cell>
          <cell r="Z444" t="str">
            <v/>
          </cell>
          <cell r="AA444" t="str">
            <v/>
          </cell>
          <cell r="AB444" t="str">
            <v>PA_4583479-NB.7005-4</v>
          </cell>
          <cell r="AC444">
            <v>1</v>
          </cell>
          <cell r="AD444" t="str">
            <v/>
          </cell>
          <cell r="AE444">
            <v>0</v>
          </cell>
          <cell r="AF444" t="str">
            <v/>
          </cell>
          <cell r="AG444" t="str">
            <v>12527114</v>
          </cell>
          <cell r="AH444">
            <v>44630.955208333333</v>
          </cell>
          <cell r="AI444" t="str">
            <v>N52</v>
          </cell>
          <cell r="AJ444" t="str">
            <v>F</v>
          </cell>
          <cell r="AK444" t="str">
            <v/>
          </cell>
        </row>
        <row r="445">
          <cell r="A445" t="str">
            <v>12531589829051</v>
          </cell>
          <cell r="B445" t="e">
            <v>#N/A</v>
          </cell>
          <cell r="C445">
            <v>20</v>
          </cell>
          <cell r="D445" t="str">
            <v>EK65</v>
          </cell>
          <cell r="E445" t="str">
            <v>529061</v>
          </cell>
          <cell r="F445" t="str">
            <v>E</v>
          </cell>
          <cell r="G445" t="str">
            <v>12531589</v>
          </cell>
          <cell r="H445" t="str">
            <v>Anschlag</v>
          </cell>
          <cell r="I445">
            <v>92</v>
          </cell>
          <cell r="J445" t="str">
            <v>Stk</v>
          </cell>
          <cell r="K445">
            <v>45324</v>
          </cell>
          <cell r="L445" t="str">
            <v>829051</v>
          </cell>
          <cell r="M445" t="str">
            <v/>
          </cell>
          <cell r="N445" t="str">
            <v/>
          </cell>
          <cell r="O445" t="str">
            <v/>
          </cell>
          <cell r="P445" t="str">
            <v/>
          </cell>
          <cell r="Q445" t="str">
            <v/>
          </cell>
          <cell r="R445" t="str">
            <v/>
          </cell>
          <cell r="S445" t="str">
            <v/>
          </cell>
          <cell r="T445" t="str">
            <v/>
          </cell>
          <cell r="U445" t="str">
            <v/>
          </cell>
          <cell r="V445" t="str">
            <v>N52</v>
          </cell>
          <cell r="W445" t="str">
            <v/>
          </cell>
          <cell r="X445" t="str">
            <v/>
          </cell>
          <cell r="Y445" t="str">
            <v/>
          </cell>
          <cell r="Z445" t="str">
            <v/>
          </cell>
          <cell r="AA445" t="str">
            <v/>
          </cell>
          <cell r="AB445" t="str">
            <v>PA_2346176-CF.7005-3</v>
          </cell>
          <cell r="AC445">
            <v>1</v>
          </cell>
          <cell r="AD445" t="str">
            <v/>
          </cell>
          <cell r="AE445">
            <v>0</v>
          </cell>
          <cell r="AF445" t="str">
            <v/>
          </cell>
          <cell r="AG445" t="str">
            <v>12531589</v>
          </cell>
          <cell r="AH445">
            <v>44630.955659722225</v>
          </cell>
          <cell r="AI445" t="str">
            <v>N52</v>
          </cell>
          <cell r="AJ445" t="str">
            <v>F</v>
          </cell>
          <cell r="AK445" t="str">
            <v/>
          </cell>
        </row>
        <row r="446">
          <cell r="A446" t="str">
            <v>12545251829051</v>
          </cell>
          <cell r="B446" t="e">
            <v>#N/A</v>
          </cell>
          <cell r="C446">
            <v>12</v>
          </cell>
          <cell r="D446" t="str">
            <v>EK65</v>
          </cell>
          <cell r="E446" t="str">
            <v>529062</v>
          </cell>
          <cell r="F446" t="str">
            <v>E</v>
          </cell>
          <cell r="G446" t="str">
            <v>12545251</v>
          </cell>
          <cell r="H446" t="str">
            <v>Konsole fuer Luftbehaelter</v>
          </cell>
          <cell r="I446">
            <v>90</v>
          </cell>
          <cell r="J446" t="str">
            <v>Stk</v>
          </cell>
          <cell r="K446">
            <v>45316</v>
          </cell>
          <cell r="L446" t="str">
            <v>829051</v>
          </cell>
          <cell r="M446" t="str">
            <v/>
          </cell>
          <cell r="N446" t="str">
            <v/>
          </cell>
          <cell r="O446" t="str">
            <v/>
          </cell>
          <cell r="P446" t="str">
            <v/>
          </cell>
          <cell r="Q446" t="str">
            <v/>
          </cell>
          <cell r="R446" t="str">
            <v/>
          </cell>
          <cell r="S446" t="str">
            <v/>
          </cell>
          <cell r="T446" t="str">
            <v/>
          </cell>
          <cell r="U446" t="str">
            <v/>
          </cell>
          <cell r="V446" t="str">
            <v>N52</v>
          </cell>
          <cell r="W446" t="str">
            <v/>
          </cell>
          <cell r="X446" t="str">
            <v/>
          </cell>
          <cell r="Y446" t="str">
            <v/>
          </cell>
          <cell r="Z446" t="str">
            <v/>
          </cell>
          <cell r="AA446" t="str">
            <v/>
          </cell>
          <cell r="AB446" t="str">
            <v>PA_4442575-QE.7004-3</v>
          </cell>
          <cell r="AC446">
            <v>1</v>
          </cell>
          <cell r="AD446" t="str">
            <v/>
          </cell>
          <cell r="AE446">
            <v>0</v>
          </cell>
          <cell r="AF446" t="str">
            <v/>
          </cell>
          <cell r="AG446" t="str">
            <v>12545251</v>
          </cell>
          <cell r="AH446">
            <v>44630.955682870372</v>
          </cell>
          <cell r="AI446" t="str">
            <v>N52</v>
          </cell>
          <cell r="AJ446" t="str">
            <v>F</v>
          </cell>
          <cell r="AK446" t="str">
            <v/>
          </cell>
        </row>
        <row r="447">
          <cell r="A447" t="str">
            <v>12545251829052</v>
          </cell>
          <cell r="B447" t="str">
            <v>BL20230413-2</v>
          </cell>
          <cell r="C447">
            <v>12</v>
          </cell>
          <cell r="D447" t="str">
            <v>EK65</v>
          </cell>
          <cell r="E447" t="str">
            <v>529063</v>
          </cell>
          <cell r="F447" t="str">
            <v>E</v>
          </cell>
          <cell r="G447" t="str">
            <v>12545251</v>
          </cell>
          <cell r="H447" t="str">
            <v>Konsole fuer Luftbehaelter</v>
          </cell>
          <cell r="I447">
            <v>31</v>
          </cell>
          <cell r="J447" t="str">
            <v>Stk</v>
          </cell>
          <cell r="K447">
            <v>45338</v>
          </cell>
          <cell r="L447" t="str">
            <v>829052</v>
          </cell>
          <cell r="M447" t="str">
            <v/>
          </cell>
          <cell r="N447" t="str">
            <v/>
          </cell>
          <cell r="O447" t="str">
            <v/>
          </cell>
          <cell r="P447" t="str">
            <v/>
          </cell>
          <cell r="Q447" t="str">
            <v/>
          </cell>
          <cell r="R447" t="str">
            <v/>
          </cell>
          <cell r="S447" t="str">
            <v/>
          </cell>
          <cell r="T447" t="str">
            <v/>
          </cell>
          <cell r="U447" t="str">
            <v/>
          </cell>
          <cell r="V447" t="str">
            <v>N52</v>
          </cell>
          <cell r="W447" t="str">
            <v/>
          </cell>
          <cell r="X447" t="str">
            <v/>
          </cell>
          <cell r="Y447" t="str">
            <v/>
          </cell>
          <cell r="Z447" t="str">
            <v/>
          </cell>
          <cell r="AA447" t="str">
            <v/>
          </cell>
          <cell r="AB447" t="str">
            <v>PA_4442575-QE.7004-3</v>
          </cell>
          <cell r="AC447">
            <v>1</v>
          </cell>
          <cell r="AD447" t="str">
            <v/>
          </cell>
          <cell r="AE447">
            <v>0</v>
          </cell>
          <cell r="AF447" t="str">
            <v/>
          </cell>
          <cell r="AG447" t="str">
            <v>12545251</v>
          </cell>
          <cell r="AH447">
            <v>44630.955682870372</v>
          </cell>
          <cell r="AI447" t="str">
            <v>N52</v>
          </cell>
          <cell r="AJ447" t="str">
            <v>F</v>
          </cell>
          <cell r="AK447" t="str">
            <v/>
          </cell>
        </row>
        <row r="448">
          <cell r="A448" t="str">
            <v>12545983829051</v>
          </cell>
          <cell r="B448" t="e">
            <v>#N/A</v>
          </cell>
          <cell r="C448">
            <v>6</v>
          </cell>
          <cell r="D448" t="str">
            <v>EK65</v>
          </cell>
          <cell r="E448" t="str">
            <v>529066</v>
          </cell>
          <cell r="F448" t="str">
            <v>E</v>
          </cell>
          <cell r="G448" t="str">
            <v>12545983</v>
          </cell>
          <cell r="H448" t="str">
            <v>Halter ZGE</v>
          </cell>
          <cell r="I448">
            <v>90</v>
          </cell>
          <cell r="J448" t="str">
            <v>Stk</v>
          </cell>
          <cell r="K448">
            <v>45310</v>
          </cell>
          <cell r="L448" t="str">
            <v>829051</v>
          </cell>
          <cell r="M448" t="str">
            <v/>
          </cell>
          <cell r="N448" t="str">
            <v/>
          </cell>
          <cell r="O448" t="str">
            <v/>
          </cell>
          <cell r="P448" t="str">
            <v/>
          </cell>
          <cell r="Q448" t="str">
            <v/>
          </cell>
          <cell r="R448" t="str">
            <v/>
          </cell>
          <cell r="S448" t="str">
            <v/>
          </cell>
          <cell r="T448" t="str">
            <v/>
          </cell>
          <cell r="U448" t="str">
            <v/>
          </cell>
          <cell r="V448" t="str">
            <v>N52</v>
          </cell>
          <cell r="W448" t="str">
            <v/>
          </cell>
          <cell r="X448" t="str">
            <v/>
          </cell>
          <cell r="Y448" t="str">
            <v/>
          </cell>
          <cell r="Z448" t="str">
            <v/>
          </cell>
          <cell r="AA448" t="str">
            <v/>
          </cell>
          <cell r="AB448" t="str">
            <v>PA_4467282-QE.7004-3</v>
          </cell>
          <cell r="AC448">
            <v>1</v>
          </cell>
          <cell r="AD448" t="str">
            <v/>
          </cell>
          <cell r="AE448">
            <v>0</v>
          </cell>
          <cell r="AF448" t="str">
            <v/>
          </cell>
          <cell r="AG448" t="str">
            <v>12545983</v>
          </cell>
          <cell r="AH448">
            <v>44630.955972222226</v>
          </cell>
          <cell r="AI448" t="str">
            <v>N52</v>
          </cell>
          <cell r="AJ448" t="str">
            <v>F</v>
          </cell>
          <cell r="AK448" t="str">
            <v/>
          </cell>
        </row>
        <row r="449">
          <cell r="A449" t="str">
            <v>12519512829053</v>
          </cell>
          <cell r="B449" t="e">
            <v>#N/A</v>
          </cell>
          <cell r="C449">
            <v>12</v>
          </cell>
          <cell r="D449" t="str">
            <v>EK65</v>
          </cell>
          <cell r="E449" t="str">
            <v>531490</v>
          </cell>
          <cell r="F449" t="str">
            <v>E</v>
          </cell>
          <cell r="G449" t="str">
            <v>12519512</v>
          </cell>
          <cell r="H449" t="str">
            <v>Luefterhalter</v>
          </cell>
          <cell r="I449">
            <v>48</v>
          </cell>
          <cell r="J449" t="str">
            <v>Stk</v>
          </cell>
          <cell r="K449">
            <v>45153</v>
          </cell>
          <cell r="L449" t="str">
            <v>829053</v>
          </cell>
          <cell r="M449" t="str">
            <v/>
          </cell>
          <cell r="N449" t="str">
            <v/>
          </cell>
          <cell r="O449" t="str">
            <v/>
          </cell>
          <cell r="P449" t="str">
            <v/>
          </cell>
          <cell r="Q449" t="str">
            <v/>
          </cell>
          <cell r="R449" t="str">
            <v/>
          </cell>
          <cell r="S449" t="str">
            <v/>
          </cell>
          <cell r="T449" t="str">
            <v/>
          </cell>
          <cell r="U449" t="str">
            <v/>
          </cell>
          <cell r="V449" t="str">
            <v>N52</v>
          </cell>
          <cell r="W449" t="str">
            <v/>
          </cell>
          <cell r="X449" t="str">
            <v/>
          </cell>
          <cell r="Y449" t="str">
            <v/>
          </cell>
          <cell r="Z449" t="str">
            <v/>
          </cell>
          <cell r="AA449" t="str">
            <v/>
          </cell>
          <cell r="AB449" t="str">
            <v>PA_4448225-TA.7005-3</v>
          </cell>
          <cell r="AC449">
            <v>1</v>
          </cell>
          <cell r="AD449" t="str">
            <v/>
          </cell>
          <cell r="AE449">
            <v>0</v>
          </cell>
          <cell r="AF449" t="str">
            <v/>
          </cell>
          <cell r="AG449" t="str">
            <v>12519512</v>
          </cell>
          <cell r="AH449">
            <v>44633.867060185185</v>
          </cell>
          <cell r="AI449" t="str">
            <v>N52</v>
          </cell>
          <cell r="AJ449" t="str">
            <v>F</v>
          </cell>
          <cell r="AK449" t="str">
            <v/>
          </cell>
        </row>
        <row r="450">
          <cell r="A450" t="str">
            <v>12519732820531</v>
          </cell>
          <cell r="B450" t="e">
            <v>#N/A</v>
          </cell>
          <cell r="C450" t="e">
            <v>#N/A</v>
          </cell>
          <cell r="D450" t="str">
            <v>EK65</v>
          </cell>
          <cell r="E450" t="str">
            <v>531491</v>
          </cell>
          <cell r="F450" t="str">
            <v>E</v>
          </cell>
          <cell r="G450" t="str">
            <v>12519732</v>
          </cell>
          <cell r="H450" t="str">
            <v>Schirmblech E16Mod</v>
          </cell>
          <cell r="I450">
            <v>1</v>
          </cell>
          <cell r="J450" t="str">
            <v>Stk</v>
          </cell>
          <cell r="K450">
            <v>45073</v>
          </cell>
          <cell r="L450" t="str">
            <v>820531</v>
          </cell>
          <cell r="M450" t="str">
            <v/>
          </cell>
          <cell r="N450" t="str">
            <v/>
          </cell>
          <cell r="O450" t="str">
            <v/>
          </cell>
          <cell r="P450" t="str">
            <v/>
          </cell>
          <cell r="Q450" t="str">
            <v/>
          </cell>
          <cell r="R450" t="str">
            <v/>
          </cell>
          <cell r="S450" t="str">
            <v/>
          </cell>
          <cell r="T450" t="str">
            <v/>
          </cell>
          <cell r="U450" t="str">
            <v/>
          </cell>
          <cell r="V450" t="str">
            <v>N52</v>
          </cell>
          <cell r="W450" t="str">
            <v/>
          </cell>
          <cell r="X450" t="str">
            <v/>
          </cell>
          <cell r="Y450" t="str">
            <v/>
          </cell>
          <cell r="Z450" t="str">
            <v/>
          </cell>
          <cell r="AA450" t="str">
            <v/>
          </cell>
          <cell r="AB450" t="str">
            <v>PA_4569623-UA.7005-2</v>
          </cell>
          <cell r="AC450">
            <v>1</v>
          </cell>
          <cell r="AD450" t="str">
            <v/>
          </cell>
          <cell r="AE450">
            <v>0</v>
          </cell>
          <cell r="AF450" t="str">
            <v/>
          </cell>
          <cell r="AG450" t="str">
            <v>12519732</v>
          </cell>
          <cell r="AH450">
            <v>44633.867280092592</v>
          </cell>
          <cell r="AI450" t="str">
            <v>N52</v>
          </cell>
          <cell r="AJ450" t="str">
            <v>F</v>
          </cell>
          <cell r="AK450" t="str">
            <v/>
          </cell>
        </row>
        <row r="451">
          <cell r="A451" t="str">
            <v>12528935829053</v>
          </cell>
          <cell r="B451" t="e">
            <v>#N/A</v>
          </cell>
          <cell r="C451">
            <v>10</v>
          </cell>
          <cell r="D451" t="str">
            <v>EK65</v>
          </cell>
          <cell r="E451" t="str">
            <v>531492</v>
          </cell>
          <cell r="F451" t="str">
            <v>E</v>
          </cell>
          <cell r="G451" t="str">
            <v>12528935</v>
          </cell>
          <cell r="H451" t="str">
            <v>Halter</v>
          </cell>
          <cell r="I451">
            <v>48</v>
          </cell>
          <cell r="J451" t="str">
            <v>Stk</v>
          </cell>
          <cell r="K451">
            <v>45153</v>
          </cell>
          <cell r="L451" t="str">
            <v>829053</v>
          </cell>
          <cell r="M451" t="str">
            <v/>
          </cell>
          <cell r="N451" t="str">
            <v/>
          </cell>
          <cell r="O451" t="str">
            <v/>
          </cell>
          <cell r="P451" t="str">
            <v/>
          </cell>
          <cell r="Q451" t="str">
            <v/>
          </cell>
          <cell r="R451" t="str">
            <v/>
          </cell>
          <cell r="S451" t="str">
            <v/>
          </cell>
          <cell r="T451" t="str">
            <v/>
          </cell>
          <cell r="U451" t="str">
            <v/>
          </cell>
          <cell r="V451" t="str">
            <v>N52</v>
          </cell>
          <cell r="W451" t="str">
            <v/>
          </cell>
          <cell r="X451" t="str">
            <v/>
          </cell>
          <cell r="Y451" t="str">
            <v/>
          </cell>
          <cell r="Z451" t="str">
            <v/>
          </cell>
          <cell r="AA451" t="str">
            <v/>
          </cell>
          <cell r="AB451" t="str">
            <v>PA_4591683-TA.7005-3</v>
          </cell>
          <cell r="AC451">
            <v>1</v>
          </cell>
          <cell r="AD451" t="str">
            <v/>
          </cell>
          <cell r="AE451">
            <v>0</v>
          </cell>
          <cell r="AF451" t="str">
            <v/>
          </cell>
          <cell r="AG451" t="str">
            <v>12528935</v>
          </cell>
          <cell r="AH451">
            <v>44633.867662037039</v>
          </cell>
          <cell r="AI451" t="str">
            <v>N52</v>
          </cell>
          <cell r="AJ451" t="str">
            <v>F</v>
          </cell>
          <cell r="AK451" t="str">
            <v/>
          </cell>
        </row>
        <row r="452">
          <cell r="A452" t="str">
            <v>12532721829053</v>
          </cell>
          <cell r="B452" t="e">
            <v>#N/A</v>
          </cell>
          <cell r="C452">
            <v>15</v>
          </cell>
          <cell r="D452" t="str">
            <v>EK65</v>
          </cell>
          <cell r="E452" t="str">
            <v>531584</v>
          </cell>
          <cell r="F452" t="str">
            <v>E</v>
          </cell>
          <cell r="G452" t="str">
            <v>12532721</v>
          </cell>
          <cell r="H452" t="str">
            <v>Blech</v>
          </cell>
          <cell r="I452">
            <v>99</v>
          </cell>
          <cell r="J452" t="str">
            <v>Stk</v>
          </cell>
          <cell r="K452">
            <v>45500</v>
          </cell>
          <cell r="L452" t="str">
            <v>829053</v>
          </cell>
          <cell r="M452" t="str">
            <v/>
          </cell>
          <cell r="N452" t="str">
            <v/>
          </cell>
          <cell r="O452" t="str">
            <v/>
          </cell>
          <cell r="P452" t="str">
            <v/>
          </cell>
          <cell r="Q452" t="str">
            <v/>
          </cell>
          <cell r="R452" t="str">
            <v/>
          </cell>
          <cell r="S452" t="str">
            <v/>
          </cell>
          <cell r="T452" t="str">
            <v/>
          </cell>
          <cell r="U452" t="str">
            <v/>
          </cell>
          <cell r="V452" t="str">
            <v>N52</v>
          </cell>
          <cell r="W452" t="str">
            <v/>
          </cell>
          <cell r="X452" t="str">
            <v/>
          </cell>
          <cell r="Y452" t="str">
            <v/>
          </cell>
          <cell r="Z452" t="str">
            <v/>
          </cell>
          <cell r="AA452" t="str">
            <v/>
          </cell>
          <cell r="AB452" t="str">
            <v>PA_4534931-UA.7005-3</v>
          </cell>
          <cell r="AC452">
            <v>1</v>
          </cell>
          <cell r="AD452" t="str">
            <v/>
          </cell>
          <cell r="AE452">
            <v>0</v>
          </cell>
          <cell r="AF452" t="str">
            <v/>
          </cell>
          <cell r="AG452" t="str">
            <v>12532721</v>
          </cell>
          <cell r="AH452">
            <v>44634.889502314814</v>
          </cell>
          <cell r="AI452" t="str">
            <v>N52</v>
          </cell>
          <cell r="AJ452" t="str">
            <v>F</v>
          </cell>
          <cell r="AK452" t="str">
            <v/>
          </cell>
        </row>
        <row r="453">
          <cell r="A453" t="str">
            <v>12531971829560</v>
          </cell>
          <cell r="B453" t="e">
            <v>#N/A</v>
          </cell>
          <cell r="C453" t="e">
            <v>#N/A</v>
          </cell>
          <cell r="D453" t="str">
            <v>EK65</v>
          </cell>
          <cell r="E453" t="str">
            <v>531987</v>
          </cell>
          <cell r="F453" t="str">
            <v>E</v>
          </cell>
          <cell r="G453" t="str">
            <v>12531971</v>
          </cell>
          <cell r="H453" t="str">
            <v>Gewindeplatte</v>
          </cell>
          <cell r="I453">
            <v>8</v>
          </cell>
          <cell r="J453" t="str">
            <v>Stk</v>
          </cell>
          <cell r="K453">
            <v>45028</v>
          </cell>
          <cell r="L453" t="str">
            <v>829560</v>
          </cell>
          <cell r="M453" t="str">
            <v/>
          </cell>
          <cell r="N453" t="str">
            <v/>
          </cell>
          <cell r="O453" t="str">
            <v/>
          </cell>
          <cell r="P453" t="str">
            <v/>
          </cell>
          <cell r="Q453" t="str">
            <v/>
          </cell>
          <cell r="R453" t="str">
            <v/>
          </cell>
          <cell r="S453" t="str">
            <v/>
          </cell>
          <cell r="T453" t="str">
            <v/>
          </cell>
          <cell r="U453" t="str">
            <v/>
          </cell>
          <cell r="V453" t="str">
            <v>N52</v>
          </cell>
          <cell r="W453" t="str">
            <v/>
          </cell>
          <cell r="X453" t="str">
            <v/>
          </cell>
          <cell r="Y453" t="str">
            <v/>
          </cell>
          <cell r="Z453" t="str">
            <v/>
          </cell>
          <cell r="AA453" t="str">
            <v/>
          </cell>
          <cell r="AB453" t="str">
            <v>PA_4598784-FB.7005-4</v>
          </cell>
          <cell r="AC453">
            <v>1</v>
          </cell>
          <cell r="AD453" t="str">
            <v/>
          </cell>
          <cell r="AE453">
            <v>0</v>
          </cell>
          <cell r="AF453" t="str">
            <v/>
          </cell>
          <cell r="AG453" t="str">
            <v>12531971</v>
          </cell>
          <cell r="AH453">
            <v>44635.942777777775</v>
          </cell>
          <cell r="AI453" t="str">
            <v>N52</v>
          </cell>
          <cell r="AJ453" t="str">
            <v>F</v>
          </cell>
          <cell r="AK453" t="str">
            <v/>
          </cell>
        </row>
        <row r="454">
          <cell r="A454" t="str">
            <v>12531971829510</v>
          </cell>
          <cell r="B454" t="e">
            <v>#N/A</v>
          </cell>
          <cell r="C454" t="e">
            <v>#N/A</v>
          </cell>
          <cell r="D454" t="str">
            <v>EK65</v>
          </cell>
          <cell r="E454" t="str">
            <v>531988</v>
          </cell>
          <cell r="F454" t="str">
            <v>E</v>
          </cell>
          <cell r="G454" t="str">
            <v>12531971</v>
          </cell>
          <cell r="H454" t="str">
            <v>Gewindeplatte</v>
          </cell>
          <cell r="I454">
            <v>48</v>
          </cell>
          <cell r="J454" t="str">
            <v>Stk</v>
          </cell>
          <cell r="K454">
            <v>45048</v>
          </cell>
          <cell r="L454" t="str">
            <v>829510</v>
          </cell>
          <cell r="M454" t="str">
            <v/>
          </cell>
          <cell r="N454" t="str">
            <v/>
          </cell>
          <cell r="O454" t="str">
            <v/>
          </cell>
          <cell r="P454" t="str">
            <v/>
          </cell>
          <cell r="Q454" t="str">
            <v/>
          </cell>
          <cell r="R454" t="str">
            <v/>
          </cell>
          <cell r="S454" t="str">
            <v/>
          </cell>
          <cell r="T454" t="str">
            <v/>
          </cell>
          <cell r="U454" t="str">
            <v/>
          </cell>
          <cell r="V454" t="str">
            <v>N52</v>
          </cell>
          <cell r="W454" t="str">
            <v/>
          </cell>
          <cell r="X454" t="str">
            <v/>
          </cell>
          <cell r="Y454" t="str">
            <v/>
          </cell>
          <cell r="Z454" t="str">
            <v/>
          </cell>
          <cell r="AA454" t="str">
            <v/>
          </cell>
          <cell r="AB454" t="str">
            <v>PA_4598784-FB.7005-4</v>
          </cell>
          <cell r="AC454">
            <v>1</v>
          </cell>
          <cell r="AD454" t="str">
            <v/>
          </cell>
          <cell r="AE454">
            <v>0</v>
          </cell>
          <cell r="AF454" t="str">
            <v/>
          </cell>
          <cell r="AG454" t="str">
            <v>12531971</v>
          </cell>
          <cell r="AH454">
            <v>44635.942777777775</v>
          </cell>
          <cell r="AI454" t="str">
            <v>N52</v>
          </cell>
          <cell r="AJ454" t="str">
            <v>F</v>
          </cell>
          <cell r="AK454" t="str">
            <v/>
          </cell>
        </row>
        <row r="455">
          <cell r="A455" t="str">
            <v>12531971829520</v>
          </cell>
          <cell r="B455" t="str">
            <v>Übergabe Task Force</v>
          </cell>
          <cell r="C455" t="e">
            <v>#N/A</v>
          </cell>
          <cell r="D455" t="str">
            <v>EK65</v>
          </cell>
          <cell r="E455" t="str">
            <v>531989</v>
          </cell>
          <cell r="F455" t="str">
            <v>E</v>
          </cell>
          <cell r="G455" t="str">
            <v>12531971</v>
          </cell>
          <cell r="H455" t="str">
            <v>Gewindeplatte</v>
          </cell>
          <cell r="I455">
            <v>56</v>
          </cell>
          <cell r="J455" t="str">
            <v>Stk</v>
          </cell>
          <cell r="K455">
            <v>45048</v>
          </cell>
          <cell r="L455" t="str">
            <v>829520</v>
          </cell>
          <cell r="M455" t="str">
            <v/>
          </cell>
          <cell r="N455" t="str">
            <v/>
          </cell>
          <cell r="O455" t="str">
            <v/>
          </cell>
          <cell r="P455" t="str">
            <v/>
          </cell>
          <cell r="Q455" t="str">
            <v/>
          </cell>
          <cell r="R455" t="str">
            <v/>
          </cell>
          <cell r="S455" t="str">
            <v/>
          </cell>
          <cell r="T455" t="str">
            <v/>
          </cell>
          <cell r="U455" t="str">
            <v/>
          </cell>
          <cell r="V455" t="str">
            <v>N52</v>
          </cell>
          <cell r="W455" t="str">
            <v/>
          </cell>
          <cell r="X455" t="str">
            <v/>
          </cell>
          <cell r="Y455" t="str">
            <v/>
          </cell>
          <cell r="Z455" t="str">
            <v/>
          </cell>
          <cell r="AA455" t="str">
            <v/>
          </cell>
          <cell r="AB455" t="str">
            <v>PA_4598784-FB.7005-4</v>
          </cell>
          <cell r="AC455">
            <v>1</v>
          </cell>
          <cell r="AD455" t="str">
            <v/>
          </cell>
          <cell r="AE455">
            <v>0</v>
          </cell>
          <cell r="AF455" t="str">
            <v/>
          </cell>
          <cell r="AG455" t="str">
            <v>12531971</v>
          </cell>
          <cell r="AH455">
            <v>44635.942777777775</v>
          </cell>
          <cell r="AI455" t="str">
            <v>N52</v>
          </cell>
          <cell r="AJ455" t="str">
            <v>F</v>
          </cell>
          <cell r="AK455" t="str">
            <v/>
          </cell>
        </row>
        <row r="456">
          <cell r="A456" t="str">
            <v>12531971829530</v>
          </cell>
          <cell r="B456" t="str">
            <v>Angefragt 22.03.2023</v>
          </cell>
          <cell r="C456" t="e">
            <v>#N/A</v>
          </cell>
          <cell r="D456" t="str">
            <v>EK65</v>
          </cell>
          <cell r="E456" t="str">
            <v>531990</v>
          </cell>
          <cell r="F456" t="str">
            <v>E</v>
          </cell>
          <cell r="G456" t="str">
            <v>12531971</v>
          </cell>
          <cell r="H456" t="str">
            <v>Gewindeplatte</v>
          </cell>
          <cell r="I456">
            <v>4</v>
          </cell>
          <cell r="J456" t="str">
            <v>Stk</v>
          </cell>
          <cell r="K456">
            <v>45062</v>
          </cell>
          <cell r="L456" t="str">
            <v>829530</v>
          </cell>
          <cell r="M456" t="str">
            <v/>
          </cell>
          <cell r="N456" t="str">
            <v/>
          </cell>
          <cell r="O456" t="str">
            <v/>
          </cell>
          <cell r="P456" t="str">
            <v/>
          </cell>
          <cell r="Q456" t="str">
            <v/>
          </cell>
          <cell r="R456" t="str">
            <v/>
          </cell>
          <cell r="S456" t="str">
            <v/>
          </cell>
          <cell r="T456" t="str">
            <v/>
          </cell>
          <cell r="U456" t="str">
            <v/>
          </cell>
          <cell r="V456" t="str">
            <v>N52</v>
          </cell>
          <cell r="W456" t="str">
            <v/>
          </cell>
          <cell r="X456" t="str">
            <v/>
          </cell>
          <cell r="Y456" t="str">
            <v/>
          </cell>
          <cell r="Z456" t="str">
            <v/>
          </cell>
          <cell r="AA456" t="str">
            <v/>
          </cell>
          <cell r="AB456" t="str">
            <v>PA_4598784-FB.7005-4</v>
          </cell>
          <cell r="AC456">
            <v>1</v>
          </cell>
          <cell r="AD456" t="str">
            <v/>
          </cell>
          <cell r="AE456">
            <v>0</v>
          </cell>
          <cell r="AF456" t="str">
            <v/>
          </cell>
          <cell r="AG456" t="str">
            <v>12531971</v>
          </cell>
          <cell r="AH456">
            <v>44635.942777777775</v>
          </cell>
          <cell r="AI456" t="str">
            <v>N52</v>
          </cell>
          <cell r="AJ456" t="str">
            <v>F</v>
          </cell>
          <cell r="AK456" t="str">
            <v/>
          </cell>
        </row>
        <row r="457">
          <cell r="A457" t="str">
            <v>12531972829053</v>
          </cell>
          <cell r="B457" t="e">
            <v>#N/A</v>
          </cell>
          <cell r="C457">
            <v>20</v>
          </cell>
          <cell r="D457" t="str">
            <v>EK65</v>
          </cell>
          <cell r="E457" t="str">
            <v>531991</v>
          </cell>
          <cell r="F457" t="str">
            <v>E</v>
          </cell>
          <cell r="G457" t="str">
            <v>12531972</v>
          </cell>
          <cell r="H457" t="str">
            <v>Platte</v>
          </cell>
          <cell r="I457">
            <v>299</v>
          </cell>
          <cell r="J457" t="str">
            <v>Stk</v>
          </cell>
          <cell r="K457">
            <v>45154</v>
          </cell>
          <cell r="L457" t="str">
            <v>829053</v>
          </cell>
          <cell r="M457" t="str">
            <v/>
          </cell>
          <cell r="N457" t="str">
            <v/>
          </cell>
          <cell r="O457" t="str">
            <v/>
          </cell>
          <cell r="P457" t="str">
            <v/>
          </cell>
          <cell r="Q457" t="str">
            <v/>
          </cell>
          <cell r="R457" t="str">
            <v/>
          </cell>
          <cell r="S457" t="str">
            <v/>
          </cell>
          <cell r="T457" t="str">
            <v/>
          </cell>
          <cell r="U457" t="str">
            <v/>
          </cell>
          <cell r="V457" t="str">
            <v>N52</v>
          </cell>
          <cell r="W457" t="str">
            <v/>
          </cell>
          <cell r="X457" t="str">
            <v/>
          </cell>
          <cell r="Y457" t="str">
            <v/>
          </cell>
          <cell r="Z457" t="str">
            <v/>
          </cell>
          <cell r="AA457" t="str">
            <v/>
          </cell>
          <cell r="AB457" t="str">
            <v>PA_4598974-FB.7005-4</v>
          </cell>
          <cell r="AC457">
            <v>1</v>
          </cell>
          <cell r="AD457" t="str">
            <v/>
          </cell>
          <cell r="AE457">
            <v>0</v>
          </cell>
          <cell r="AF457" t="str">
            <v/>
          </cell>
          <cell r="AG457" t="str">
            <v>12531972</v>
          </cell>
          <cell r="AH457">
            <v>44635.942800925928</v>
          </cell>
          <cell r="AI457" t="str">
            <v>N52</v>
          </cell>
          <cell r="AJ457" t="str">
            <v>F</v>
          </cell>
          <cell r="AK457" t="str">
            <v/>
          </cell>
        </row>
        <row r="458">
          <cell r="A458" t="str">
            <v>12531972829054</v>
          </cell>
          <cell r="B458" t="e">
            <v>#N/A</v>
          </cell>
          <cell r="C458">
            <v>20</v>
          </cell>
          <cell r="D458" t="str">
            <v>EK65</v>
          </cell>
          <cell r="E458" t="str">
            <v>531992</v>
          </cell>
          <cell r="F458" t="str">
            <v>E</v>
          </cell>
          <cell r="G458" t="str">
            <v>12531972</v>
          </cell>
          <cell r="H458" t="str">
            <v>Platte</v>
          </cell>
          <cell r="I458">
            <v>33</v>
          </cell>
          <cell r="J458" t="str">
            <v>Stk</v>
          </cell>
          <cell r="K458">
            <v>45238</v>
          </cell>
          <cell r="L458" t="str">
            <v>829054</v>
          </cell>
          <cell r="M458" t="str">
            <v/>
          </cell>
          <cell r="N458" t="str">
            <v/>
          </cell>
          <cell r="O458" t="str">
            <v/>
          </cell>
          <cell r="P458" t="str">
            <v/>
          </cell>
          <cell r="Q458" t="str">
            <v/>
          </cell>
          <cell r="R458" t="str">
            <v/>
          </cell>
          <cell r="S458" t="str">
            <v/>
          </cell>
          <cell r="T458" t="str">
            <v/>
          </cell>
          <cell r="U458" t="str">
            <v/>
          </cell>
          <cell r="V458" t="str">
            <v>N52</v>
          </cell>
          <cell r="W458" t="str">
            <v/>
          </cell>
          <cell r="X458" t="str">
            <v/>
          </cell>
          <cell r="Y458" t="str">
            <v/>
          </cell>
          <cell r="Z458" t="str">
            <v/>
          </cell>
          <cell r="AA458" t="str">
            <v/>
          </cell>
          <cell r="AB458" t="str">
            <v>PA_4598974-FB.7005-4</v>
          </cell>
          <cell r="AC458">
            <v>1</v>
          </cell>
          <cell r="AD458" t="str">
            <v/>
          </cell>
          <cell r="AE458">
            <v>0</v>
          </cell>
          <cell r="AF458" t="str">
            <v/>
          </cell>
          <cell r="AG458" t="str">
            <v>12531972</v>
          </cell>
          <cell r="AH458">
            <v>44635.942800925928</v>
          </cell>
          <cell r="AI458" t="str">
            <v>N52</v>
          </cell>
          <cell r="AJ458" t="str">
            <v>F</v>
          </cell>
          <cell r="AK458" t="str">
            <v/>
          </cell>
        </row>
        <row r="459">
          <cell r="A459" t="str">
            <v>12531972829051</v>
          </cell>
          <cell r="B459" t="str">
            <v>BL20230413-2</v>
          </cell>
          <cell r="C459">
            <v>20</v>
          </cell>
          <cell r="D459" t="str">
            <v>EK65</v>
          </cell>
          <cell r="E459" t="str">
            <v>531993</v>
          </cell>
          <cell r="F459" t="str">
            <v>E</v>
          </cell>
          <cell r="G459" t="str">
            <v>12531972</v>
          </cell>
          <cell r="H459" t="str">
            <v>Platte</v>
          </cell>
          <cell r="I459">
            <v>363</v>
          </cell>
          <cell r="J459" t="str">
            <v>Stk</v>
          </cell>
          <cell r="K459">
            <v>45342</v>
          </cell>
          <cell r="L459" t="str">
            <v>829051</v>
          </cell>
          <cell r="M459" t="str">
            <v/>
          </cell>
          <cell r="N459" t="str">
            <v/>
          </cell>
          <cell r="O459" t="str">
            <v/>
          </cell>
          <cell r="P459" t="str">
            <v/>
          </cell>
          <cell r="Q459" t="str">
            <v/>
          </cell>
          <cell r="R459" t="str">
            <v/>
          </cell>
          <cell r="S459" t="str">
            <v/>
          </cell>
          <cell r="T459" t="str">
            <v/>
          </cell>
          <cell r="U459" t="str">
            <v/>
          </cell>
          <cell r="V459" t="str">
            <v>N52</v>
          </cell>
          <cell r="W459" t="str">
            <v/>
          </cell>
          <cell r="X459" t="str">
            <v/>
          </cell>
          <cell r="Y459" t="str">
            <v/>
          </cell>
          <cell r="Z459" t="str">
            <v/>
          </cell>
          <cell r="AA459" t="str">
            <v/>
          </cell>
          <cell r="AB459" t="str">
            <v>PA_4598974-FB.7005-4</v>
          </cell>
          <cell r="AC459">
            <v>1</v>
          </cell>
          <cell r="AD459" t="str">
            <v/>
          </cell>
          <cell r="AE459">
            <v>0</v>
          </cell>
          <cell r="AF459" t="str">
            <v/>
          </cell>
          <cell r="AG459" t="str">
            <v>12531972</v>
          </cell>
          <cell r="AH459">
            <v>44635.942800925928</v>
          </cell>
          <cell r="AI459" t="str">
            <v>N52</v>
          </cell>
          <cell r="AJ459" t="str">
            <v>F</v>
          </cell>
          <cell r="AK459" t="str">
            <v/>
          </cell>
        </row>
        <row r="460">
          <cell r="A460" t="str">
            <v>12531972829052</v>
          </cell>
          <cell r="B460" t="e">
            <v>#N/A</v>
          </cell>
          <cell r="C460">
            <v>20</v>
          </cell>
          <cell r="D460" t="str">
            <v>EK65</v>
          </cell>
          <cell r="E460" t="str">
            <v>531994</v>
          </cell>
          <cell r="F460" t="str">
            <v>E</v>
          </cell>
          <cell r="G460" t="str">
            <v>12531972</v>
          </cell>
          <cell r="H460" t="str">
            <v>Platte</v>
          </cell>
          <cell r="I460">
            <v>60</v>
          </cell>
          <cell r="J460" t="str">
            <v>Stk</v>
          </cell>
          <cell r="K460">
            <v>45391</v>
          </cell>
          <cell r="L460" t="str">
            <v>829052</v>
          </cell>
          <cell r="M460" t="str">
            <v/>
          </cell>
          <cell r="N460" t="str">
            <v/>
          </cell>
          <cell r="O460" t="str">
            <v/>
          </cell>
          <cell r="P460" t="str">
            <v/>
          </cell>
          <cell r="Q460" t="str">
            <v/>
          </cell>
          <cell r="R460" t="str">
            <v/>
          </cell>
          <cell r="S460" t="str">
            <v/>
          </cell>
          <cell r="T460" t="str">
            <v/>
          </cell>
          <cell r="U460" t="str">
            <v/>
          </cell>
          <cell r="V460" t="str">
            <v>N52</v>
          </cell>
          <cell r="W460" t="str">
            <v/>
          </cell>
          <cell r="X460" t="str">
            <v/>
          </cell>
          <cell r="Y460" t="str">
            <v/>
          </cell>
          <cell r="Z460" t="str">
            <v/>
          </cell>
          <cell r="AA460" t="str">
            <v/>
          </cell>
          <cell r="AB460" t="str">
            <v>PA_4598974-FB.7005-4</v>
          </cell>
          <cell r="AC460">
            <v>1</v>
          </cell>
          <cell r="AD460" t="str">
            <v/>
          </cell>
          <cell r="AE460">
            <v>0</v>
          </cell>
          <cell r="AF460" t="str">
            <v/>
          </cell>
          <cell r="AG460" t="str">
            <v>12531972</v>
          </cell>
          <cell r="AH460">
            <v>44635.942800925928</v>
          </cell>
          <cell r="AI460" t="str">
            <v>N52</v>
          </cell>
          <cell r="AJ460" t="str">
            <v>F</v>
          </cell>
          <cell r="AK460" t="str">
            <v/>
          </cell>
        </row>
        <row r="461">
          <cell r="A461" t="str">
            <v>12508583829051</v>
          </cell>
          <cell r="B461" t="e">
            <v>#N/A</v>
          </cell>
          <cell r="C461">
            <v>7</v>
          </cell>
          <cell r="D461" t="str">
            <v>EK65</v>
          </cell>
          <cell r="E461" t="str">
            <v>532717</v>
          </cell>
          <cell r="F461" t="str">
            <v>E</v>
          </cell>
          <cell r="G461" t="str">
            <v>12508583</v>
          </cell>
          <cell r="H461" t="str">
            <v>Halter Magnetventil</v>
          </cell>
          <cell r="I461">
            <v>40</v>
          </cell>
          <cell r="J461" t="str">
            <v>Stk</v>
          </cell>
          <cell r="K461">
            <v>45364</v>
          </cell>
          <cell r="L461" t="str">
            <v>829051</v>
          </cell>
          <cell r="M461" t="str">
            <v/>
          </cell>
          <cell r="N461" t="str">
            <v/>
          </cell>
          <cell r="O461" t="str">
            <v/>
          </cell>
          <cell r="P461" t="str">
            <v/>
          </cell>
          <cell r="Q461" t="str">
            <v/>
          </cell>
          <cell r="R461" t="str">
            <v/>
          </cell>
          <cell r="S461" t="str">
            <v/>
          </cell>
          <cell r="T461" t="str">
            <v/>
          </cell>
          <cell r="U461" t="str">
            <v/>
          </cell>
          <cell r="V461" t="str">
            <v>N52</v>
          </cell>
          <cell r="W461" t="str">
            <v/>
          </cell>
          <cell r="X461" t="str">
            <v/>
          </cell>
          <cell r="Y461" t="str">
            <v/>
          </cell>
          <cell r="Z461" t="str">
            <v/>
          </cell>
          <cell r="AA461" t="str">
            <v/>
          </cell>
          <cell r="AB461" t="str">
            <v>PA_2328426-QE.7005-3</v>
          </cell>
          <cell r="AC461">
            <v>1</v>
          </cell>
          <cell r="AD461" t="str">
            <v/>
          </cell>
          <cell r="AE461">
            <v>0</v>
          </cell>
          <cell r="AF461" t="str">
            <v/>
          </cell>
          <cell r="AG461" t="str">
            <v>12508583</v>
          </cell>
          <cell r="AH461">
            <v>44636.931979166664</v>
          </cell>
          <cell r="AI461" t="str">
            <v>N52</v>
          </cell>
          <cell r="AJ461" t="str">
            <v>F</v>
          </cell>
          <cell r="AK461" t="str">
            <v/>
          </cell>
        </row>
        <row r="462">
          <cell r="A462" t="str">
            <v>12508681829051</v>
          </cell>
          <cell r="B462" t="e">
            <v>#N/A</v>
          </cell>
          <cell r="C462">
            <v>6</v>
          </cell>
          <cell r="D462" t="str">
            <v>EK65</v>
          </cell>
          <cell r="E462" t="str">
            <v>532718</v>
          </cell>
          <cell r="F462" t="str">
            <v>E</v>
          </cell>
          <cell r="G462" t="str">
            <v>12508681</v>
          </cell>
          <cell r="H462" t="str">
            <v>Gewindeplatte</v>
          </cell>
          <cell r="I462">
            <v>179</v>
          </cell>
          <cell r="J462" t="str">
            <v>Stk</v>
          </cell>
          <cell r="K462">
            <v>45317</v>
          </cell>
          <cell r="L462" t="str">
            <v>829051</v>
          </cell>
          <cell r="M462" t="str">
            <v/>
          </cell>
          <cell r="N462" t="str">
            <v/>
          </cell>
          <cell r="O462" t="str">
            <v/>
          </cell>
          <cell r="P462" t="str">
            <v/>
          </cell>
          <cell r="Q462" t="str">
            <v/>
          </cell>
          <cell r="R462" t="str">
            <v/>
          </cell>
          <cell r="S462" t="str">
            <v/>
          </cell>
          <cell r="T462" t="str">
            <v/>
          </cell>
          <cell r="U462" t="str">
            <v/>
          </cell>
          <cell r="V462" t="str">
            <v>N52</v>
          </cell>
          <cell r="W462" t="str">
            <v/>
          </cell>
          <cell r="X462" t="str">
            <v/>
          </cell>
          <cell r="Y462" t="str">
            <v/>
          </cell>
          <cell r="Z462" t="str">
            <v/>
          </cell>
          <cell r="AA462" t="str">
            <v/>
          </cell>
          <cell r="AB462" t="str">
            <v>PA_4522795-QE.7005-4</v>
          </cell>
          <cell r="AC462">
            <v>1</v>
          </cell>
          <cell r="AD462" t="str">
            <v/>
          </cell>
          <cell r="AE462">
            <v>0</v>
          </cell>
          <cell r="AF462" t="str">
            <v/>
          </cell>
          <cell r="AG462" t="str">
            <v>12508681</v>
          </cell>
          <cell r="AH462">
            <v>44636.932013888887</v>
          </cell>
          <cell r="AI462" t="str">
            <v>N52</v>
          </cell>
          <cell r="AJ462" t="str">
            <v>F</v>
          </cell>
          <cell r="AK462" t="str">
            <v/>
          </cell>
        </row>
        <row r="463">
          <cell r="A463" t="str">
            <v>12508682829051</v>
          </cell>
          <cell r="B463" t="e">
            <v>#N/A</v>
          </cell>
          <cell r="C463">
            <v>6</v>
          </cell>
          <cell r="D463" t="str">
            <v>EK65</v>
          </cell>
          <cell r="E463" t="str">
            <v>532719</v>
          </cell>
          <cell r="F463" t="str">
            <v>E</v>
          </cell>
          <cell r="G463" t="str">
            <v>12508682</v>
          </cell>
          <cell r="H463" t="str">
            <v>Betaetigungsplatte</v>
          </cell>
          <cell r="I463">
            <v>89</v>
          </cell>
          <cell r="J463" t="str">
            <v>Stk</v>
          </cell>
          <cell r="K463">
            <v>45323</v>
          </cell>
          <cell r="L463" t="str">
            <v>829051</v>
          </cell>
          <cell r="M463" t="str">
            <v/>
          </cell>
          <cell r="N463" t="str">
            <v/>
          </cell>
          <cell r="O463" t="str">
            <v/>
          </cell>
          <cell r="P463" t="str">
            <v/>
          </cell>
          <cell r="Q463" t="str">
            <v/>
          </cell>
          <cell r="R463" t="str">
            <v/>
          </cell>
          <cell r="S463" t="str">
            <v/>
          </cell>
          <cell r="T463" t="str">
            <v/>
          </cell>
          <cell r="U463" t="str">
            <v/>
          </cell>
          <cell r="V463" t="str">
            <v>N52</v>
          </cell>
          <cell r="W463" t="str">
            <v/>
          </cell>
          <cell r="X463" t="str">
            <v/>
          </cell>
          <cell r="Y463" t="str">
            <v/>
          </cell>
          <cell r="Z463" t="str">
            <v/>
          </cell>
          <cell r="AA463" t="str">
            <v/>
          </cell>
          <cell r="AB463" t="str">
            <v>PA_4522847-QE.7005-4</v>
          </cell>
          <cell r="AC463">
            <v>1</v>
          </cell>
          <cell r="AD463" t="str">
            <v/>
          </cell>
          <cell r="AE463">
            <v>0</v>
          </cell>
          <cell r="AF463" t="str">
            <v/>
          </cell>
          <cell r="AG463" t="str">
            <v>12508682</v>
          </cell>
          <cell r="AH463">
            <v>44636.932025462964</v>
          </cell>
          <cell r="AI463" t="str">
            <v>N52</v>
          </cell>
          <cell r="AJ463" t="str">
            <v>F</v>
          </cell>
          <cell r="AK463" t="str">
            <v/>
          </cell>
        </row>
        <row r="464">
          <cell r="A464" t="str">
            <v>12508865829051</v>
          </cell>
          <cell r="B464" t="e">
            <v>#N/A</v>
          </cell>
          <cell r="C464">
            <v>6</v>
          </cell>
          <cell r="D464" t="str">
            <v>EK65</v>
          </cell>
          <cell r="E464" t="str">
            <v>532720</v>
          </cell>
          <cell r="F464" t="str">
            <v>E</v>
          </cell>
          <cell r="G464" t="str">
            <v>12508865</v>
          </cell>
          <cell r="H464" t="str">
            <v>Halter</v>
          </cell>
          <cell r="I464">
            <v>91</v>
          </cell>
          <cell r="J464" t="str">
            <v>Stk</v>
          </cell>
          <cell r="K464">
            <v>45310</v>
          </cell>
          <cell r="L464" t="str">
            <v>829051</v>
          </cell>
          <cell r="M464" t="str">
            <v/>
          </cell>
          <cell r="N464" t="str">
            <v/>
          </cell>
          <cell r="O464" t="str">
            <v/>
          </cell>
          <cell r="P464" t="str">
            <v/>
          </cell>
          <cell r="Q464" t="str">
            <v/>
          </cell>
          <cell r="R464" t="str">
            <v/>
          </cell>
          <cell r="S464" t="str">
            <v/>
          </cell>
          <cell r="T464" t="str">
            <v/>
          </cell>
          <cell r="U464" t="str">
            <v/>
          </cell>
          <cell r="V464" t="str">
            <v>N52</v>
          </cell>
          <cell r="W464" t="str">
            <v/>
          </cell>
          <cell r="X464" t="str">
            <v/>
          </cell>
          <cell r="Y464" t="str">
            <v/>
          </cell>
          <cell r="Z464" t="str">
            <v/>
          </cell>
          <cell r="AA464" t="str">
            <v/>
          </cell>
          <cell r="AB464" t="str">
            <v>PA_4272454-QE.7005-4</v>
          </cell>
          <cell r="AC464">
            <v>1</v>
          </cell>
          <cell r="AD464" t="str">
            <v/>
          </cell>
          <cell r="AE464">
            <v>0</v>
          </cell>
          <cell r="AF464" t="str">
            <v/>
          </cell>
          <cell r="AG464" t="str">
            <v>12508865</v>
          </cell>
          <cell r="AH464">
            <v>44636.93204861111</v>
          </cell>
          <cell r="AI464" t="str">
            <v>N52</v>
          </cell>
          <cell r="AJ464" t="str">
            <v>F</v>
          </cell>
          <cell r="AK464" t="str">
            <v/>
          </cell>
        </row>
        <row r="465">
          <cell r="A465" t="str">
            <v>12488864829052</v>
          </cell>
          <cell r="B465" t="str">
            <v>BL20230413-2</v>
          </cell>
          <cell r="C465">
            <v>21</v>
          </cell>
          <cell r="D465" t="str">
            <v>EK65</v>
          </cell>
          <cell r="E465" t="str">
            <v>533140</v>
          </cell>
          <cell r="F465" t="str">
            <v>E</v>
          </cell>
          <cell r="G465" t="str">
            <v>12488864</v>
          </cell>
          <cell r="H465" t="str">
            <v>Halter fuer Rohrschellen</v>
          </cell>
          <cell r="I465">
            <v>29</v>
          </cell>
          <cell r="J465" t="str">
            <v>Stk</v>
          </cell>
          <cell r="K465">
            <v>45343</v>
          </cell>
          <cell r="L465" t="str">
            <v>829052</v>
          </cell>
          <cell r="M465" t="str">
            <v/>
          </cell>
          <cell r="N465" t="str">
            <v/>
          </cell>
          <cell r="O465" t="str">
            <v/>
          </cell>
          <cell r="P465" t="str">
            <v/>
          </cell>
          <cell r="Q465" t="str">
            <v/>
          </cell>
          <cell r="R465" t="str">
            <v/>
          </cell>
          <cell r="S465" t="str">
            <v/>
          </cell>
          <cell r="T465" t="str">
            <v/>
          </cell>
          <cell r="U465" t="str">
            <v/>
          </cell>
          <cell r="V465" t="str">
            <v>N52</v>
          </cell>
          <cell r="W465" t="str">
            <v/>
          </cell>
          <cell r="X465" t="str">
            <v/>
          </cell>
          <cell r="Y465" t="str">
            <v/>
          </cell>
          <cell r="Z465" t="str">
            <v/>
          </cell>
          <cell r="AA465" t="str">
            <v/>
          </cell>
          <cell r="AB465" t="str">
            <v>PA_4374180-QE.7005-3</v>
          </cell>
          <cell r="AC465">
            <v>1</v>
          </cell>
          <cell r="AD465" t="str">
            <v/>
          </cell>
          <cell r="AE465">
            <v>0</v>
          </cell>
          <cell r="AF465" t="str">
            <v/>
          </cell>
          <cell r="AG465" t="str">
            <v>12488864</v>
          </cell>
          <cell r="AH465">
            <v>44637.93</v>
          </cell>
          <cell r="AI465" t="str">
            <v>N52</v>
          </cell>
          <cell r="AJ465" t="str">
            <v>F</v>
          </cell>
          <cell r="AK465" t="str">
            <v/>
          </cell>
        </row>
        <row r="466">
          <cell r="A466" t="str">
            <v>12543831829052</v>
          </cell>
          <cell r="B466" t="e">
            <v>#N/A</v>
          </cell>
          <cell r="C466">
            <v>5</v>
          </cell>
          <cell r="D466" t="str">
            <v>EK65</v>
          </cell>
          <cell r="E466" t="str">
            <v>533158</v>
          </cell>
          <cell r="F466" t="str">
            <v>E</v>
          </cell>
          <cell r="G466" t="str">
            <v>12543831</v>
          </cell>
          <cell r="H466" t="str">
            <v>Blech</v>
          </cell>
          <cell r="I466">
            <v>31</v>
          </cell>
          <cell r="J466" t="str">
            <v>Stk</v>
          </cell>
          <cell r="K466">
            <v>45363</v>
          </cell>
          <cell r="L466" t="str">
            <v>829052</v>
          </cell>
          <cell r="M466" t="str">
            <v/>
          </cell>
          <cell r="N466" t="str">
            <v/>
          </cell>
          <cell r="O466" t="str">
            <v/>
          </cell>
          <cell r="P466" t="str">
            <v/>
          </cell>
          <cell r="Q466" t="str">
            <v/>
          </cell>
          <cell r="R466" t="str">
            <v/>
          </cell>
          <cell r="S466" t="str">
            <v/>
          </cell>
          <cell r="T466" t="str">
            <v/>
          </cell>
          <cell r="U466" t="str">
            <v/>
          </cell>
          <cell r="V466" t="str">
            <v>N52</v>
          </cell>
          <cell r="W466" t="str">
            <v/>
          </cell>
          <cell r="X466" t="str">
            <v/>
          </cell>
          <cell r="Y466" t="str">
            <v/>
          </cell>
          <cell r="Z466" t="str">
            <v/>
          </cell>
          <cell r="AA466" t="str">
            <v/>
          </cell>
          <cell r="AB466" t="str">
            <v>PA_4578740-SF.7004-3</v>
          </cell>
          <cell r="AC466">
            <v>1</v>
          </cell>
          <cell r="AD466" t="str">
            <v/>
          </cell>
          <cell r="AE466">
            <v>0</v>
          </cell>
          <cell r="AF466" t="str">
            <v/>
          </cell>
          <cell r="AG466" t="str">
            <v>12543831</v>
          </cell>
          <cell r="AH466">
            <v>44637.930613425924</v>
          </cell>
          <cell r="AI466" t="str">
            <v>N52</v>
          </cell>
          <cell r="AJ466" t="str">
            <v>F</v>
          </cell>
          <cell r="AK466" t="str">
            <v/>
          </cell>
        </row>
        <row r="467">
          <cell r="A467" t="str">
            <v>12543963829052</v>
          </cell>
          <cell r="B467" t="e">
            <v>#N/A</v>
          </cell>
          <cell r="C467">
            <v>2</v>
          </cell>
          <cell r="D467" t="str">
            <v>EK65</v>
          </cell>
          <cell r="E467" t="str">
            <v>533159</v>
          </cell>
          <cell r="F467" t="str">
            <v>E</v>
          </cell>
          <cell r="G467" t="str">
            <v>12543963</v>
          </cell>
          <cell r="H467" t="str">
            <v>Blech</v>
          </cell>
          <cell r="I467">
            <v>31</v>
          </cell>
          <cell r="J467" t="str">
            <v>Stk</v>
          </cell>
          <cell r="K467">
            <v>45363</v>
          </cell>
          <cell r="L467" t="str">
            <v>829052</v>
          </cell>
          <cell r="M467" t="str">
            <v/>
          </cell>
          <cell r="N467" t="str">
            <v/>
          </cell>
          <cell r="O467" t="str">
            <v/>
          </cell>
          <cell r="P467" t="str">
            <v/>
          </cell>
          <cell r="Q467" t="str">
            <v/>
          </cell>
          <cell r="R467" t="str">
            <v/>
          </cell>
          <cell r="S467" t="str">
            <v/>
          </cell>
          <cell r="T467" t="str">
            <v/>
          </cell>
          <cell r="U467" t="str">
            <v/>
          </cell>
          <cell r="V467" t="str">
            <v>N52</v>
          </cell>
          <cell r="W467" t="str">
            <v/>
          </cell>
          <cell r="X467" t="str">
            <v/>
          </cell>
          <cell r="Y467" t="str">
            <v/>
          </cell>
          <cell r="Z467" t="str">
            <v/>
          </cell>
          <cell r="AA467" t="str">
            <v/>
          </cell>
          <cell r="AB467" t="str">
            <v>PA_4578749-SF.7004-3</v>
          </cell>
          <cell r="AC467">
            <v>1</v>
          </cell>
          <cell r="AD467" t="str">
            <v/>
          </cell>
          <cell r="AE467">
            <v>0</v>
          </cell>
          <cell r="AF467" t="str">
            <v/>
          </cell>
          <cell r="AG467" t="str">
            <v>12543963</v>
          </cell>
          <cell r="AH467">
            <v>44637.930625000001</v>
          </cell>
          <cell r="AI467" t="str">
            <v>N52</v>
          </cell>
          <cell r="AJ467" t="str">
            <v>F</v>
          </cell>
          <cell r="AK467" t="str">
            <v/>
          </cell>
        </row>
        <row r="468">
          <cell r="A468" t="str">
            <v>12554994829052</v>
          </cell>
          <cell r="B468" t="e">
            <v>#N/A</v>
          </cell>
          <cell r="C468" t="e">
            <v>#N/A</v>
          </cell>
          <cell r="D468" t="str">
            <v>EK65</v>
          </cell>
          <cell r="E468" t="str">
            <v>533160</v>
          </cell>
          <cell r="F468" t="str">
            <v>E</v>
          </cell>
          <cell r="G468" t="str">
            <v>12554994</v>
          </cell>
          <cell r="H468" t="str">
            <v>Halter 1 vollst.</v>
          </cell>
          <cell r="I468">
            <v>29</v>
          </cell>
          <cell r="J468" t="str">
            <v>Stk</v>
          </cell>
          <cell r="K468">
            <v>45253</v>
          </cell>
          <cell r="L468" t="str">
            <v>829052</v>
          </cell>
          <cell r="M468" t="str">
            <v/>
          </cell>
          <cell r="N468" t="str">
            <v/>
          </cell>
          <cell r="O468" t="str">
            <v/>
          </cell>
          <cell r="P468" t="str">
            <v/>
          </cell>
          <cell r="Q468" t="str">
            <v/>
          </cell>
          <cell r="R468" t="str">
            <v/>
          </cell>
          <cell r="S468" t="str">
            <v/>
          </cell>
          <cell r="T468" t="str">
            <v/>
          </cell>
          <cell r="U468" t="str">
            <v/>
          </cell>
          <cell r="V468" t="str">
            <v>N38</v>
          </cell>
          <cell r="W468" t="str">
            <v/>
          </cell>
          <cell r="X468" t="str">
            <v/>
          </cell>
          <cell r="Y468" t="str">
            <v/>
          </cell>
          <cell r="Z468" t="str">
            <v/>
          </cell>
          <cell r="AA468" t="str">
            <v/>
          </cell>
          <cell r="AB468" t="str">
            <v>PA_4598323-TC.7004-2</v>
          </cell>
          <cell r="AC468">
            <v>1</v>
          </cell>
          <cell r="AD468" t="str">
            <v/>
          </cell>
          <cell r="AE468">
            <v>0</v>
          </cell>
          <cell r="AF468" t="str">
            <v/>
          </cell>
          <cell r="AG468" t="str">
            <v>12554994</v>
          </cell>
          <cell r="AH468">
            <v>44637.930636574078</v>
          </cell>
          <cell r="AI468" t="str">
            <v>N38</v>
          </cell>
          <cell r="AJ468" t="str">
            <v>F</v>
          </cell>
          <cell r="AK468" t="str">
            <v/>
          </cell>
        </row>
        <row r="469">
          <cell r="A469" t="str">
            <v>12503189829054</v>
          </cell>
          <cell r="B469" t="e">
            <v>#N/A</v>
          </cell>
          <cell r="C469">
            <v>6</v>
          </cell>
          <cell r="D469" t="str">
            <v>EK65</v>
          </cell>
          <cell r="E469" t="str">
            <v>533757</v>
          </cell>
          <cell r="F469" t="str">
            <v>E</v>
          </cell>
          <cell r="G469" t="str">
            <v>12503189</v>
          </cell>
          <cell r="H469" t="str">
            <v>Distanzhuelse</v>
          </cell>
          <cell r="I469">
            <v>33</v>
          </cell>
          <cell r="J469" t="str">
            <v>Stk</v>
          </cell>
          <cell r="K469">
            <v>45223</v>
          </cell>
          <cell r="L469" t="str">
            <v>829054</v>
          </cell>
          <cell r="M469" t="str">
            <v/>
          </cell>
          <cell r="N469" t="str">
            <v/>
          </cell>
          <cell r="O469" t="str">
            <v/>
          </cell>
          <cell r="P469" t="str">
            <v/>
          </cell>
          <cell r="Q469" t="str">
            <v/>
          </cell>
          <cell r="R469" t="str">
            <v/>
          </cell>
          <cell r="S469" t="str">
            <v/>
          </cell>
          <cell r="T469" t="str">
            <v/>
          </cell>
          <cell r="U469" t="str">
            <v/>
          </cell>
          <cell r="V469" t="str">
            <v>N52</v>
          </cell>
          <cell r="W469" t="str">
            <v/>
          </cell>
          <cell r="X469" t="str">
            <v/>
          </cell>
          <cell r="Y469" t="str">
            <v/>
          </cell>
          <cell r="Z469" t="str">
            <v/>
          </cell>
          <cell r="AA469" t="str">
            <v/>
          </cell>
          <cell r="AB469" t="str">
            <v>PA_4418393-LD.7005-4</v>
          </cell>
          <cell r="AC469">
            <v>1</v>
          </cell>
          <cell r="AD469" t="str">
            <v/>
          </cell>
          <cell r="AE469">
            <v>0</v>
          </cell>
          <cell r="AF469" t="str">
            <v/>
          </cell>
          <cell r="AG469" t="str">
            <v>12503189</v>
          </cell>
          <cell r="AH469">
            <v>44641.89398148148</v>
          </cell>
          <cell r="AI469" t="str">
            <v>N52</v>
          </cell>
          <cell r="AJ469" t="str">
            <v>F</v>
          </cell>
          <cell r="AK469" t="str">
            <v/>
          </cell>
        </row>
        <row r="470">
          <cell r="A470" t="str">
            <v>12503189829053</v>
          </cell>
          <cell r="B470" t="e">
            <v>#N/A</v>
          </cell>
          <cell r="C470">
            <v>6</v>
          </cell>
          <cell r="D470" t="str">
            <v>EK65</v>
          </cell>
          <cell r="E470" t="str">
            <v>533758</v>
          </cell>
          <cell r="F470" t="str">
            <v>E</v>
          </cell>
          <cell r="G470" t="str">
            <v>12503189</v>
          </cell>
          <cell r="H470" t="str">
            <v>Distanzhuelse</v>
          </cell>
          <cell r="I470">
            <v>97</v>
          </cell>
          <cell r="J470" t="str">
            <v>Stk</v>
          </cell>
          <cell r="K470">
            <v>45224</v>
          </cell>
          <cell r="L470" t="str">
            <v>829053</v>
          </cell>
          <cell r="M470" t="str">
            <v/>
          </cell>
          <cell r="N470" t="str">
            <v/>
          </cell>
          <cell r="O470" t="str">
            <v/>
          </cell>
          <cell r="P470" t="str">
            <v/>
          </cell>
          <cell r="Q470" t="str">
            <v/>
          </cell>
          <cell r="R470" t="str">
            <v/>
          </cell>
          <cell r="S470" t="str">
            <v/>
          </cell>
          <cell r="T470" t="str">
            <v/>
          </cell>
          <cell r="U470" t="str">
            <v/>
          </cell>
          <cell r="V470" t="str">
            <v>N52</v>
          </cell>
          <cell r="W470" t="str">
            <v/>
          </cell>
          <cell r="X470" t="str">
            <v/>
          </cell>
          <cell r="Y470" t="str">
            <v/>
          </cell>
          <cell r="Z470" t="str">
            <v/>
          </cell>
          <cell r="AA470" t="str">
            <v/>
          </cell>
          <cell r="AB470" t="str">
            <v>PA_4418393-LD.7005-4</v>
          </cell>
          <cell r="AC470">
            <v>1</v>
          </cell>
          <cell r="AD470" t="str">
            <v/>
          </cell>
          <cell r="AE470">
            <v>0</v>
          </cell>
          <cell r="AF470" t="str">
            <v/>
          </cell>
          <cell r="AG470" t="str">
            <v>12503189</v>
          </cell>
          <cell r="AH470">
            <v>44641.89398148148</v>
          </cell>
          <cell r="AI470" t="str">
            <v>N52</v>
          </cell>
          <cell r="AJ470" t="str">
            <v>F</v>
          </cell>
          <cell r="AK470" t="str">
            <v/>
          </cell>
        </row>
        <row r="471">
          <cell r="A471" t="str">
            <v>12504044829054</v>
          </cell>
          <cell r="B471" t="e">
            <v>#N/A</v>
          </cell>
          <cell r="C471">
            <v>8</v>
          </cell>
          <cell r="D471" t="str">
            <v>EK65</v>
          </cell>
          <cell r="E471" t="str">
            <v>533759</v>
          </cell>
          <cell r="F471" t="str">
            <v>E</v>
          </cell>
          <cell r="G471" t="str">
            <v>12504044</v>
          </cell>
          <cell r="H471" t="str">
            <v>Muffe D18/D22</v>
          </cell>
          <cell r="I471">
            <v>33</v>
          </cell>
          <cell r="J471" t="str">
            <v>Stk</v>
          </cell>
          <cell r="K471">
            <v>45223</v>
          </cell>
          <cell r="L471" t="str">
            <v>829054</v>
          </cell>
          <cell r="M471" t="str">
            <v/>
          </cell>
          <cell r="N471" t="str">
            <v/>
          </cell>
          <cell r="O471" t="str">
            <v/>
          </cell>
          <cell r="P471" t="str">
            <v/>
          </cell>
          <cell r="Q471" t="str">
            <v/>
          </cell>
          <cell r="R471" t="str">
            <v/>
          </cell>
          <cell r="S471" t="str">
            <v/>
          </cell>
          <cell r="T471" t="str">
            <v/>
          </cell>
          <cell r="U471" t="str">
            <v/>
          </cell>
          <cell r="V471" t="str">
            <v>N52</v>
          </cell>
          <cell r="W471" t="str">
            <v/>
          </cell>
          <cell r="X471" t="str">
            <v/>
          </cell>
          <cell r="Y471" t="str">
            <v/>
          </cell>
          <cell r="Z471" t="str">
            <v/>
          </cell>
          <cell r="AA471" t="str">
            <v/>
          </cell>
          <cell r="AB471" t="str">
            <v>PA_4492673-JC.7005-4</v>
          </cell>
          <cell r="AC471">
            <v>1</v>
          </cell>
          <cell r="AD471" t="str">
            <v/>
          </cell>
          <cell r="AE471">
            <v>0</v>
          </cell>
          <cell r="AF471" t="str">
            <v/>
          </cell>
          <cell r="AG471" t="str">
            <v>12504044</v>
          </cell>
          <cell r="AH471">
            <v>44641.89403935185</v>
          </cell>
          <cell r="AI471" t="str">
            <v>N52</v>
          </cell>
          <cell r="AJ471" t="str">
            <v>F</v>
          </cell>
          <cell r="AK471" t="str">
            <v/>
          </cell>
        </row>
        <row r="472">
          <cell r="A472" t="str">
            <v>12504044829053</v>
          </cell>
          <cell r="B472" t="e">
            <v>#N/A</v>
          </cell>
          <cell r="C472">
            <v>8</v>
          </cell>
          <cell r="D472" t="str">
            <v>EK65</v>
          </cell>
          <cell r="E472" t="str">
            <v>533760</v>
          </cell>
          <cell r="F472" t="str">
            <v>E</v>
          </cell>
          <cell r="G472" t="str">
            <v>12504044</v>
          </cell>
          <cell r="H472" t="str">
            <v>Muffe D18/D22</v>
          </cell>
          <cell r="I472">
            <v>97</v>
          </cell>
          <cell r="J472" t="str">
            <v>Stk</v>
          </cell>
          <cell r="K472">
            <v>45224</v>
          </cell>
          <cell r="L472" t="str">
            <v>829053</v>
          </cell>
          <cell r="M472" t="str">
            <v/>
          </cell>
          <cell r="N472" t="str">
            <v/>
          </cell>
          <cell r="O472" t="str">
            <v/>
          </cell>
          <cell r="P472" t="str">
            <v/>
          </cell>
          <cell r="Q472" t="str">
            <v/>
          </cell>
          <cell r="R472" t="str">
            <v/>
          </cell>
          <cell r="S472" t="str">
            <v/>
          </cell>
          <cell r="T472" t="str">
            <v/>
          </cell>
          <cell r="U472" t="str">
            <v/>
          </cell>
          <cell r="V472" t="str">
            <v>N52</v>
          </cell>
          <cell r="W472" t="str">
            <v/>
          </cell>
          <cell r="X472" t="str">
            <v/>
          </cell>
          <cell r="Y472" t="str">
            <v/>
          </cell>
          <cell r="Z472" t="str">
            <v/>
          </cell>
          <cell r="AA472" t="str">
            <v/>
          </cell>
          <cell r="AB472" t="str">
            <v>PA_4492673-JC.7005-4</v>
          </cell>
          <cell r="AC472">
            <v>1</v>
          </cell>
          <cell r="AD472" t="str">
            <v/>
          </cell>
          <cell r="AE472">
            <v>0</v>
          </cell>
          <cell r="AF472" t="str">
            <v/>
          </cell>
          <cell r="AG472" t="str">
            <v>12504044</v>
          </cell>
          <cell r="AH472">
            <v>44641.89403935185</v>
          </cell>
          <cell r="AI472" t="str">
            <v>N52</v>
          </cell>
          <cell r="AJ472" t="str">
            <v>F</v>
          </cell>
          <cell r="AK472" t="str">
            <v/>
          </cell>
        </row>
        <row r="473">
          <cell r="A473" t="str">
            <v>12511152829053</v>
          </cell>
          <cell r="B473" t="e">
            <v>#N/A</v>
          </cell>
          <cell r="C473">
            <v>8</v>
          </cell>
          <cell r="D473" t="str">
            <v>EK65</v>
          </cell>
          <cell r="E473" t="str">
            <v>533761</v>
          </cell>
          <cell r="F473" t="str">
            <v>E</v>
          </cell>
          <cell r="G473" t="str">
            <v>12511152</v>
          </cell>
          <cell r="H473" t="str">
            <v>Distanzstueck</v>
          </cell>
          <cell r="I473">
            <v>101</v>
          </cell>
          <cell r="J473" t="str">
            <v>Stk</v>
          </cell>
          <cell r="K473">
            <v>45212</v>
          </cell>
          <cell r="L473" t="str">
            <v>829053</v>
          </cell>
          <cell r="M473" t="str">
            <v/>
          </cell>
          <cell r="N473" t="str">
            <v/>
          </cell>
          <cell r="O473" t="str">
            <v/>
          </cell>
          <cell r="P473" t="str">
            <v/>
          </cell>
          <cell r="Q473" t="str">
            <v/>
          </cell>
          <cell r="R473" t="str">
            <v/>
          </cell>
          <cell r="S473" t="str">
            <v/>
          </cell>
          <cell r="T473" t="str">
            <v/>
          </cell>
          <cell r="U473" t="str">
            <v/>
          </cell>
          <cell r="V473" t="str">
            <v>N52</v>
          </cell>
          <cell r="W473" t="str">
            <v/>
          </cell>
          <cell r="X473" t="str">
            <v/>
          </cell>
          <cell r="Y473" t="str">
            <v/>
          </cell>
          <cell r="Z473" t="str">
            <v/>
          </cell>
          <cell r="AA473" t="str">
            <v/>
          </cell>
          <cell r="AB473" t="str">
            <v>PA_4451699-CD.7005-4</v>
          </cell>
          <cell r="AC473">
            <v>1</v>
          </cell>
          <cell r="AD473" t="str">
            <v/>
          </cell>
          <cell r="AE473">
            <v>0</v>
          </cell>
          <cell r="AF473" t="str">
            <v/>
          </cell>
          <cell r="AG473" t="str">
            <v>12511152</v>
          </cell>
          <cell r="AH473">
            <v>44641.894467592596</v>
          </cell>
          <cell r="AI473" t="str">
            <v>N52</v>
          </cell>
          <cell r="AJ473" t="str">
            <v>F</v>
          </cell>
          <cell r="AK473" t="str">
            <v/>
          </cell>
        </row>
        <row r="474">
          <cell r="A474" t="str">
            <v>12511152829054</v>
          </cell>
          <cell r="B474" t="e">
            <v>#N/A</v>
          </cell>
          <cell r="C474">
            <v>8</v>
          </cell>
          <cell r="D474" t="str">
            <v>EK65</v>
          </cell>
          <cell r="E474" t="str">
            <v>533762</v>
          </cell>
          <cell r="F474" t="str">
            <v>E</v>
          </cell>
          <cell r="G474" t="str">
            <v>12511152</v>
          </cell>
          <cell r="H474" t="str">
            <v>Distanzstueck</v>
          </cell>
          <cell r="I474">
            <v>62</v>
          </cell>
          <cell r="J474" t="str">
            <v>Stk</v>
          </cell>
          <cell r="K474">
            <v>45241</v>
          </cell>
          <cell r="L474" t="str">
            <v>829054</v>
          </cell>
          <cell r="M474" t="str">
            <v/>
          </cell>
          <cell r="N474" t="str">
            <v/>
          </cell>
          <cell r="O474" t="str">
            <v/>
          </cell>
          <cell r="P474" t="str">
            <v/>
          </cell>
          <cell r="Q474" t="str">
            <v/>
          </cell>
          <cell r="R474" t="str">
            <v/>
          </cell>
          <cell r="S474" t="str">
            <v/>
          </cell>
          <cell r="T474" t="str">
            <v/>
          </cell>
          <cell r="U474" t="str">
            <v/>
          </cell>
          <cell r="V474" t="str">
            <v>N52</v>
          </cell>
          <cell r="W474" t="str">
            <v/>
          </cell>
          <cell r="X474" t="str">
            <v/>
          </cell>
          <cell r="Y474" t="str">
            <v/>
          </cell>
          <cell r="Z474" t="str">
            <v/>
          </cell>
          <cell r="AA474" t="str">
            <v/>
          </cell>
          <cell r="AB474" t="str">
            <v>PA_4451699-CD.7005-4</v>
          </cell>
          <cell r="AC474">
            <v>1</v>
          </cell>
          <cell r="AD474" t="str">
            <v/>
          </cell>
          <cell r="AE474">
            <v>0</v>
          </cell>
          <cell r="AF474" t="str">
            <v/>
          </cell>
          <cell r="AG474" t="str">
            <v>12511152</v>
          </cell>
          <cell r="AH474">
            <v>44641.894467592596</v>
          </cell>
          <cell r="AI474" t="str">
            <v>N52</v>
          </cell>
          <cell r="AJ474" t="str">
            <v>F</v>
          </cell>
          <cell r="AK474" t="str">
            <v/>
          </cell>
        </row>
        <row r="475">
          <cell r="A475" t="str">
            <v>12511193829054</v>
          </cell>
          <cell r="B475" t="e">
            <v>#N/A</v>
          </cell>
          <cell r="C475">
            <v>8</v>
          </cell>
          <cell r="D475" t="str">
            <v>EK65</v>
          </cell>
          <cell r="E475" t="str">
            <v>533763</v>
          </cell>
          <cell r="F475" t="str">
            <v>E</v>
          </cell>
          <cell r="G475" t="str">
            <v>12511193</v>
          </cell>
          <cell r="H475" t="str">
            <v>Distanzstueck</v>
          </cell>
          <cell r="I475">
            <v>70</v>
          </cell>
          <cell r="J475" t="str">
            <v>Stk</v>
          </cell>
          <cell r="K475">
            <v>45219</v>
          </cell>
          <cell r="L475" t="str">
            <v>829054</v>
          </cell>
          <cell r="M475" t="str">
            <v/>
          </cell>
          <cell r="N475" t="str">
            <v/>
          </cell>
          <cell r="O475" t="str">
            <v/>
          </cell>
          <cell r="P475" t="str">
            <v/>
          </cell>
          <cell r="Q475" t="str">
            <v/>
          </cell>
          <cell r="R475" t="str">
            <v/>
          </cell>
          <cell r="S475" t="str">
            <v/>
          </cell>
          <cell r="T475" t="str">
            <v/>
          </cell>
          <cell r="U475" t="str">
            <v/>
          </cell>
          <cell r="V475" t="str">
            <v>N52</v>
          </cell>
          <cell r="W475" t="str">
            <v/>
          </cell>
          <cell r="X475" t="str">
            <v/>
          </cell>
          <cell r="Y475" t="str">
            <v/>
          </cell>
          <cell r="Z475" t="str">
            <v/>
          </cell>
          <cell r="AA475" t="str">
            <v/>
          </cell>
          <cell r="AB475" t="str">
            <v>PA_4451833-CD.7005-4</v>
          </cell>
          <cell r="AC475">
            <v>1</v>
          </cell>
          <cell r="AD475" t="str">
            <v/>
          </cell>
          <cell r="AE475">
            <v>0</v>
          </cell>
          <cell r="AF475" t="str">
            <v/>
          </cell>
          <cell r="AG475" t="str">
            <v>12511193</v>
          </cell>
          <cell r="AH475">
            <v>44641.894479166665</v>
          </cell>
          <cell r="AI475" t="str">
            <v>N52</v>
          </cell>
          <cell r="AJ475" t="str">
            <v>F</v>
          </cell>
          <cell r="AK475" t="str">
            <v/>
          </cell>
        </row>
        <row r="476">
          <cell r="A476" t="str">
            <v>12511193829053</v>
          </cell>
          <cell r="B476" t="e">
            <v>#N/A</v>
          </cell>
          <cell r="C476">
            <v>8</v>
          </cell>
          <cell r="D476" t="str">
            <v>EK65</v>
          </cell>
          <cell r="E476" t="str">
            <v>533764</v>
          </cell>
          <cell r="F476" t="str">
            <v>E</v>
          </cell>
          <cell r="G476" t="str">
            <v>12511193</v>
          </cell>
          <cell r="H476" t="str">
            <v>Distanzstueck</v>
          </cell>
          <cell r="I476">
            <v>95</v>
          </cell>
          <cell r="J476" t="str">
            <v>Stk</v>
          </cell>
          <cell r="K476">
            <v>45230</v>
          </cell>
          <cell r="L476" t="str">
            <v>829053</v>
          </cell>
          <cell r="M476" t="str">
            <v/>
          </cell>
          <cell r="N476" t="str">
            <v/>
          </cell>
          <cell r="O476" t="str">
            <v/>
          </cell>
          <cell r="P476" t="str">
            <v/>
          </cell>
          <cell r="Q476" t="str">
            <v/>
          </cell>
          <cell r="R476" t="str">
            <v/>
          </cell>
          <cell r="S476" t="str">
            <v/>
          </cell>
          <cell r="T476" t="str">
            <v/>
          </cell>
          <cell r="U476" t="str">
            <v/>
          </cell>
          <cell r="V476" t="str">
            <v>N52</v>
          </cell>
          <cell r="W476" t="str">
            <v/>
          </cell>
          <cell r="X476" t="str">
            <v/>
          </cell>
          <cell r="Y476" t="str">
            <v/>
          </cell>
          <cell r="Z476" t="str">
            <v/>
          </cell>
          <cell r="AA476" t="str">
            <v/>
          </cell>
          <cell r="AB476" t="str">
            <v>PA_4451833-CD.7005-4</v>
          </cell>
          <cell r="AC476">
            <v>1</v>
          </cell>
          <cell r="AD476" t="str">
            <v/>
          </cell>
          <cell r="AE476">
            <v>0</v>
          </cell>
          <cell r="AF476" t="str">
            <v/>
          </cell>
          <cell r="AG476" t="str">
            <v>12511193</v>
          </cell>
          <cell r="AH476">
            <v>44641.894479166665</v>
          </cell>
          <cell r="AI476" t="str">
            <v>N52</v>
          </cell>
          <cell r="AJ476" t="str">
            <v>F</v>
          </cell>
          <cell r="AK476" t="str">
            <v/>
          </cell>
        </row>
        <row r="477">
          <cell r="A477" t="str">
            <v>12511200829054</v>
          </cell>
          <cell r="B477" t="e">
            <v>#N/A</v>
          </cell>
          <cell r="C477">
            <v>6</v>
          </cell>
          <cell r="D477" t="str">
            <v>EK65</v>
          </cell>
          <cell r="E477" t="str">
            <v>533765</v>
          </cell>
          <cell r="F477" t="str">
            <v>E</v>
          </cell>
          <cell r="G477" t="str">
            <v>12511200</v>
          </cell>
          <cell r="H477" t="str">
            <v>Distanzstueck</v>
          </cell>
          <cell r="I477">
            <v>70</v>
          </cell>
          <cell r="J477" t="str">
            <v>Stk</v>
          </cell>
          <cell r="K477">
            <v>45219</v>
          </cell>
          <cell r="L477" t="str">
            <v>829054</v>
          </cell>
          <cell r="M477" t="str">
            <v/>
          </cell>
          <cell r="N477" t="str">
            <v/>
          </cell>
          <cell r="O477" t="str">
            <v/>
          </cell>
          <cell r="P477" t="str">
            <v/>
          </cell>
          <cell r="Q477" t="str">
            <v/>
          </cell>
          <cell r="R477" t="str">
            <v/>
          </cell>
          <cell r="S477" t="str">
            <v/>
          </cell>
          <cell r="T477" t="str">
            <v/>
          </cell>
          <cell r="U477" t="str">
            <v/>
          </cell>
          <cell r="V477" t="str">
            <v>N52</v>
          </cell>
          <cell r="W477" t="str">
            <v/>
          </cell>
          <cell r="X477" t="str">
            <v/>
          </cell>
          <cell r="Y477" t="str">
            <v/>
          </cell>
          <cell r="Z477" t="str">
            <v/>
          </cell>
          <cell r="AA477" t="str">
            <v/>
          </cell>
          <cell r="AB477" t="str">
            <v>PA_4451844-CD.7005-4</v>
          </cell>
          <cell r="AC477">
            <v>1</v>
          </cell>
          <cell r="AD477" t="str">
            <v/>
          </cell>
          <cell r="AE477">
            <v>0</v>
          </cell>
          <cell r="AF477" t="str">
            <v/>
          </cell>
          <cell r="AG477" t="str">
            <v>12511200</v>
          </cell>
          <cell r="AH477">
            <v>44641.894502314812</v>
          </cell>
          <cell r="AI477" t="str">
            <v>N52</v>
          </cell>
          <cell r="AJ477" t="str">
            <v>F</v>
          </cell>
          <cell r="AK477" t="str">
            <v/>
          </cell>
        </row>
        <row r="478">
          <cell r="A478" t="str">
            <v>12511200829053</v>
          </cell>
          <cell r="B478" t="e">
            <v>#N/A</v>
          </cell>
          <cell r="C478">
            <v>6</v>
          </cell>
          <cell r="D478" t="str">
            <v>EK65</v>
          </cell>
          <cell r="E478" t="str">
            <v>533766</v>
          </cell>
          <cell r="F478" t="str">
            <v>E</v>
          </cell>
          <cell r="G478" t="str">
            <v>12511200</v>
          </cell>
          <cell r="H478" t="str">
            <v>Distanzstueck</v>
          </cell>
          <cell r="I478">
            <v>95</v>
          </cell>
          <cell r="J478" t="str">
            <v>Stk</v>
          </cell>
          <cell r="K478">
            <v>45230</v>
          </cell>
          <cell r="L478" t="str">
            <v>829053</v>
          </cell>
          <cell r="M478" t="str">
            <v/>
          </cell>
          <cell r="N478" t="str">
            <v/>
          </cell>
          <cell r="O478" t="str">
            <v/>
          </cell>
          <cell r="P478" t="str">
            <v/>
          </cell>
          <cell r="Q478" t="str">
            <v/>
          </cell>
          <cell r="R478" t="str">
            <v/>
          </cell>
          <cell r="S478" t="str">
            <v/>
          </cell>
          <cell r="T478" t="str">
            <v/>
          </cell>
          <cell r="U478" t="str">
            <v/>
          </cell>
          <cell r="V478" t="str">
            <v>N52</v>
          </cell>
          <cell r="W478" t="str">
            <v/>
          </cell>
          <cell r="X478" t="str">
            <v/>
          </cell>
          <cell r="Y478" t="str">
            <v/>
          </cell>
          <cell r="Z478" t="str">
            <v/>
          </cell>
          <cell r="AA478" t="str">
            <v/>
          </cell>
          <cell r="AB478" t="str">
            <v>PA_4451844-CD.7005-4</v>
          </cell>
          <cell r="AC478">
            <v>1</v>
          </cell>
          <cell r="AD478" t="str">
            <v/>
          </cell>
          <cell r="AE478">
            <v>0</v>
          </cell>
          <cell r="AF478" t="str">
            <v/>
          </cell>
          <cell r="AG478" t="str">
            <v>12511200</v>
          </cell>
          <cell r="AH478">
            <v>44641.894502314812</v>
          </cell>
          <cell r="AI478" t="str">
            <v>N52</v>
          </cell>
          <cell r="AJ478" t="str">
            <v>F</v>
          </cell>
          <cell r="AK478" t="str">
            <v/>
          </cell>
        </row>
        <row r="479">
          <cell r="A479" t="str">
            <v>12511493829054</v>
          </cell>
          <cell r="B479" t="e">
            <v>#N/A</v>
          </cell>
          <cell r="C479">
            <v>24</v>
          </cell>
          <cell r="D479" t="str">
            <v>EK65</v>
          </cell>
          <cell r="E479" t="str">
            <v>533767</v>
          </cell>
          <cell r="F479" t="str">
            <v>E</v>
          </cell>
          <cell r="G479" t="str">
            <v>12511493</v>
          </cell>
          <cell r="H479" t="str">
            <v>Halter, vollst.</v>
          </cell>
          <cell r="I479">
            <v>72</v>
          </cell>
          <cell r="J479" t="str">
            <v>Stk</v>
          </cell>
          <cell r="K479">
            <v>45219</v>
          </cell>
          <cell r="L479" t="str">
            <v>829054</v>
          </cell>
          <cell r="M479" t="str">
            <v/>
          </cell>
          <cell r="N479" t="str">
            <v/>
          </cell>
          <cell r="O479" t="str">
            <v/>
          </cell>
          <cell r="P479" t="str">
            <v/>
          </cell>
          <cell r="Q479" t="str">
            <v/>
          </cell>
          <cell r="R479" t="str">
            <v/>
          </cell>
          <cell r="S479" t="str">
            <v/>
          </cell>
          <cell r="T479" t="str">
            <v/>
          </cell>
          <cell r="U479" t="str">
            <v/>
          </cell>
          <cell r="V479" t="str">
            <v>N52</v>
          </cell>
          <cell r="W479" t="str">
            <v/>
          </cell>
          <cell r="X479" t="str">
            <v/>
          </cell>
          <cell r="Y479" t="str">
            <v/>
          </cell>
          <cell r="Z479" t="str">
            <v/>
          </cell>
          <cell r="AA479" t="str">
            <v/>
          </cell>
          <cell r="AB479" t="str">
            <v>PA_4483635-CD.7005-4</v>
          </cell>
          <cell r="AC479">
            <v>1</v>
          </cell>
          <cell r="AD479" t="str">
            <v/>
          </cell>
          <cell r="AE479">
            <v>0</v>
          </cell>
          <cell r="AF479" t="str">
            <v/>
          </cell>
          <cell r="AG479" t="str">
            <v>12511493</v>
          </cell>
          <cell r="AH479">
            <v>44641.894537037035</v>
          </cell>
          <cell r="AI479" t="str">
            <v>N52</v>
          </cell>
          <cell r="AJ479" t="str">
            <v>F</v>
          </cell>
          <cell r="AK479" t="str">
            <v/>
          </cell>
        </row>
        <row r="480">
          <cell r="A480" t="str">
            <v>12511493829053</v>
          </cell>
          <cell r="B480" t="e">
            <v>#N/A</v>
          </cell>
          <cell r="C480">
            <v>24</v>
          </cell>
          <cell r="D480" t="str">
            <v>EK65</v>
          </cell>
          <cell r="E480" t="str">
            <v>533768</v>
          </cell>
          <cell r="F480" t="str">
            <v>E</v>
          </cell>
          <cell r="G480" t="str">
            <v>12511493</v>
          </cell>
          <cell r="H480" t="str">
            <v>Halter, vollst.</v>
          </cell>
          <cell r="I480">
            <v>181</v>
          </cell>
          <cell r="J480" t="str">
            <v>Stk</v>
          </cell>
          <cell r="K480">
            <v>45232</v>
          </cell>
          <cell r="L480" t="str">
            <v>829053</v>
          </cell>
          <cell r="M480" t="str">
            <v/>
          </cell>
          <cell r="N480" t="str">
            <v/>
          </cell>
          <cell r="O480" t="str">
            <v/>
          </cell>
          <cell r="P480" t="str">
            <v/>
          </cell>
          <cell r="Q480" t="str">
            <v/>
          </cell>
          <cell r="R480" t="str">
            <v/>
          </cell>
          <cell r="S480" t="str">
            <v/>
          </cell>
          <cell r="T480" t="str">
            <v/>
          </cell>
          <cell r="U480" t="str">
            <v/>
          </cell>
          <cell r="V480" t="str">
            <v>N52</v>
          </cell>
          <cell r="W480" t="str">
            <v/>
          </cell>
          <cell r="X480" t="str">
            <v/>
          </cell>
          <cell r="Y480" t="str">
            <v/>
          </cell>
          <cell r="Z480" t="str">
            <v/>
          </cell>
          <cell r="AA480" t="str">
            <v/>
          </cell>
          <cell r="AB480" t="str">
            <v>PA_4483635-CD.7005-4</v>
          </cell>
          <cell r="AC480">
            <v>1</v>
          </cell>
          <cell r="AD480" t="str">
            <v/>
          </cell>
          <cell r="AE480">
            <v>0</v>
          </cell>
          <cell r="AF480" t="str">
            <v/>
          </cell>
          <cell r="AG480" t="str">
            <v>12511493</v>
          </cell>
          <cell r="AH480">
            <v>44641.894537037035</v>
          </cell>
          <cell r="AI480" t="str">
            <v>N52</v>
          </cell>
          <cell r="AJ480" t="str">
            <v>F</v>
          </cell>
          <cell r="AK480" t="str">
            <v/>
          </cell>
        </row>
        <row r="481">
          <cell r="A481" t="str">
            <v>12511493829051</v>
          </cell>
          <cell r="B481" t="e">
            <v>#N/A</v>
          </cell>
          <cell r="C481">
            <v>24</v>
          </cell>
          <cell r="D481" t="str">
            <v>EK65</v>
          </cell>
          <cell r="E481" t="str">
            <v>533769</v>
          </cell>
          <cell r="F481" t="str">
            <v>E</v>
          </cell>
          <cell r="G481" t="str">
            <v>12511493</v>
          </cell>
          <cell r="H481" t="str">
            <v>Halter, vollst.</v>
          </cell>
          <cell r="I481">
            <v>725</v>
          </cell>
          <cell r="J481" t="str">
            <v>Stk</v>
          </cell>
          <cell r="K481">
            <v>45328</v>
          </cell>
          <cell r="L481" t="str">
            <v>829051</v>
          </cell>
          <cell r="M481" t="str">
            <v/>
          </cell>
          <cell r="N481" t="str">
            <v/>
          </cell>
          <cell r="O481" t="str">
            <v/>
          </cell>
          <cell r="P481" t="str">
            <v/>
          </cell>
          <cell r="Q481" t="str">
            <v/>
          </cell>
          <cell r="R481" t="str">
            <v/>
          </cell>
          <cell r="S481" t="str">
            <v/>
          </cell>
          <cell r="T481" t="str">
            <v/>
          </cell>
          <cell r="U481" t="str">
            <v/>
          </cell>
          <cell r="V481" t="str">
            <v>N52</v>
          </cell>
          <cell r="W481" t="str">
            <v/>
          </cell>
          <cell r="X481" t="str">
            <v/>
          </cell>
          <cell r="Y481" t="str">
            <v/>
          </cell>
          <cell r="Z481" t="str">
            <v/>
          </cell>
          <cell r="AA481" t="str">
            <v/>
          </cell>
          <cell r="AB481" t="str">
            <v>PA_4483635-CD.7005-4</v>
          </cell>
          <cell r="AC481">
            <v>1</v>
          </cell>
          <cell r="AD481" t="str">
            <v/>
          </cell>
          <cell r="AE481">
            <v>0</v>
          </cell>
          <cell r="AF481" t="str">
            <v/>
          </cell>
          <cell r="AG481" t="str">
            <v>12511493</v>
          </cell>
          <cell r="AH481">
            <v>44641.894537037035</v>
          </cell>
          <cell r="AI481" t="str">
            <v>N52</v>
          </cell>
          <cell r="AJ481" t="str">
            <v>F</v>
          </cell>
          <cell r="AK481" t="str">
            <v/>
          </cell>
        </row>
        <row r="482">
          <cell r="A482" t="str">
            <v>12511493829052</v>
          </cell>
          <cell r="B482" t="e">
            <v>#N/A</v>
          </cell>
          <cell r="C482">
            <v>24</v>
          </cell>
          <cell r="D482" t="str">
            <v>EK65</v>
          </cell>
          <cell r="E482" t="str">
            <v>533770</v>
          </cell>
          <cell r="F482" t="str">
            <v>E</v>
          </cell>
          <cell r="G482" t="str">
            <v>12511493</v>
          </cell>
          <cell r="H482" t="str">
            <v>Halter, vollst.</v>
          </cell>
          <cell r="I482">
            <v>372</v>
          </cell>
          <cell r="J482" t="str">
            <v>Stk</v>
          </cell>
          <cell r="K482">
            <v>45358</v>
          </cell>
          <cell r="L482" t="str">
            <v>829052</v>
          </cell>
          <cell r="M482" t="str">
            <v/>
          </cell>
          <cell r="N482" t="str">
            <v/>
          </cell>
          <cell r="O482" t="str">
            <v/>
          </cell>
          <cell r="P482" t="str">
            <v/>
          </cell>
          <cell r="Q482" t="str">
            <v/>
          </cell>
          <cell r="R482" t="str">
            <v/>
          </cell>
          <cell r="S482" t="str">
            <v/>
          </cell>
          <cell r="T482" t="str">
            <v/>
          </cell>
          <cell r="U482" t="str">
            <v/>
          </cell>
          <cell r="V482" t="str">
            <v>N52</v>
          </cell>
          <cell r="W482" t="str">
            <v/>
          </cell>
          <cell r="X482" t="str">
            <v/>
          </cell>
          <cell r="Y482" t="str">
            <v/>
          </cell>
          <cell r="Z482" t="str">
            <v/>
          </cell>
          <cell r="AA482" t="str">
            <v/>
          </cell>
          <cell r="AB482" t="str">
            <v>PA_4483635-CD.7005-4</v>
          </cell>
          <cell r="AC482">
            <v>1</v>
          </cell>
          <cell r="AD482" t="str">
            <v/>
          </cell>
          <cell r="AE482">
            <v>0</v>
          </cell>
          <cell r="AF482" t="str">
            <v/>
          </cell>
          <cell r="AG482" t="str">
            <v>12511493</v>
          </cell>
          <cell r="AH482">
            <v>44641.894537037035</v>
          </cell>
          <cell r="AI482" t="str">
            <v>N52</v>
          </cell>
          <cell r="AJ482" t="str">
            <v>F</v>
          </cell>
          <cell r="AK482" t="str">
            <v/>
          </cell>
        </row>
        <row r="483">
          <cell r="A483" t="str">
            <v>12517708829053</v>
          </cell>
          <cell r="B483" t="e">
            <v>#N/A</v>
          </cell>
          <cell r="C483">
            <v>12</v>
          </cell>
          <cell r="D483" t="str">
            <v>EK65</v>
          </cell>
          <cell r="E483" t="str">
            <v>533771</v>
          </cell>
          <cell r="F483" t="str">
            <v>E</v>
          </cell>
          <cell r="G483" t="str">
            <v>12517708</v>
          </cell>
          <cell r="H483" t="str">
            <v>Winkel</v>
          </cell>
          <cell r="I483">
            <v>51</v>
          </cell>
          <cell r="J483" t="str">
            <v>Stk</v>
          </cell>
          <cell r="K483">
            <v>45209</v>
          </cell>
          <cell r="L483" t="str">
            <v>829053</v>
          </cell>
          <cell r="M483" t="str">
            <v/>
          </cell>
          <cell r="N483" t="str">
            <v/>
          </cell>
          <cell r="O483" t="str">
            <v/>
          </cell>
          <cell r="P483" t="str">
            <v/>
          </cell>
          <cell r="Q483" t="str">
            <v/>
          </cell>
          <cell r="R483" t="str">
            <v/>
          </cell>
          <cell r="S483" t="str">
            <v/>
          </cell>
          <cell r="T483" t="str">
            <v/>
          </cell>
          <cell r="U483" t="str">
            <v/>
          </cell>
          <cell r="V483" t="str">
            <v>N52</v>
          </cell>
          <cell r="W483" t="str">
            <v/>
          </cell>
          <cell r="X483" t="str">
            <v/>
          </cell>
          <cell r="Y483" t="str">
            <v/>
          </cell>
          <cell r="Z483" t="str">
            <v/>
          </cell>
          <cell r="AA483" t="str">
            <v/>
          </cell>
          <cell r="AB483" t="str">
            <v>PA_4270353-LE.7005-3</v>
          </cell>
          <cell r="AC483">
            <v>1</v>
          </cell>
          <cell r="AD483" t="str">
            <v/>
          </cell>
          <cell r="AE483">
            <v>0</v>
          </cell>
          <cell r="AF483" t="str">
            <v/>
          </cell>
          <cell r="AG483" t="str">
            <v>12517708</v>
          </cell>
          <cell r="AH483">
            <v>44641.894849537035</v>
          </cell>
          <cell r="AI483" t="str">
            <v>N52</v>
          </cell>
          <cell r="AJ483" t="str">
            <v>F</v>
          </cell>
          <cell r="AK483" t="str">
            <v/>
          </cell>
        </row>
        <row r="484">
          <cell r="A484" t="str">
            <v>12530817829054</v>
          </cell>
          <cell r="B484" t="e">
            <v>#N/A</v>
          </cell>
          <cell r="C484">
            <v>20</v>
          </cell>
          <cell r="D484" t="str">
            <v>EK65</v>
          </cell>
          <cell r="E484" t="str">
            <v>533774</v>
          </cell>
          <cell r="F484" t="str">
            <v>E</v>
          </cell>
          <cell r="G484" t="str">
            <v>12530817</v>
          </cell>
          <cell r="H484" t="str">
            <v>Beilage</v>
          </cell>
          <cell r="I484">
            <v>142</v>
          </cell>
          <cell r="J484" t="str">
            <v>Stk</v>
          </cell>
          <cell r="K484">
            <v>45213</v>
          </cell>
          <cell r="L484" t="str">
            <v>829054</v>
          </cell>
          <cell r="M484" t="str">
            <v/>
          </cell>
          <cell r="N484" t="str">
            <v/>
          </cell>
          <cell r="O484" t="str">
            <v/>
          </cell>
          <cell r="P484" t="str">
            <v/>
          </cell>
          <cell r="Q484" t="str">
            <v/>
          </cell>
          <cell r="R484" t="str">
            <v/>
          </cell>
          <cell r="S484" t="str">
            <v/>
          </cell>
          <cell r="T484" t="str">
            <v/>
          </cell>
          <cell r="U484" t="str">
            <v/>
          </cell>
          <cell r="V484" t="str">
            <v>N52</v>
          </cell>
          <cell r="W484" t="str">
            <v/>
          </cell>
          <cell r="X484" t="str">
            <v/>
          </cell>
          <cell r="Y484" t="str">
            <v/>
          </cell>
          <cell r="Z484" t="str">
            <v/>
          </cell>
          <cell r="AA484" t="str">
            <v/>
          </cell>
          <cell r="AB484" t="str">
            <v>PA_4600540-LD.7005-4</v>
          </cell>
          <cell r="AC484">
            <v>1</v>
          </cell>
          <cell r="AD484" t="str">
            <v/>
          </cell>
          <cell r="AE484">
            <v>0</v>
          </cell>
          <cell r="AF484" t="str">
            <v/>
          </cell>
          <cell r="AG484" t="str">
            <v>12530817</v>
          </cell>
          <cell r="AH484">
            <v>44641.895590277774</v>
          </cell>
          <cell r="AI484" t="str">
            <v>N52</v>
          </cell>
          <cell r="AJ484" t="str">
            <v>F</v>
          </cell>
          <cell r="AK484" t="str">
            <v/>
          </cell>
        </row>
        <row r="485">
          <cell r="A485" t="str">
            <v>12530817829053</v>
          </cell>
          <cell r="B485" t="e">
            <v>#N/A</v>
          </cell>
          <cell r="C485">
            <v>20</v>
          </cell>
          <cell r="D485" t="str">
            <v>EK65</v>
          </cell>
          <cell r="E485" t="str">
            <v>533775</v>
          </cell>
          <cell r="F485" t="str">
            <v>E</v>
          </cell>
          <cell r="G485" t="str">
            <v>12530817</v>
          </cell>
          <cell r="H485" t="str">
            <v>Beilage</v>
          </cell>
          <cell r="I485">
            <v>433</v>
          </cell>
          <cell r="J485" t="str">
            <v>Stk</v>
          </cell>
          <cell r="K485">
            <v>45197</v>
          </cell>
          <cell r="L485" t="str">
            <v>829053</v>
          </cell>
          <cell r="M485" t="str">
            <v/>
          </cell>
          <cell r="N485" t="str">
            <v/>
          </cell>
          <cell r="O485" t="str">
            <v/>
          </cell>
          <cell r="P485" t="str">
            <v/>
          </cell>
          <cell r="Q485" t="str">
            <v/>
          </cell>
          <cell r="R485" t="str">
            <v/>
          </cell>
          <cell r="S485" t="str">
            <v/>
          </cell>
          <cell r="T485" t="str">
            <v/>
          </cell>
          <cell r="U485" t="str">
            <v/>
          </cell>
          <cell r="V485" t="str">
            <v>N52</v>
          </cell>
          <cell r="W485" t="str">
            <v/>
          </cell>
          <cell r="X485" t="str">
            <v/>
          </cell>
          <cell r="Y485" t="str">
            <v/>
          </cell>
          <cell r="Z485" t="str">
            <v/>
          </cell>
          <cell r="AA485" t="str">
            <v/>
          </cell>
          <cell r="AB485" t="str">
            <v>PA_4600540-LD.7005-4</v>
          </cell>
          <cell r="AC485">
            <v>1</v>
          </cell>
          <cell r="AD485" t="str">
            <v/>
          </cell>
          <cell r="AE485">
            <v>0</v>
          </cell>
          <cell r="AF485" t="str">
            <v/>
          </cell>
          <cell r="AG485" t="str">
            <v>12530817</v>
          </cell>
          <cell r="AH485">
            <v>44641.895590277774</v>
          </cell>
          <cell r="AI485" t="str">
            <v>N52</v>
          </cell>
          <cell r="AJ485" t="str">
            <v>F</v>
          </cell>
          <cell r="AK485" t="str">
            <v/>
          </cell>
        </row>
        <row r="486">
          <cell r="A486" t="str">
            <v>12530817829051</v>
          </cell>
          <cell r="B486" t="e">
            <v>#N/A</v>
          </cell>
          <cell r="C486">
            <v>20</v>
          </cell>
          <cell r="D486" t="str">
            <v>EK65</v>
          </cell>
          <cell r="E486" t="str">
            <v>533776</v>
          </cell>
          <cell r="F486" t="str">
            <v>E</v>
          </cell>
          <cell r="G486" t="str">
            <v>12530817</v>
          </cell>
          <cell r="H486" t="str">
            <v>Beilage</v>
          </cell>
          <cell r="I486">
            <v>1098</v>
          </cell>
          <cell r="J486" t="str">
            <v>Stk</v>
          </cell>
          <cell r="K486">
            <v>45316</v>
          </cell>
          <cell r="L486" t="str">
            <v>829051</v>
          </cell>
          <cell r="M486" t="str">
            <v/>
          </cell>
          <cell r="N486" t="str">
            <v/>
          </cell>
          <cell r="O486" t="str">
            <v/>
          </cell>
          <cell r="P486" t="str">
            <v/>
          </cell>
          <cell r="Q486" t="str">
            <v/>
          </cell>
          <cell r="R486" t="str">
            <v/>
          </cell>
          <cell r="S486" t="str">
            <v/>
          </cell>
          <cell r="T486" t="str">
            <v/>
          </cell>
          <cell r="U486" t="str">
            <v/>
          </cell>
          <cell r="V486" t="str">
            <v>N52</v>
          </cell>
          <cell r="W486" t="str">
            <v/>
          </cell>
          <cell r="X486" t="str">
            <v/>
          </cell>
          <cell r="Y486" t="str">
            <v/>
          </cell>
          <cell r="Z486" t="str">
            <v/>
          </cell>
          <cell r="AA486" t="str">
            <v/>
          </cell>
          <cell r="AB486" t="str">
            <v>PA_4600540-LD.7005-4</v>
          </cell>
          <cell r="AC486">
            <v>1</v>
          </cell>
          <cell r="AD486" t="str">
            <v/>
          </cell>
          <cell r="AE486">
            <v>0</v>
          </cell>
          <cell r="AF486" t="str">
            <v/>
          </cell>
          <cell r="AG486" t="str">
            <v>12530817</v>
          </cell>
          <cell r="AH486">
            <v>44641.895590277774</v>
          </cell>
          <cell r="AI486" t="str">
            <v>N52</v>
          </cell>
          <cell r="AJ486" t="str">
            <v>F</v>
          </cell>
          <cell r="AK486" t="str">
            <v/>
          </cell>
        </row>
        <row r="487">
          <cell r="A487" t="str">
            <v>12530817829052</v>
          </cell>
          <cell r="B487" t="e">
            <v>#N/A</v>
          </cell>
          <cell r="C487">
            <v>20</v>
          </cell>
          <cell r="D487" t="str">
            <v>EK65</v>
          </cell>
          <cell r="E487" t="str">
            <v>533777</v>
          </cell>
          <cell r="F487" t="str">
            <v>E</v>
          </cell>
          <cell r="G487" t="str">
            <v>12530817</v>
          </cell>
          <cell r="H487" t="str">
            <v>Beilage</v>
          </cell>
          <cell r="I487">
            <v>375</v>
          </cell>
          <cell r="J487" t="str">
            <v>Stk</v>
          </cell>
          <cell r="K487">
            <v>45351</v>
          </cell>
          <cell r="L487" t="str">
            <v>829052</v>
          </cell>
          <cell r="M487" t="str">
            <v/>
          </cell>
          <cell r="N487" t="str">
            <v/>
          </cell>
          <cell r="O487" t="str">
            <v/>
          </cell>
          <cell r="P487" t="str">
            <v/>
          </cell>
          <cell r="Q487" t="str">
            <v/>
          </cell>
          <cell r="R487" t="str">
            <v/>
          </cell>
          <cell r="S487" t="str">
            <v/>
          </cell>
          <cell r="T487" t="str">
            <v/>
          </cell>
          <cell r="U487" t="str">
            <v/>
          </cell>
          <cell r="V487" t="str">
            <v>N52</v>
          </cell>
          <cell r="W487" t="str">
            <v/>
          </cell>
          <cell r="X487" t="str">
            <v/>
          </cell>
          <cell r="Y487" t="str">
            <v/>
          </cell>
          <cell r="Z487" t="str">
            <v/>
          </cell>
          <cell r="AA487" t="str">
            <v/>
          </cell>
          <cell r="AB487" t="str">
            <v>PA_4600540-LD.7005-4</v>
          </cell>
          <cell r="AC487">
            <v>1</v>
          </cell>
          <cell r="AD487" t="str">
            <v/>
          </cell>
          <cell r="AE487">
            <v>0</v>
          </cell>
          <cell r="AF487" t="str">
            <v/>
          </cell>
          <cell r="AG487" t="str">
            <v>12530817</v>
          </cell>
          <cell r="AH487">
            <v>44641.895590277774</v>
          </cell>
          <cell r="AI487" t="str">
            <v>N52</v>
          </cell>
          <cell r="AJ487" t="str">
            <v>F</v>
          </cell>
          <cell r="AK487" t="str">
            <v/>
          </cell>
        </row>
        <row r="488">
          <cell r="A488" t="str">
            <v>12531135829053</v>
          </cell>
          <cell r="B488" t="e">
            <v>#N/A</v>
          </cell>
          <cell r="C488">
            <v>8</v>
          </cell>
          <cell r="D488" t="str">
            <v>EK65</v>
          </cell>
          <cell r="E488" t="str">
            <v>533778</v>
          </cell>
          <cell r="F488" t="str">
            <v>E</v>
          </cell>
          <cell r="G488" t="str">
            <v>12531135</v>
          </cell>
          <cell r="H488" t="str">
            <v>Muffe</v>
          </cell>
          <cell r="I488">
            <v>621</v>
          </cell>
          <cell r="J488" t="str">
            <v>Stk</v>
          </cell>
          <cell r="K488">
            <v>45212</v>
          </cell>
          <cell r="L488" t="str">
            <v>829053</v>
          </cell>
          <cell r="M488" t="str">
            <v/>
          </cell>
          <cell r="N488" t="str">
            <v/>
          </cell>
          <cell r="O488" t="str">
            <v/>
          </cell>
          <cell r="P488" t="str">
            <v/>
          </cell>
          <cell r="Q488" t="str">
            <v/>
          </cell>
          <cell r="R488" t="str">
            <v/>
          </cell>
          <cell r="S488" t="str">
            <v/>
          </cell>
          <cell r="T488" t="str">
            <v/>
          </cell>
          <cell r="U488" t="str">
            <v/>
          </cell>
          <cell r="V488" t="str">
            <v>N52</v>
          </cell>
          <cell r="W488" t="str">
            <v/>
          </cell>
          <cell r="X488" t="str">
            <v/>
          </cell>
          <cell r="Y488" t="str">
            <v/>
          </cell>
          <cell r="Z488" t="str">
            <v/>
          </cell>
          <cell r="AA488" t="str">
            <v/>
          </cell>
          <cell r="AB488" t="str">
            <v>PA_4602723-JC.7005-4</v>
          </cell>
          <cell r="AC488">
            <v>1</v>
          </cell>
          <cell r="AD488" t="str">
            <v/>
          </cell>
          <cell r="AE488">
            <v>0</v>
          </cell>
          <cell r="AF488" t="str">
            <v/>
          </cell>
          <cell r="AG488" t="str">
            <v>12531135</v>
          </cell>
          <cell r="AH488">
            <v>44641.895624999997</v>
          </cell>
          <cell r="AI488" t="str">
            <v>N52</v>
          </cell>
          <cell r="AJ488" t="str">
            <v>F</v>
          </cell>
          <cell r="AK488" t="str">
            <v/>
          </cell>
        </row>
        <row r="489">
          <cell r="A489" t="str">
            <v>12531135829054</v>
          </cell>
          <cell r="B489" t="e">
            <v>#N/A</v>
          </cell>
          <cell r="C489">
            <v>8</v>
          </cell>
          <cell r="D489" t="str">
            <v>EK65</v>
          </cell>
          <cell r="E489" t="str">
            <v>533779</v>
          </cell>
          <cell r="F489" t="str">
            <v>E</v>
          </cell>
          <cell r="G489" t="str">
            <v>12531135</v>
          </cell>
          <cell r="H489" t="str">
            <v>Muffe</v>
          </cell>
          <cell r="I489">
            <v>287</v>
          </cell>
          <cell r="J489" t="str">
            <v>Stk</v>
          </cell>
          <cell r="K489">
            <v>45220</v>
          </cell>
          <cell r="L489" t="str">
            <v>829054</v>
          </cell>
          <cell r="M489" t="str">
            <v/>
          </cell>
          <cell r="N489" t="str">
            <v/>
          </cell>
          <cell r="O489" t="str">
            <v/>
          </cell>
          <cell r="P489" t="str">
            <v/>
          </cell>
          <cell r="Q489" t="str">
            <v/>
          </cell>
          <cell r="R489" t="str">
            <v/>
          </cell>
          <cell r="S489" t="str">
            <v/>
          </cell>
          <cell r="T489" t="str">
            <v/>
          </cell>
          <cell r="U489" t="str">
            <v/>
          </cell>
          <cell r="V489" t="str">
            <v>N52</v>
          </cell>
          <cell r="W489" t="str">
            <v/>
          </cell>
          <cell r="X489" t="str">
            <v/>
          </cell>
          <cell r="Y489" t="str">
            <v/>
          </cell>
          <cell r="Z489" t="str">
            <v/>
          </cell>
          <cell r="AA489" t="str">
            <v/>
          </cell>
          <cell r="AB489" t="str">
            <v>PA_4602723-JC.7005-4</v>
          </cell>
          <cell r="AC489">
            <v>1</v>
          </cell>
          <cell r="AD489" t="str">
            <v/>
          </cell>
          <cell r="AE489">
            <v>0</v>
          </cell>
          <cell r="AF489" t="str">
            <v/>
          </cell>
          <cell r="AG489" t="str">
            <v>12531135</v>
          </cell>
          <cell r="AH489">
            <v>44641.895624999997</v>
          </cell>
          <cell r="AI489" t="str">
            <v>N52</v>
          </cell>
          <cell r="AJ489" t="str">
            <v>F</v>
          </cell>
          <cell r="AK489" t="str">
            <v/>
          </cell>
        </row>
        <row r="490">
          <cell r="A490" t="str">
            <v>12531135829051</v>
          </cell>
          <cell r="B490" t="e">
            <v>#N/A</v>
          </cell>
          <cell r="C490">
            <v>8</v>
          </cell>
          <cell r="D490" t="str">
            <v>EK65</v>
          </cell>
          <cell r="E490" t="str">
            <v>533780</v>
          </cell>
          <cell r="F490" t="str">
            <v>E</v>
          </cell>
          <cell r="G490" t="str">
            <v>12531135</v>
          </cell>
          <cell r="H490" t="str">
            <v>Muffe</v>
          </cell>
          <cell r="I490">
            <v>1904</v>
          </cell>
          <cell r="J490" t="str">
            <v>Stk</v>
          </cell>
          <cell r="K490">
            <v>45329</v>
          </cell>
          <cell r="L490" t="str">
            <v>829051</v>
          </cell>
          <cell r="M490" t="str">
            <v/>
          </cell>
          <cell r="N490" t="str">
            <v/>
          </cell>
          <cell r="O490" t="str">
            <v/>
          </cell>
          <cell r="P490" t="str">
            <v/>
          </cell>
          <cell r="Q490" t="str">
            <v/>
          </cell>
          <cell r="R490" t="str">
            <v/>
          </cell>
          <cell r="S490" t="str">
            <v/>
          </cell>
          <cell r="T490" t="str">
            <v/>
          </cell>
          <cell r="U490" t="str">
            <v/>
          </cell>
          <cell r="V490" t="str">
            <v>N52</v>
          </cell>
          <cell r="W490" t="str">
            <v/>
          </cell>
          <cell r="X490" t="str">
            <v/>
          </cell>
          <cell r="Y490" t="str">
            <v/>
          </cell>
          <cell r="Z490" t="str">
            <v/>
          </cell>
          <cell r="AA490" t="str">
            <v/>
          </cell>
          <cell r="AB490" t="str">
            <v>PA_4602723-JC.7005-4</v>
          </cell>
          <cell r="AC490">
            <v>1</v>
          </cell>
          <cell r="AD490" t="str">
            <v/>
          </cell>
          <cell r="AE490">
            <v>0</v>
          </cell>
          <cell r="AF490" t="str">
            <v/>
          </cell>
          <cell r="AG490" t="str">
            <v>12531135</v>
          </cell>
          <cell r="AH490">
            <v>44641.895636574074</v>
          </cell>
          <cell r="AI490" t="str">
            <v>N52</v>
          </cell>
          <cell r="AJ490" t="str">
            <v>F</v>
          </cell>
          <cell r="AK490" t="str">
            <v/>
          </cell>
        </row>
        <row r="491">
          <cell r="A491" t="str">
            <v>12531135829052</v>
          </cell>
          <cell r="B491" t="e">
            <v>#N/A</v>
          </cell>
          <cell r="C491">
            <v>8</v>
          </cell>
          <cell r="D491" t="str">
            <v>EK65</v>
          </cell>
          <cell r="E491" t="str">
            <v>533781</v>
          </cell>
          <cell r="F491" t="str">
            <v>E</v>
          </cell>
          <cell r="G491" t="str">
            <v>12531135</v>
          </cell>
          <cell r="H491" t="str">
            <v>Muffe</v>
          </cell>
          <cell r="I491">
            <v>809</v>
          </cell>
          <cell r="J491" t="str">
            <v>Stk</v>
          </cell>
          <cell r="K491">
            <v>45363</v>
          </cell>
          <cell r="L491" t="str">
            <v>829052</v>
          </cell>
          <cell r="M491" t="str">
            <v/>
          </cell>
          <cell r="N491" t="str">
            <v/>
          </cell>
          <cell r="O491" t="str">
            <v/>
          </cell>
          <cell r="P491" t="str">
            <v/>
          </cell>
          <cell r="Q491" t="str">
            <v/>
          </cell>
          <cell r="R491" t="str">
            <v/>
          </cell>
          <cell r="S491" t="str">
            <v/>
          </cell>
          <cell r="T491" t="str">
            <v/>
          </cell>
          <cell r="U491" t="str">
            <v/>
          </cell>
          <cell r="V491" t="str">
            <v>N52</v>
          </cell>
          <cell r="W491" t="str">
            <v/>
          </cell>
          <cell r="X491" t="str">
            <v/>
          </cell>
          <cell r="Y491" t="str">
            <v/>
          </cell>
          <cell r="Z491" t="str">
            <v/>
          </cell>
          <cell r="AA491" t="str">
            <v/>
          </cell>
          <cell r="AB491" t="str">
            <v>PA_4602723-JC.7005-4</v>
          </cell>
          <cell r="AC491">
            <v>1</v>
          </cell>
          <cell r="AD491" t="str">
            <v/>
          </cell>
          <cell r="AE491">
            <v>0</v>
          </cell>
          <cell r="AF491" t="str">
            <v/>
          </cell>
          <cell r="AG491" t="str">
            <v>12531135</v>
          </cell>
          <cell r="AH491">
            <v>44641.895636574074</v>
          </cell>
          <cell r="AI491" t="str">
            <v>N52</v>
          </cell>
          <cell r="AJ491" t="str">
            <v>F</v>
          </cell>
          <cell r="AK491" t="str">
            <v/>
          </cell>
        </row>
        <row r="492">
          <cell r="A492" t="str">
            <v>12531345829053</v>
          </cell>
          <cell r="B492" t="e">
            <v>#N/A</v>
          </cell>
          <cell r="C492">
            <v>24</v>
          </cell>
          <cell r="D492" t="str">
            <v>EK65</v>
          </cell>
          <cell r="E492" t="str">
            <v>533782</v>
          </cell>
          <cell r="F492" t="str">
            <v>E</v>
          </cell>
          <cell r="G492" t="str">
            <v>12531345</v>
          </cell>
          <cell r="H492" t="str">
            <v>Distanzhuelse</v>
          </cell>
          <cell r="I492">
            <v>621</v>
          </cell>
          <cell r="J492" t="str">
            <v>Stk</v>
          </cell>
          <cell r="K492">
            <v>45212</v>
          </cell>
          <cell r="L492" t="str">
            <v>829053</v>
          </cell>
          <cell r="M492" t="str">
            <v/>
          </cell>
          <cell r="N492" t="str">
            <v/>
          </cell>
          <cell r="O492" t="str">
            <v/>
          </cell>
          <cell r="P492" t="str">
            <v/>
          </cell>
          <cell r="Q492" t="str">
            <v/>
          </cell>
          <cell r="R492" t="str">
            <v/>
          </cell>
          <cell r="S492" t="str">
            <v/>
          </cell>
          <cell r="T492" t="str">
            <v/>
          </cell>
          <cell r="U492" t="str">
            <v/>
          </cell>
          <cell r="V492" t="str">
            <v>N52</v>
          </cell>
          <cell r="W492" t="str">
            <v/>
          </cell>
          <cell r="X492" t="str">
            <v/>
          </cell>
          <cell r="Y492" t="str">
            <v/>
          </cell>
          <cell r="Z492" t="str">
            <v/>
          </cell>
          <cell r="AA492" t="str">
            <v/>
          </cell>
          <cell r="AB492" t="str">
            <v>PA_4603644-CD.7005-4</v>
          </cell>
          <cell r="AC492">
            <v>1</v>
          </cell>
          <cell r="AD492" t="str">
            <v/>
          </cell>
          <cell r="AE492">
            <v>0</v>
          </cell>
          <cell r="AF492" t="str">
            <v/>
          </cell>
          <cell r="AG492" t="str">
            <v>12531345</v>
          </cell>
          <cell r="AH492">
            <v>44641.89571759259</v>
          </cell>
          <cell r="AI492" t="str">
            <v>N52</v>
          </cell>
          <cell r="AJ492" t="str">
            <v>F</v>
          </cell>
          <cell r="AK492" t="str">
            <v/>
          </cell>
        </row>
        <row r="493">
          <cell r="A493" t="str">
            <v>12531345829054</v>
          </cell>
          <cell r="B493" t="e">
            <v>#N/A</v>
          </cell>
          <cell r="C493">
            <v>24</v>
          </cell>
          <cell r="D493" t="str">
            <v>EK65</v>
          </cell>
          <cell r="E493" t="str">
            <v>533783</v>
          </cell>
          <cell r="F493" t="str">
            <v>E</v>
          </cell>
          <cell r="G493" t="str">
            <v>12531345</v>
          </cell>
          <cell r="H493" t="str">
            <v>Distanzhuelse</v>
          </cell>
          <cell r="I493">
            <v>288</v>
          </cell>
          <cell r="J493" t="str">
            <v>Stk</v>
          </cell>
          <cell r="K493">
            <v>45219</v>
          </cell>
          <cell r="L493" t="str">
            <v>829054</v>
          </cell>
          <cell r="M493" t="str">
            <v/>
          </cell>
          <cell r="N493" t="str">
            <v/>
          </cell>
          <cell r="O493" t="str">
            <v/>
          </cell>
          <cell r="P493" t="str">
            <v/>
          </cell>
          <cell r="Q493" t="str">
            <v/>
          </cell>
          <cell r="R493" t="str">
            <v/>
          </cell>
          <cell r="S493" t="str">
            <v/>
          </cell>
          <cell r="T493" t="str">
            <v/>
          </cell>
          <cell r="U493" t="str">
            <v/>
          </cell>
          <cell r="V493" t="str">
            <v>N52</v>
          </cell>
          <cell r="W493" t="str">
            <v/>
          </cell>
          <cell r="X493" t="str">
            <v/>
          </cell>
          <cell r="Y493" t="str">
            <v/>
          </cell>
          <cell r="Z493" t="str">
            <v/>
          </cell>
          <cell r="AA493" t="str">
            <v/>
          </cell>
          <cell r="AB493" t="str">
            <v>PA_4603644-CD.7005-4</v>
          </cell>
          <cell r="AC493">
            <v>1</v>
          </cell>
          <cell r="AD493" t="str">
            <v/>
          </cell>
          <cell r="AE493">
            <v>0</v>
          </cell>
          <cell r="AF493" t="str">
            <v/>
          </cell>
          <cell r="AG493" t="str">
            <v>12531345</v>
          </cell>
          <cell r="AH493">
            <v>44641.89571759259</v>
          </cell>
          <cell r="AI493" t="str">
            <v>N52</v>
          </cell>
          <cell r="AJ493" t="str">
            <v>F</v>
          </cell>
          <cell r="AK493" t="str">
            <v/>
          </cell>
        </row>
        <row r="494">
          <cell r="A494" t="str">
            <v>12531345829051</v>
          </cell>
          <cell r="B494" t="e">
            <v>#N/A</v>
          </cell>
          <cell r="C494">
            <v>24</v>
          </cell>
          <cell r="D494" t="str">
            <v>EK65</v>
          </cell>
          <cell r="E494" t="str">
            <v>533784</v>
          </cell>
          <cell r="F494" t="str">
            <v>E</v>
          </cell>
          <cell r="G494" t="str">
            <v>12531345</v>
          </cell>
          <cell r="H494" t="str">
            <v>Distanzhuelse</v>
          </cell>
          <cell r="I494">
            <v>1450</v>
          </cell>
          <cell r="J494" t="str">
            <v>Stk</v>
          </cell>
          <cell r="K494">
            <v>45328</v>
          </cell>
          <cell r="L494" t="str">
            <v>829051</v>
          </cell>
          <cell r="M494" t="str">
            <v/>
          </cell>
          <cell r="N494" t="str">
            <v/>
          </cell>
          <cell r="O494" t="str">
            <v/>
          </cell>
          <cell r="P494" t="str">
            <v/>
          </cell>
          <cell r="Q494" t="str">
            <v/>
          </cell>
          <cell r="R494" t="str">
            <v/>
          </cell>
          <cell r="S494" t="str">
            <v/>
          </cell>
          <cell r="T494" t="str">
            <v/>
          </cell>
          <cell r="U494" t="str">
            <v/>
          </cell>
          <cell r="V494" t="str">
            <v>N52</v>
          </cell>
          <cell r="W494" t="str">
            <v/>
          </cell>
          <cell r="X494" t="str">
            <v/>
          </cell>
          <cell r="Y494" t="str">
            <v/>
          </cell>
          <cell r="Z494" t="str">
            <v/>
          </cell>
          <cell r="AA494" t="str">
            <v/>
          </cell>
          <cell r="AB494" t="str">
            <v>PA_4603644-CD.7005-4</v>
          </cell>
          <cell r="AC494">
            <v>1</v>
          </cell>
          <cell r="AD494" t="str">
            <v/>
          </cell>
          <cell r="AE494">
            <v>0</v>
          </cell>
          <cell r="AF494" t="str">
            <v/>
          </cell>
          <cell r="AG494" t="str">
            <v>12531345</v>
          </cell>
          <cell r="AH494">
            <v>44641.89571759259</v>
          </cell>
          <cell r="AI494" t="str">
            <v>N52</v>
          </cell>
          <cell r="AJ494" t="str">
            <v>F</v>
          </cell>
          <cell r="AK494" t="str">
            <v/>
          </cell>
        </row>
        <row r="495">
          <cell r="A495" t="str">
            <v>12531345829052</v>
          </cell>
          <cell r="B495" t="e">
            <v>#N/A</v>
          </cell>
          <cell r="C495">
            <v>24</v>
          </cell>
          <cell r="D495" t="str">
            <v>EK65</v>
          </cell>
          <cell r="E495" t="str">
            <v>533785</v>
          </cell>
          <cell r="F495" t="str">
            <v>E</v>
          </cell>
          <cell r="G495" t="str">
            <v>12531345</v>
          </cell>
          <cell r="H495" t="str">
            <v>Distanzhuelse</v>
          </cell>
          <cell r="I495">
            <v>497</v>
          </cell>
          <cell r="J495" t="str">
            <v>Stk</v>
          </cell>
          <cell r="K495">
            <v>45358</v>
          </cell>
          <cell r="L495" t="str">
            <v>829052</v>
          </cell>
          <cell r="M495" t="str">
            <v/>
          </cell>
          <cell r="N495" t="str">
            <v/>
          </cell>
          <cell r="O495" t="str">
            <v/>
          </cell>
          <cell r="P495" t="str">
            <v/>
          </cell>
          <cell r="Q495" t="str">
            <v/>
          </cell>
          <cell r="R495" t="str">
            <v/>
          </cell>
          <cell r="S495" t="str">
            <v/>
          </cell>
          <cell r="T495" t="str">
            <v/>
          </cell>
          <cell r="U495" t="str">
            <v/>
          </cell>
          <cell r="V495" t="str">
            <v>N52</v>
          </cell>
          <cell r="W495" t="str">
            <v/>
          </cell>
          <cell r="X495" t="str">
            <v/>
          </cell>
          <cell r="Y495" t="str">
            <v/>
          </cell>
          <cell r="Z495" t="str">
            <v/>
          </cell>
          <cell r="AA495" t="str">
            <v/>
          </cell>
          <cell r="AB495" t="str">
            <v>PA_4603644-CD.7005-4</v>
          </cell>
          <cell r="AC495">
            <v>1</v>
          </cell>
          <cell r="AD495" t="str">
            <v/>
          </cell>
          <cell r="AE495">
            <v>0</v>
          </cell>
          <cell r="AF495" t="str">
            <v/>
          </cell>
          <cell r="AG495" t="str">
            <v>12531345</v>
          </cell>
          <cell r="AH495">
            <v>44641.89571759259</v>
          </cell>
          <cell r="AI495" t="str">
            <v>N52</v>
          </cell>
          <cell r="AJ495" t="str">
            <v>F</v>
          </cell>
          <cell r="AK495" t="str">
            <v/>
          </cell>
        </row>
        <row r="496">
          <cell r="A496" t="str">
            <v>12518784829051</v>
          </cell>
          <cell r="B496" t="e">
            <v>#N/A</v>
          </cell>
          <cell r="C496">
            <v>8</v>
          </cell>
          <cell r="D496" t="str">
            <v>EK65</v>
          </cell>
          <cell r="E496" t="str">
            <v>534025</v>
          </cell>
          <cell r="F496" t="str">
            <v>E</v>
          </cell>
          <cell r="G496" t="str">
            <v>12518784</v>
          </cell>
          <cell r="H496" t="str">
            <v>Leitungshalter</v>
          </cell>
          <cell r="I496">
            <v>1360</v>
          </cell>
          <cell r="J496" t="str">
            <v>Stk</v>
          </cell>
          <cell r="K496">
            <v>45315</v>
          </cell>
          <cell r="L496" t="str">
            <v>829051</v>
          </cell>
          <cell r="M496" t="str">
            <v/>
          </cell>
          <cell r="N496" t="str">
            <v/>
          </cell>
          <cell r="O496" t="str">
            <v/>
          </cell>
          <cell r="P496" t="str">
            <v/>
          </cell>
          <cell r="Q496" t="str">
            <v/>
          </cell>
          <cell r="R496" t="str">
            <v/>
          </cell>
          <cell r="S496" t="str">
            <v/>
          </cell>
          <cell r="T496" t="str">
            <v/>
          </cell>
          <cell r="U496" t="str">
            <v/>
          </cell>
          <cell r="V496" t="str">
            <v>N52</v>
          </cell>
          <cell r="W496" t="str">
            <v/>
          </cell>
          <cell r="X496" t="str">
            <v/>
          </cell>
          <cell r="Y496" t="str">
            <v/>
          </cell>
          <cell r="Z496" t="str">
            <v/>
          </cell>
          <cell r="AA496" t="str">
            <v/>
          </cell>
          <cell r="AB496" t="str">
            <v>PA_4373644-UA.7005-3</v>
          </cell>
          <cell r="AC496">
            <v>1</v>
          </cell>
          <cell r="AD496" t="str">
            <v/>
          </cell>
          <cell r="AE496">
            <v>0</v>
          </cell>
          <cell r="AF496" t="str">
            <v/>
          </cell>
          <cell r="AG496" t="str">
            <v>12518784</v>
          </cell>
          <cell r="AH496">
            <v>44641.930138888885</v>
          </cell>
          <cell r="AI496" t="str">
            <v>N52</v>
          </cell>
          <cell r="AJ496" t="str">
            <v>F</v>
          </cell>
          <cell r="AK496" t="str">
            <v/>
          </cell>
        </row>
        <row r="497">
          <cell r="A497" t="str">
            <v>12518784829052</v>
          </cell>
          <cell r="B497" t="str">
            <v>BL20230413-2</v>
          </cell>
          <cell r="C497">
            <v>8</v>
          </cell>
          <cell r="D497" t="str">
            <v>EK65</v>
          </cell>
          <cell r="E497" t="str">
            <v>534026</v>
          </cell>
          <cell r="F497" t="str">
            <v>E</v>
          </cell>
          <cell r="G497" t="str">
            <v>12518784</v>
          </cell>
          <cell r="H497" t="str">
            <v>Leitungshalter</v>
          </cell>
          <cell r="I497">
            <v>468</v>
          </cell>
          <cell r="J497" t="str">
            <v>Stk</v>
          </cell>
          <cell r="K497">
            <v>45345</v>
          </cell>
          <cell r="L497" t="str">
            <v>829052</v>
          </cell>
          <cell r="M497" t="str">
            <v/>
          </cell>
          <cell r="N497" t="str">
            <v/>
          </cell>
          <cell r="O497" t="str">
            <v/>
          </cell>
          <cell r="P497" t="str">
            <v/>
          </cell>
          <cell r="Q497" t="str">
            <v/>
          </cell>
          <cell r="R497" t="str">
            <v/>
          </cell>
          <cell r="S497" t="str">
            <v/>
          </cell>
          <cell r="T497" t="str">
            <v/>
          </cell>
          <cell r="U497" t="str">
            <v/>
          </cell>
          <cell r="V497" t="str">
            <v>N52</v>
          </cell>
          <cell r="W497" t="str">
            <v/>
          </cell>
          <cell r="X497" t="str">
            <v/>
          </cell>
          <cell r="Y497" t="str">
            <v/>
          </cell>
          <cell r="Z497" t="str">
            <v/>
          </cell>
          <cell r="AA497" t="str">
            <v/>
          </cell>
          <cell r="AB497" t="str">
            <v>PA_4373644-UA.7005-3</v>
          </cell>
          <cell r="AC497">
            <v>1</v>
          </cell>
          <cell r="AD497" t="str">
            <v/>
          </cell>
          <cell r="AE497">
            <v>0</v>
          </cell>
          <cell r="AF497" t="str">
            <v/>
          </cell>
          <cell r="AG497" t="str">
            <v>12518784</v>
          </cell>
          <cell r="AH497">
            <v>44641.930150462962</v>
          </cell>
          <cell r="AI497" t="str">
            <v>N52</v>
          </cell>
          <cell r="AJ497" t="str">
            <v>F</v>
          </cell>
          <cell r="AK497" t="str">
            <v/>
          </cell>
        </row>
        <row r="498">
          <cell r="A498" t="str">
            <v>12527036829054</v>
          </cell>
          <cell r="B498" t="e">
            <v>#N/A</v>
          </cell>
          <cell r="C498">
            <v>28</v>
          </cell>
          <cell r="D498" t="str">
            <v>EK65</v>
          </cell>
          <cell r="E498" t="str">
            <v>534037</v>
          </cell>
          <cell r="F498" t="str">
            <v>E</v>
          </cell>
          <cell r="G498" t="str">
            <v>12527036</v>
          </cell>
          <cell r="H498" t="str">
            <v>Halter</v>
          </cell>
          <cell r="I498">
            <v>8</v>
          </cell>
          <cell r="J498" t="str">
            <v>Stk</v>
          </cell>
          <cell r="K498">
            <v>45329</v>
          </cell>
          <cell r="L498" t="str">
            <v>829054</v>
          </cell>
          <cell r="M498" t="str">
            <v/>
          </cell>
          <cell r="N498" t="str">
            <v/>
          </cell>
          <cell r="O498" t="str">
            <v/>
          </cell>
          <cell r="P498" t="str">
            <v/>
          </cell>
          <cell r="Q498" t="str">
            <v/>
          </cell>
          <cell r="R498" t="str">
            <v/>
          </cell>
          <cell r="S498" t="str">
            <v/>
          </cell>
          <cell r="T498" t="str">
            <v/>
          </cell>
          <cell r="U498" t="str">
            <v/>
          </cell>
          <cell r="V498" t="str">
            <v>N52</v>
          </cell>
          <cell r="W498" t="str">
            <v/>
          </cell>
          <cell r="X498" t="str">
            <v/>
          </cell>
          <cell r="Y498" t="str">
            <v/>
          </cell>
          <cell r="Z498" t="str">
            <v/>
          </cell>
          <cell r="AA498" t="str">
            <v/>
          </cell>
          <cell r="AB498" t="str">
            <v>PA_4411442-UA.7005-2</v>
          </cell>
          <cell r="AC498">
            <v>1</v>
          </cell>
          <cell r="AD498" t="str">
            <v/>
          </cell>
          <cell r="AE498">
            <v>0</v>
          </cell>
          <cell r="AF498" t="str">
            <v/>
          </cell>
          <cell r="AG498" t="str">
            <v>12527036</v>
          </cell>
          <cell r="AH498">
            <v>44641.930358796293</v>
          </cell>
          <cell r="AI498" t="str">
            <v>N52</v>
          </cell>
          <cell r="AJ498" t="str">
            <v>F</v>
          </cell>
          <cell r="AK498" t="str">
            <v/>
          </cell>
        </row>
        <row r="499">
          <cell r="A499" t="str">
            <v>12527036829052</v>
          </cell>
          <cell r="B499" t="e">
            <v>#N/A</v>
          </cell>
          <cell r="C499">
            <v>28</v>
          </cell>
          <cell r="D499" t="str">
            <v>EK65</v>
          </cell>
          <cell r="E499" t="str">
            <v>534038</v>
          </cell>
          <cell r="F499" t="str">
            <v>E</v>
          </cell>
          <cell r="G499" t="str">
            <v>12527036</v>
          </cell>
          <cell r="H499" t="str">
            <v>Halter</v>
          </cell>
          <cell r="I499">
            <v>29</v>
          </cell>
          <cell r="J499" t="str">
            <v>Stk</v>
          </cell>
          <cell r="K499">
            <v>45358</v>
          </cell>
          <cell r="L499" t="str">
            <v>829052</v>
          </cell>
          <cell r="M499" t="str">
            <v/>
          </cell>
          <cell r="N499" t="str">
            <v/>
          </cell>
          <cell r="O499" t="str">
            <v/>
          </cell>
          <cell r="P499" t="str">
            <v/>
          </cell>
          <cell r="Q499" t="str">
            <v/>
          </cell>
          <cell r="R499" t="str">
            <v/>
          </cell>
          <cell r="S499" t="str">
            <v/>
          </cell>
          <cell r="T499" t="str">
            <v/>
          </cell>
          <cell r="U499" t="str">
            <v/>
          </cell>
          <cell r="V499" t="str">
            <v>N52</v>
          </cell>
          <cell r="W499" t="str">
            <v/>
          </cell>
          <cell r="X499" t="str">
            <v/>
          </cell>
          <cell r="Y499" t="str">
            <v/>
          </cell>
          <cell r="Z499" t="str">
            <v/>
          </cell>
          <cell r="AA499" t="str">
            <v/>
          </cell>
          <cell r="AB499" t="str">
            <v>PA_4411442-UA.7005-2</v>
          </cell>
          <cell r="AC499">
            <v>1</v>
          </cell>
          <cell r="AD499" t="str">
            <v/>
          </cell>
          <cell r="AE499">
            <v>0</v>
          </cell>
          <cell r="AF499" t="str">
            <v/>
          </cell>
          <cell r="AG499" t="str">
            <v>12527036</v>
          </cell>
          <cell r="AH499">
            <v>44641.930358796293</v>
          </cell>
          <cell r="AI499" t="str">
            <v>N52</v>
          </cell>
          <cell r="AJ499" t="str">
            <v>F</v>
          </cell>
          <cell r="AK499" t="str">
            <v/>
          </cell>
        </row>
        <row r="500">
          <cell r="A500" t="str">
            <v>12529738829051</v>
          </cell>
          <cell r="B500" t="str">
            <v>BL20230413-2</v>
          </cell>
          <cell r="C500">
            <v>28</v>
          </cell>
          <cell r="D500" t="str">
            <v>EK65</v>
          </cell>
          <cell r="E500" t="str">
            <v>534046</v>
          </cell>
          <cell r="F500" t="str">
            <v>E</v>
          </cell>
          <cell r="G500" t="str">
            <v>12529738</v>
          </cell>
          <cell r="H500" t="str">
            <v>Halteblech</v>
          </cell>
          <cell r="I500">
            <v>174</v>
          </cell>
          <cell r="J500" t="str">
            <v>Stk</v>
          </cell>
          <cell r="K500">
            <v>45335</v>
          </cell>
          <cell r="L500" t="str">
            <v>829051</v>
          </cell>
          <cell r="M500" t="str">
            <v/>
          </cell>
          <cell r="N500" t="str">
            <v/>
          </cell>
          <cell r="O500" t="str">
            <v/>
          </cell>
          <cell r="P500" t="str">
            <v/>
          </cell>
          <cell r="Q500" t="str">
            <v/>
          </cell>
          <cell r="R500" t="str">
            <v/>
          </cell>
          <cell r="S500" t="str">
            <v/>
          </cell>
          <cell r="T500" t="str">
            <v/>
          </cell>
          <cell r="U500" t="str">
            <v/>
          </cell>
          <cell r="V500" t="str">
            <v>N52</v>
          </cell>
          <cell r="W500" t="str">
            <v/>
          </cell>
          <cell r="X500" t="str">
            <v/>
          </cell>
          <cell r="Y500" t="str">
            <v/>
          </cell>
          <cell r="Z500" t="str">
            <v/>
          </cell>
          <cell r="AA500" t="str">
            <v/>
          </cell>
          <cell r="AB500" t="str">
            <v>PA_2032949-UA.7005-4</v>
          </cell>
          <cell r="AC500">
            <v>1</v>
          </cell>
          <cell r="AD500" t="str">
            <v/>
          </cell>
          <cell r="AE500">
            <v>0</v>
          </cell>
          <cell r="AF500" t="str">
            <v/>
          </cell>
          <cell r="AG500" t="str">
            <v>12529738</v>
          </cell>
          <cell r="AH500">
            <v>44641.930879629632</v>
          </cell>
          <cell r="AI500" t="str">
            <v>N52</v>
          </cell>
          <cell r="AJ500" t="str">
            <v>F</v>
          </cell>
          <cell r="AK500" t="str">
            <v/>
          </cell>
        </row>
        <row r="501">
          <cell r="A501" t="str">
            <v>12529738829052</v>
          </cell>
          <cell r="B501" t="e">
            <v>#N/A</v>
          </cell>
          <cell r="C501">
            <v>28</v>
          </cell>
          <cell r="D501" t="str">
            <v>EK65</v>
          </cell>
          <cell r="E501" t="str">
            <v>534047</v>
          </cell>
          <cell r="F501" t="str">
            <v>E</v>
          </cell>
          <cell r="G501" t="str">
            <v>12529738</v>
          </cell>
          <cell r="H501" t="str">
            <v>Halteblech</v>
          </cell>
          <cell r="I501">
            <v>57</v>
          </cell>
          <cell r="J501" t="str">
            <v>Stk</v>
          </cell>
          <cell r="K501">
            <v>45358</v>
          </cell>
          <cell r="L501" t="str">
            <v>829052</v>
          </cell>
          <cell r="M501" t="str">
            <v/>
          </cell>
          <cell r="N501" t="str">
            <v/>
          </cell>
          <cell r="O501" t="str">
            <v/>
          </cell>
          <cell r="P501" t="str">
            <v/>
          </cell>
          <cell r="Q501" t="str">
            <v/>
          </cell>
          <cell r="R501" t="str">
            <v/>
          </cell>
          <cell r="S501" t="str">
            <v/>
          </cell>
          <cell r="T501" t="str">
            <v/>
          </cell>
          <cell r="U501" t="str">
            <v/>
          </cell>
          <cell r="V501" t="str">
            <v>N52</v>
          </cell>
          <cell r="W501" t="str">
            <v/>
          </cell>
          <cell r="X501" t="str">
            <v/>
          </cell>
          <cell r="Y501" t="str">
            <v/>
          </cell>
          <cell r="Z501" t="str">
            <v/>
          </cell>
          <cell r="AA501" t="str">
            <v/>
          </cell>
          <cell r="AB501" t="str">
            <v>PA_2032949-UA.7005-4</v>
          </cell>
          <cell r="AC501">
            <v>1</v>
          </cell>
          <cell r="AD501" t="str">
            <v/>
          </cell>
          <cell r="AE501">
            <v>0</v>
          </cell>
          <cell r="AF501" t="str">
            <v/>
          </cell>
          <cell r="AG501" t="str">
            <v>12529738</v>
          </cell>
          <cell r="AH501">
            <v>44641.930879629632</v>
          </cell>
          <cell r="AI501" t="str">
            <v>N52</v>
          </cell>
          <cell r="AJ501" t="str">
            <v>F</v>
          </cell>
          <cell r="AK501" t="str">
            <v/>
          </cell>
        </row>
        <row r="502">
          <cell r="A502" t="str">
            <v>12529739829054</v>
          </cell>
          <cell r="B502" t="e">
            <v>#N/A</v>
          </cell>
          <cell r="C502">
            <v>23</v>
          </cell>
          <cell r="D502" t="str">
            <v>EK65</v>
          </cell>
          <cell r="E502" t="str">
            <v>534048</v>
          </cell>
          <cell r="F502" t="str">
            <v>E</v>
          </cell>
          <cell r="G502" t="str">
            <v>12529739</v>
          </cell>
          <cell r="H502" t="str">
            <v>Fuehrungsblech</v>
          </cell>
          <cell r="I502">
            <v>8</v>
          </cell>
          <cell r="J502" t="str">
            <v>Stk</v>
          </cell>
          <cell r="K502">
            <v>45325</v>
          </cell>
          <cell r="L502" t="str">
            <v>829054</v>
          </cell>
          <cell r="M502" t="str">
            <v/>
          </cell>
          <cell r="N502" t="str">
            <v/>
          </cell>
          <cell r="O502" t="str">
            <v/>
          </cell>
          <cell r="P502" t="str">
            <v/>
          </cell>
          <cell r="Q502" t="str">
            <v/>
          </cell>
          <cell r="R502" t="str">
            <v/>
          </cell>
          <cell r="S502" t="str">
            <v/>
          </cell>
          <cell r="T502" t="str">
            <v/>
          </cell>
          <cell r="U502" t="str">
            <v/>
          </cell>
          <cell r="V502" t="str">
            <v>N52</v>
          </cell>
          <cell r="W502" t="str">
            <v/>
          </cell>
          <cell r="X502" t="str">
            <v/>
          </cell>
          <cell r="Y502" t="str">
            <v/>
          </cell>
          <cell r="Z502" t="str">
            <v/>
          </cell>
          <cell r="AA502" t="str">
            <v/>
          </cell>
          <cell r="AB502" t="str">
            <v>PA_2032958-UA.7005-4</v>
          </cell>
          <cell r="AC502">
            <v>1</v>
          </cell>
          <cell r="AD502" t="str">
            <v/>
          </cell>
          <cell r="AE502">
            <v>0</v>
          </cell>
          <cell r="AF502" t="str">
            <v/>
          </cell>
          <cell r="AG502" t="str">
            <v>12529739</v>
          </cell>
          <cell r="AH502">
            <v>44641.930914351855</v>
          </cell>
          <cell r="AI502" t="str">
            <v>N52</v>
          </cell>
          <cell r="AJ502" t="str">
            <v>F</v>
          </cell>
          <cell r="AK502" t="str">
            <v/>
          </cell>
        </row>
        <row r="503">
          <cell r="A503" t="str">
            <v>12529739829052</v>
          </cell>
          <cell r="B503" t="str">
            <v>BL20230413-2</v>
          </cell>
          <cell r="C503">
            <v>23</v>
          </cell>
          <cell r="D503" t="str">
            <v>EK65</v>
          </cell>
          <cell r="E503" t="str">
            <v>534049</v>
          </cell>
          <cell r="F503" t="str">
            <v>E</v>
          </cell>
          <cell r="G503" t="str">
            <v>12529739</v>
          </cell>
          <cell r="H503" t="str">
            <v>Fuehrungsblech</v>
          </cell>
          <cell r="I503">
            <v>61</v>
          </cell>
          <cell r="J503" t="str">
            <v>Stk</v>
          </cell>
          <cell r="K503">
            <v>45345</v>
          </cell>
          <cell r="L503" t="str">
            <v>829052</v>
          </cell>
          <cell r="M503" t="str">
            <v/>
          </cell>
          <cell r="N503" t="str">
            <v/>
          </cell>
          <cell r="O503" t="str">
            <v/>
          </cell>
          <cell r="P503" t="str">
            <v/>
          </cell>
          <cell r="Q503" t="str">
            <v/>
          </cell>
          <cell r="R503" t="str">
            <v/>
          </cell>
          <cell r="S503" t="str">
            <v/>
          </cell>
          <cell r="T503" t="str">
            <v/>
          </cell>
          <cell r="U503" t="str">
            <v/>
          </cell>
          <cell r="V503" t="str">
            <v>N52</v>
          </cell>
          <cell r="W503" t="str">
            <v/>
          </cell>
          <cell r="X503" t="str">
            <v/>
          </cell>
          <cell r="Y503" t="str">
            <v/>
          </cell>
          <cell r="Z503" t="str">
            <v/>
          </cell>
          <cell r="AA503" t="str">
            <v/>
          </cell>
          <cell r="AB503" t="str">
            <v>PA_2032958-UA.7005-4</v>
          </cell>
          <cell r="AC503">
            <v>1</v>
          </cell>
          <cell r="AD503" t="str">
            <v/>
          </cell>
          <cell r="AE503">
            <v>0</v>
          </cell>
          <cell r="AF503" t="str">
            <v/>
          </cell>
          <cell r="AG503" t="str">
            <v>12529739</v>
          </cell>
          <cell r="AH503">
            <v>44641.930914351855</v>
          </cell>
          <cell r="AI503" t="str">
            <v>N52</v>
          </cell>
          <cell r="AJ503" t="str">
            <v>F</v>
          </cell>
          <cell r="AK503" t="str">
            <v/>
          </cell>
        </row>
        <row r="504">
          <cell r="A504" t="str">
            <v>12533159829051</v>
          </cell>
          <cell r="B504" t="e">
            <v>#N/A</v>
          </cell>
          <cell r="C504">
            <v>20</v>
          </cell>
          <cell r="D504" t="str">
            <v>EK65</v>
          </cell>
          <cell r="E504" t="str">
            <v>534063</v>
          </cell>
          <cell r="F504" t="str">
            <v>E</v>
          </cell>
          <cell r="G504" t="str">
            <v>12533159</v>
          </cell>
          <cell r="H504" t="str">
            <v>Halter</v>
          </cell>
          <cell r="I504">
            <v>89</v>
          </cell>
          <cell r="J504" t="str">
            <v>Stk</v>
          </cell>
          <cell r="K504">
            <v>45324</v>
          </cell>
          <cell r="L504" t="str">
            <v>829051</v>
          </cell>
          <cell r="M504" t="str">
            <v/>
          </cell>
          <cell r="N504" t="str">
            <v/>
          </cell>
          <cell r="O504" t="str">
            <v/>
          </cell>
          <cell r="P504" t="str">
            <v/>
          </cell>
          <cell r="Q504" t="str">
            <v/>
          </cell>
          <cell r="R504" t="str">
            <v/>
          </cell>
          <cell r="S504" t="str">
            <v/>
          </cell>
          <cell r="T504" t="str">
            <v/>
          </cell>
          <cell r="U504" t="str">
            <v/>
          </cell>
          <cell r="V504" t="str">
            <v>N52</v>
          </cell>
          <cell r="W504" t="str">
            <v/>
          </cell>
          <cell r="X504" t="str">
            <v/>
          </cell>
          <cell r="Y504" t="str">
            <v/>
          </cell>
          <cell r="Z504" t="str">
            <v/>
          </cell>
          <cell r="AA504" t="str">
            <v/>
          </cell>
          <cell r="AB504" t="str">
            <v>PA_4423730-UA.7005-3</v>
          </cell>
          <cell r="AC504">
            <v>1</v>
          </cell>
          <cell r="AD504" t="str">
            <v/>
          </cell>
          <cell r="AE504">
            <v>0</v>
          </cell>
          <cell r="AF504" t="str">
            <v/>
          </cell>
          <cell r="AG504" t="str">
            <v>12533159</v>
          </cell>
          <cell r="AH504">
            <v>44641.931238425925</v>
          </cell>
          <cell r="AI504" t="str">
            <v>N52</v>
          </cell>
          <cell r="AJ504" t="str">
            <v>F</v>
          </cell>
          <cell r="AK504" t="str">
            <v/>
          </cell>
        </row>
        <row r="505">
          <cell r="A505" t="str">
            <v>12533159829052</v>
          </cell>
          <cell r="B505" t="str">
            <v>BL20230413-2</v>
          </cell>
          <cell r="C505">
            <v>20</v>
          </cell>
          <cell r="D505" t="str">
            <v>EK65</v>
          </cell>
          <cell r="E505" t="str">
            <v>534064</v>
          </cell>
          <cell r="F505" t="str">
            <v>E</v>
          </cell>
          <cell r="G505" t="str">
            <v>12533159</v>
          </cell>
          <cell r="H505" t="str">
            <v>Halter</v>
          </cell>
          <cell r="I505">
            <v>31</v>
          </cell>
          <cell r="J505" t="str">
            <v>Stk</v>
          </cell>
          <cell r="K505">
            <v>45345</v>
          </cell>
          <cell r="L505" t="str">
            <v>829052</v>
          </cell>
          <cell r="M505" t="str">
            <v/>
          </cell>
          <cell r="N505" t="str">
            <v/>
          </cell>
          <cell r="O505" t="str">
            <v/>
          </cell>
          <cell r="P505" t="str">
            <v/>
          </cell>
          <cell r="Q505" t="str">
            <v/>
          </cell>
          <cell r="R505" t="str">
            <v/>
          </cell>
          <cell r="S505" t="str">
            <v/>
          </cell>
          <cell r="T505" t="str">
            <v/>
          </cell>
          <cell r="U505" t="str">
            <v/>
          </cell>
          <cell r="V505" t="str">
            <v>N52</v>
          </cell>
          <cell r="W505" t="str">
            <v/>
          </cell>
          <cell r="X505" t="str">
            <v/>
          </cell>
          <cell r="Y505" t="str">
            <v/>
          </cell>
          <cell r="Z505" t="str">
            <v/>
          </cell>
          <cell r="AA505" t="str">
            <v/>
          </cell>
          <cell r="AB505" t="str">
            <v>PA_4423730-UA.7005-3</v>
          </cell>
          <cell r="AC505">
            <v>1</v>
          </cell>
          <cell r="AD505" t="str">
            <v/>
          </cell>
          <cell r="AE505">
            <v>0</v>
          </cell>
          <cell r="AF505" t="str">
            <v/>
          </cell>
          <cell r="AG505" t="str">
            <v>12533159</v>
          </cell>
          <cell r="AH505">
            <v>44641.931238425925</v>
          </cell>
          <cell r="AI505" t="str">
            <v>N52</v>
          </cell>
          <cell r="AJ505" t="str">
            <v>F</v>
          </cell>
          <cell r="AK505" t="str">
            <v/>
          </cell>
        </row>
        <row r="506">
          <cell r="A506" t="str">
            <v>12533365829051</v>
          </cell>
          <cell r="B506" t="e">
            <v>#N/A</v>
          </cell>
          <cell r="C506">
            <v>20</v>
          </cell>
          <cell r="D506" t="str">
            <v>EK65</v>
          </cell>
          <cell r="E506" t="str">
            <v>534067</v>
          </cell>
          <cell r="F506" t="str">
            <v>E</v>
          </cell>
          <cell r="G506" t="str">
            <v>12533365</v>
          </cell>
          <cell r="H506" t="str">
            <v>Halter</v>
          </cell>
          <cell r="I506">
            <v>89</v>
          </cell>
          <cell r="J506" t="str">
            <v>Stk</v>
          </cell>
          <cell r="K506">
            <v>45324</v>
          </cell>
          <cell r="L506" t="str">
            <v>829051</v>
          </cell>
          <cell r="M506" t="str">
            <v/>
          </cell>
          <cell r="N506" t="str">
            <v/>
          </cell>
          <cell r="O506" t="str">
            <v/>
          </cell>
          <cell r="P506" t="str">
            <v/>
          </cell>
          <cell r="Q506" t="str">
            <v/>
          </cell>
          <cell r="R506" t="str">
            <v/>
          </cell>
          <cell r="S506" t="str">
            <v/>
          </cell>
          <cell r="T506" t="str">
            <v/>
          </cell>
          <cell r="U506" t="str">
            <v/>
          </cell>
          <cell r="V506" t="str">
            <v>N52</v>
          </cell>
          <cell r="W506" t="str">
            <v/>
          </cell>
          <cell r="X506" t="str">
            <v/>
          </cell>
          <cell r="Y506" t="str">
            <v/>
          </cell>
          <cell r="Z506" t="str">
            <v/>
          </cell>
          <cell r="AA506" t="str">
            <v/>
          </cell>
          <cell r="AB506" t="str">
            <v>PA_4387248-UA.7005-3</v>
          </cell>
          <cell r="AC506">
            <v>1</v>
          </cell>
          <cell r="AD506" t="str">
            <v/>
          </cell>
          <cell r="AE506">
            <v>0</v>
          </cell>
          <cell r="AF506" t="str">
            <v/>
          </cell>
          <cell r="AG506" t="str">
            <v>12533365</v>
          </cell>
          <cell r="AH506">
            <v>44641.931331018517</v>
          </cell>
          <cell r="AI506" t="str">
            <v>N52</v>
          </cell>
          <cell r="AJ506" t="str">
            <v>F</v>
          </cell>
          <cell r="AK506" t="str">
            <v/>
          </cell>
        </row>
        <row r="507">
          <cell r="A507" t="str">
            <v>12533365829052</v>
          </cell>
          <cell r="B507" t="str">
            <v>BL20230413-2</v>
          </cell>
          <cell r="C507">
            <v>20</v>
          </cell>
          <cell r="D507" t="str">
            <v>EK65</v>
          </cell>
          <cell r="E507" t="str">
            <v>534068</v>
          </cell>
          <cell r="F507" t="str">
            <v>E</v>
          </cell>
          <cell r="G507" t="str">
            <v>12533365</v>
          </cell>
          <cell r="H507" t="str">
            <v>Halter</v>
          </cell>
          <cell r="I507">
            <v>31</v>
          </cell>
          <cell r="J507" t="str">
            <v>Stk</v>
          </cell>
          <cell r="K507">
            <v>45345</v>
          </cell>
          <cell r="L507" t="str">
            <v>829052</v>
          </cell>
          <cell r="M507" t="str">
            <v/>
          </cell>
          <cell r="N507" t="str">
            <v/>
          </cell>
          <cell r="O507" t="str">
            <v/>
          </cell>
          <cell r="P507" t="str">
            <v/>
          </cell>
          <cell r="Q507" t="str">
            <v/>
          </cell>
          <cell r="R507" t="str">
            <v/>
          </cell>
          <cell r="S507" t="str">
            <v/>
          </cell>
          <cell r="T507" t="str">
            <v/>
          </cell>
          <cell r="U507" t="str">
            <v/>
          </cell>
          <cell r="V507" t="str">
            <v>N52</v>
          </cell>
          <cell r="W507" t="str">
            <v/>
          </cell>
          <cell r="X507" t="str">
            <v/>
          </cell>
          <cell r="Y507" t="str">
            <v/>
          </cell>
          <cell r="Z507" t="str">
            <v/>
          </cell>
          <cell r="AA507" t="str">
            <v/>
          </cell>
          <cell r="AB507" t="str">
            <v>PA_4387248-UA.7005-3</v>
          </cell>
          <cell r="AC507">
            <v>1</v>
          </cell>
          <cell r="AD507" t="str">
            <v/>
          </cell>
          <cell r="AE507">
            <v>0</v>
          </cell>
          <cell r="AF507" t="str">
            <v/>
          </cell>
          <cell r="AG507" t="str">
            <v>12533365</v>
          </cell>
          <cell r="AH507">
            <v>44641.931331018517</v>
          </cell>
          <cell r="AI507" t="str">
            <v>N52</v>
          </cell>
          <cell r="AJ507" t="str">
            <v>F</v>
          </cell>
          <cell r="AK507" t="str">
            <v/>
          </cell>
        </row>
        <row r="508">
          <cell r="A508" t="str">
            <v>12533378829051</v>
          </cell>
          <cell r="B508" t="e">
            <v>#N/A</v>
          </cell>
          <cell r="C508">
            <v>20</v>
          </cell>
          <cell r="D508" t="str">
            <v>EK65</v>
          </cell>
          <cell r="E508" t="str">
            <v>534069</v>
          </cell>
          <cell r="F508" t="str">
            <v>E</v>
          </cell>
          <cell r="G508" t="str">
            <v>12533378</v>
          </cell>
          <cell r="H508" t="str">
            <v>Blech</v>
          </cell>
          <cell r="I508">
            <v>89</v>
          </cell>
          <cell r="J508" t="str">
            <v>Stk</v>
          </cell>
          <cell r="K508">
            <v>45324</v>
          </cell>
          <cell r="L508" t="str">
            <v>829051</v>
          </cell>
          <cell r="M508" t="str">
            <v/>
          </cell>
          <cell r="N508" t="str">
            <v/>
          </cell>
          <cell r="O508" t="str">
            <v/>
          </cell>
          <cell r="P508" t="str">
            <v/>
          </cell>
          <cell r="Q508" t="str">
            <v/>
          </cell>
          <cell r="R508" t="str">
            <v/>
          </cell>
          <cell r="S508" t="str">
            <v/>
          </cell>
          <cell r="T508" t="str">
            <v/>
          </cell>
          <cell r="U508" t="str">
            <v/>
          </cell>
          <cell r="V508" t="str">
            <v>N52</v>
          </cell>
          <cell r="W508" t="str">
            <v/>
          </cell>
          <cell r="X508" t="str">
            <v/>
          </cell>
          <cell r="Y508" t="str">
            <v/>
          </cell>
          <cell r="Z508" t="str">
            <v/>
          </cell>
          <cell r="AA508" t="str">
            <v/>
          </cell>
          <cell r="AB508" t="str">
            <v>PA_4470705-UA.7005-4</v>
          </cell>
          <cell r="AC508">
            <v>1</v>
          </cell>
          <cell r="AD508" t="str">
            <v/>
          </cell>
          <cell r="AE508">
            <v>0</v>
          </cell>
          <cell r="AF508" t="str">
            <v/>
          </cell>
          <cell r="AG508" t="str">
            <v>12533378</v>
          </cell>
          <cell r="AH508">
            <v>44641.931377314817</v>
          </cell>
          <cell r="AI508" t="str">
            <v>N52</v>
          </cell>
          <cell r="AJ508" t="str">
            <v>F</v>
          </cell>
          <cell r="AK508" t="str">
            <v/>
          </cell>
        </row>
        <row r="509">
          <cell r="A509" t="str">
            <v>12533378829052</v>
          </cell>
          <cell r="B509" t="str">
            <v>BL20230413-2</v>
          </cell>
          <cell r="C509">
            <v>20</v>
          </cell>
          <cell r="D509" t="str">
            <v>EK65</v>
          </cell>
          <cell r="E509" t="str">
            <v>534070</v>
          </cell>
          <cell r="F509" t="str">
            <v>E</v>
          </cell>
          <cell r="G509" t="str">
            <v>12533378</v>
          </cell>
          <cell r="H509" t="str">
            <v>Blech</v>
          </cell>
          <cell r="I509">
            <v>31</v>
          </cell>
          <cell r="J509" t="str">
            <v>Stk</v>
          </cell>
          <cell r="K509">
            <v>45345</v>
          </cell>
          <cell r="L509" t="str">
            <v>829052</v>
          </cell>
          <cell r="M509" t="str">
            <v/>
          </cell>
          <cell r="N509" t="str">
            <v/>
          </cell>
          <cell r="O509" t="str">
            <v/>
          </cell>
          <cell r="P509" t="str">
            <v/>
          </cell>
          <cell r="Q509" t="str">
            <v/>
          </cell>
          <cell r="R509" t="str">
            <v/>
          </cell>
          <cell r="S509" t="str">
            <v/>
          </cell>
          <cell r="T509" t="str">
            <v/>
          </cell>
          <cell r="U509" t="str">
            <v/>
          </cell>
          <cell r="V509" t="str">
            <v>N52</v>
          </cell>
          <cell r="W509" t="str">
            <v/>
          </cell>
          <cell r="X509" t="str">
            <v/>
          </cell>
          <cell r="Y509" t="str">
            <v/>
          </cell>
          <cell r="Z509" t="str">
            <v/>
          </cell>
          <cell r="AA509" t="str">
            <v/>
          </cell>
          <cell r="AB509" t="str">
            <v>PA_4470705-UA.7005-4</v>
          </cell>
          <cell r="AC509">
            <v>1</v>
          </cell>
          <cell r="AD509" t="str">
            <v/>
          </cell>
          <cell r="AE509">
            <v>0</v>
          </cell>
          <cell r="AF509" t="str">
            <v/>
          </cell>
          <cell r="AG509" t="str">
            <v>12533378</v>
          </cell>
          <cell r="AH509">
            <v>44641.931377314817</v>
          </cell>
          <cell r="AI509" t="str">
            <v>N52</v>
          </cell>
          <cell r="AJ509" t="str">
            <v>F</v>
          </cell>
          <cell r="AK509" t="str">
            <v/>
          </cell>
        </row>
        <row r="510">
          <cell r="A510" t="str">
            <v>12534046829051</v>
          </cell>
          <cell r="B510" t="e">
            <v>#N/A</v>
          </cell>
          <cell r="C510">
            <v>12</v>
          </cell>
          <cell r="D510" t="str">
            <v>EK65</v>
          </cell>
          <cell r="E510" t="str">
            <v>534077</v>
          </cell>
          <cell r="F510" t="str">
            <v>E</v>
          </cell>
          <cell r="G510" t="str">
            <v>12534046</v>
          </cell>
          <cell r="H510" t="str">
            <v>Klemmbuchse ID8,5 AD24 H13,5</v>
          </cell>
          <cell r="I510">
            <v>726</v>
          </cell>
          <cell r="J510" t="str">
            <v>Stk</v>
          </cell>
          <cell r="K510">
            <v>45315</v>
          </cell>
          <cell r="L510" t="str">
            <v>829051</v>
          </cell>
          <cell r="M510" t="str">
            <v/>
          </cell>
          <cell r="N510" t="str">
            <v/>
          </cell>
          <cell r="O510" t="str">
            <v/>
          </cell>
          <cell r="P510" t="str">
            <v/>
          </cell>
          <cell r="Q510" t="str">
            <v/>
          </cell>
          <cell r="R510" t="str">
            <v/>
          </cell>
          <cell r="S510" t="str">
            <v/>
          </cell>
          <cell r="T510" t="str">
            <v/>
          </cell>
          <cell r="U510" t="str">
            <v/>
          </cell>
          <cell r="V510" t="str">
            <v>N52</v>
          </cell>
          <cell r="W510" t="str">
            <v/>
          </cell>
          <cell r="X510" t="str">
            <v/>
          </cell>
          <cell r="Y510" t="str">
            <v/>
          </cell>
          <cell r="Z510" t="str">
            <v/>
          </cell>
          <cell r="AA510" t="str">
            <v/>
          </cell>
          <cell r="AB510" t="str">
            <v>PA_4350003-UA.7005-4</v>
          </cell>
          <cell r="AC510">
            <v>1</v>
          </cell>
          <cell r="AD510" t="str">
            <v/>
          </cell>
          <cell r="AE510">
            <v>0</v>
          </cell>
          <cell r="AF510" t="str">
            <v/>
          </cell>
          <cell r="AG510" t="str">
            <v>12534046</v>
          </cell>
          <cell r="AH510">
            <v>44641.931562500002</v>
          </cell>
          <cell r="AI510" t="str">
            <v>N52</v>
          </cell>
          <cell r="AJ510" t="str">
            <v>F</v>
          </cell>
          <cell r="AK510" t="str">
            <v/>
          </cell>
        </row>
        <row r="511">
          <cell r="A511" t="str">
            <v>12534046829052</v>
          </cell>
          <cell r="B511" t="str">
            <v>BL20230413-2</v>
          </cell>
          <cell r="C511">
            <v>12</v>
          </cell>
          <cell r="D511" t="str">
            <v>EK65</v>
          </cell>
          <cell r="E511" t="str">
            <v>534078</v>
          </cell>
          <cell r="F511" t="str">
            <v>E</v>
          </cell>
          <cell r="G511" t="str">
            <v>12534046</v>
          </cell>
          <cell r="H511" t="str">
            <v>Klemmbuchse ID8,5 AD24 H13,5</v>
          </cell>
          <cell r="I511">
            <v>249</v>
          </cell>
          <cell r="J511" t="str">
            <v>Stk</v>
          </cell>
          <cell r="K511">
            <v>45345</v>
          </cell>
          <cell r="L511" t="str">
            <v>829052</v>
          </cell>
          <cell r="M511" t="str">
            <v/>
          </cell>
          <cell r="N511" t="str">
            <v/>
          </cell>
          <cell r="O511" t="str">
            <v/>
          </cell>
          <cell r="P511" t="str">
            <v/>
          </cell>
          <cell r="Q511" t="str">
            <v/>
          </cell>
          <cell r="R511" t="str">
            <v/>
          </cell>
          <cell r="S511" t="str">
            <v/>
          </cell>
          <cell r="T511" t="str">
            <v/>
          </cell>
          <cell r="U511" t="str">
            <v/>
          </cell>
          <cell r="V511" t="str">
            <v>N52</v>
          </cell>
          <cell r="W511" t="str">
            <v/>
          </cell>
          <cell r="X511" t="str">
            <v/>
          </cell>
          <cell r="Y511" t="str">
            <v/>
          </cell>
          <cell r="Z511" t="str">
            <v/>
          </cell>
          <cell r="AA511" t="str">
            <v/>
          </cell>
          <cell r="AB511" t="str">
            <v>PA_4350003-UA.7005-4</v>
          </cell>
          <cell r="AC511">
            <v>1</v>
          </cell>
          <cell r="AD511" t="str">
            <v/>
          </cell>
          <cell r="AE511">
            <v>0</v>
          </cell>
          <cell r="AF511" t="str">
            <v/>
          </cell>
          <cell r="AG511" t="str">
            <v>12534046</v>
          </cell>
          <cell r="AH511">
            <v>44641.931562500002</v>
          </cell>
          <cell r="AI511" t="str">
            <v>N52</v>
          </cell>
          <cell r="AJ511" t="str">
            <v>F</v>
          </cell>
          <cell r="AK511" t="str">
            <v/>
          </cell>
        </row>
        <row r="512">
          <cell r="A512" t="str">
            <v>12510577829052</v>
          </cell>
          <cell r="B512" t="e">
            <v>#N/A</v>
          </cell>
          <cell r="C512">
            <v>20</v>
          </cell>
          <cell r="D512" t="str">
            <v>EK65</v>
          </cell>
          <cell r="E512" t="str">
            <v>534525</v>
          </cell>
          <cell r="F512" t="str">
            <v>E</v>
          </cell>
          <cell r="G512" t="str">
            <v>12510577</v>
          </cell>
          <cell r="H512" t="str">
            <v>JK-Dehnhuelse ID 10,5  AD 30  H34</v>
          </cell>
          <cell r="I512">
            <v>1489</v>
          </cell>
          <cell r="J512" t="str">
            <v>Stk</v>
          </cell>
          <cell r="K512">
            <v>45351</v>
          </cell>
          <cell r="L512" t="str">
            <v>829052</v>
          </cell>
          <cell r="M512" t="str">
            <v/>
          </cell>
          <cell r="N512" t="str">
            <v/>
          </cell>
          <cell r="O512" t="str">
            <v/>
          </cell>
          <cell r="P512" t="str">
            <v/>
          </cell>
          <cell r="Q512" t="str">
            <v/>
          </cell>
          <cell r="R512" t="str">
            <v/>
          </cell>
          <cell r="S512" t="str">
            <v/>
          </cell>
          <cell r="T512" t="str">
            <v/>
          </cell>
          <cell r="U512" t="str">
            <v/>
          </cell>
          <cell r="V512" t="str">
            <v>N52</v>
          </cell>
          <cell r="W512" t="str">
            <v/>
          </cell>
          <cell r="X512" t="str">
            <v/>
          </cell>
          <cell r="Y512" t="str">
            <v/>
          </cell>
          <cell r="Z512" t="str">
            <v/>
          </cell>
          <cell r="AA512" t="str">
            <v/>
          </cell>
          <cell r="AB512" t="str">
            <v>PA_2335415-NB.7005-4</v>
          </cell>
          <cell r="AC512">
            <v>4</v>
          </cell>
          <cell r="AD512" t="str">
            <v/>
          </cell>
          <cell r="AE512">
            <v>0</v>
          </cell>
          <cell r="AF512" t="str">
            <v/>
          </cell>
          <cell r="AG512" t="str">
            <v>12510577</v>
          </cell>
          <cell r="AH512">
            <v>44641.958634259259</v>
          </cell>
          <cell r="AI512" t="str">
            <v>N52</v>
          </cell>
          <cell r="AJ512" t="str">
            <v>F</v>
          </cell>
          <cell r="AK512" t="str">
            <v/>
          </cell>
        </row>
        <row r="513">
          <cell r="A513" t="str">
            <v>12529294829053</v>
          </cell>
          <cell r="B513" t="e">
            <v>#N/A</v>
          </cell>
          <cell r="C513">
            <v>14</v>
          </cell>
          <cell r="D513" t="str">
            <v>EK65</v>
          </cell>
          <cell r="E513" t="str">
            <v>534536</v>
          </cell>
          <cell r="F513" t="str">
            <v>E</v>
          </cell>
          <cell r="G513" t="str">
            <v>12529294</v>
          </cell>
          <cell r="H513" t="str">
            <v>Haltewinkel</v>
          </cell>
          <cell r="I513">
            <v>96</v>
          </cell>
          <cell r="J513" t="str">
            <v>Stk</v>
          </cell>
          <cell r="K513">
            <v>45216</v>
          </cell>
          <cell r="L513" t="str">
            <v>829053</v>
          </cell>
          <cell r="M513" t="str">
            <v/>
          </cell>
          <cell r="N513" t="str">
            <v/>
          </cell>
          <cell r="O513" t="str">
            <v/>
          </cell>
          <cell r="P513" t="str">
            <v/>
          </cell>
          <cell r="Q513" t="str">
            <v/>
          </cell>
          <cell r="R513" t="str">
            <v/>
          </cell>
          <cell r="S513" t="str">
            <v/>
          </cell>
          <cell r="T513" t="str">
            <v/>
          </cell>
          <cell r="U513" t="str">
            <v/>
          </cell>
          <cell r="V513" t="str">
            <v>N52</v>
          </cell>
          <cell r="W513" t="str">
            <v>3.1</v>
          </cell>
          <cell r="X513" t="str">
            <v/>
          </cell>
          <cell r="Y513" t="str">
            <v/>
          </cell>
          <cell r="Z513" t="str">
            <v/>
          </cell>
          <cell r="AA513" t="str">
            <v/>
          </cell>
          <cell r="AB513" t="str">
            <v>PA_4347485-BG.7005-3</v>
          </cell>
          <cell r="AC513">
            <v>1</v>
          </cell>
          <cell r="AD513" t="str">
            <v/>
          </cell>
          <cell r="AE513">
            <v>0</v>
          </cell>
          <cell r="AF513" t="str">
            <v/>
          </cell>
          <cell r="AG513" t="str">
            <v>12529294</v>
          </cell>
          <cell r="AH513">
            <v>44641.963993055557</v>
          </cell>
          <cell r="AI513" t="str">
            <v>N52</v>
          </cell>
          <cell r="AJ513" t="str">
            <v>F</v>
          </cell>
          <cell r="AK513" t="str">
            <v/>
          </cell>
        </row>
        <row r="514">
          <cell r="A514" t="str">
            <v>12529294829054</v>
          </cell>
          <cell r="B514" t="e">
            <v>#N/A</v>
          </cell>
          <cell r="C514">
            <v>14</v>
          </cell>
          <cell r="D514" t="str">
            <v>EK65</v>
          </cell>
          <cell r="E514" t="str">
            <v>534537</v>
          </cell>
          <cell r="F514" t="str">
            <v>E</v>
          </cell>
          <cell r="G514" t="str">
            <v>12529294</v>
          </cell>
          <cell r="H514" t="str">
            <v>Haltewinkel</v>
          </cell>
          <cell r="I514">
            <v>29</v>
          </cell>
          <cell r="J514" t="str">
            <v>Stk</v>
          </cell>
          <cell r="K514">
            <v>45230</v>
          </cell>
          <cell r="L514" t="str">
            <v>829054</v>
          </cell>
          <cell r="M514" t="str">
            <v/>
          </cell>
          <cell r="N514" t="str">
            <v/>
          </cell>
          <cell r="O514" t="str">
            <v/>
          </cell>
          <cell r="P514" t="str">
            <v/>
          </cell>
          <cell r="Q514" t="str">
            <v/>
          </cell>
          <cell r="R514" t="str">
            <v/>
          </cell>
          <cell r="S514" t="str">
            <v/>
          </cell>
          <cell r="T514" t="str">
            <v/>
          </cell>
          <cell r="U514" t="str">
            <v/>
          </cell>
          <cell r="V514" t="str">
            <v>N52</v>
          </cell>
          <cell r="W514" t="str">
            <v>3.1</v>
          </cell>
          <cell r="X514" t="str">
            <v/>
          </cell>
          <cell r="Y514" t="str">
            <v/>
          </cell>
          <cell r="Z514" t="str">
            <v/>
          </cell>
          <cell r="AA514" t="str">
            <v/>
          </cell>
          <cell r="AB514" t="str">
            <v>PA_4347485-BG.7005-3</v>
          </cell>
          <cell r="AC514">
            <v>1</v>
          </cell>
          <cell r="AD514" t="str">
            <v/>
          </cell>
          <cell r="AE514">
            <v>0</v>
          </cell>
          <cell r="AF514" t="str">
            <v/>
          </cell>
          <cell r="AG514" t="str">
            <v>12529294</v>
          </cell>
          <cell r="AH514">
            <v>44641.963993055557</v>
          </cell>
          <cell r="AI514" t="str">
            <v>N52</v>
          </cell>
          <cell r="AJ514" t="str">
            <v>F</v>
          </cell>
          <cell r="AK514" t="str">
            <v/>
          </cell>
        </row>
        <row r="515">
          <cell r="A515" t="str">
            <v>12530898829051</v>
          </cell>
          <cell r="B515" t="e">
            <v>#N/A</v>
          </cell>
          <cell r="C515">
            <v>12</v>
          </cell>
          <cell r="D515" t="str">
            <v>EK65</v>
          </cell>
          <cell r="E515" t="str">
            <v>534542</v>
          </cell>
          <cell r="F515" t="str">
            <v>E</v>
          </cell>
          <cell r="G515" t="str">
            <v>12530898</v>
          </cell>
          <cell r="H515" t="str">
            <v>Dehnhuelse M10 AD30,ID11,L30</v>
          </cell>
          <cell r="I515">
            <v>722</v>
          </cell>
          <cell r="J515" t="str">
            <v>Stk</v>
          </cell>
          <cell r="K515">
            <v>45315</v>
          </cell>
          <cell r="L515" t="str">
            <v>829051</v>
          </cell>
          <cell r="M515" t="str">
            <v/>
          </cell>
          <cell r="N515" t="str">
            <v/>
          </cell>
          <cell r="O515" t="str">
            <v/>
          </cell>
          <cell r="P515" t="str">
            <v/>
          </cell>
          <cell r="Q515" t="str">
            <v/>
          </cell>
          <cell r="R515" t="str">
            <v/>
          </cell>
          <cell r="S515" t="str">
            <v/>
          </cell>
          <cell r="T515" t="str">
            <v/>
          </cell>
          <cell r="U515" t="str">
            <v/>
          </cell>
          <cell r="V515" t="str">
            <v>N52</v>
          </cell>
          <cell r="W515" t="str">
            <v/>
          </cell>
          <cell r="X515" t="str">
            <v/>
          </cell>
          <cell r="Y515" t="str">
            <v/>
          </cell>
          <cell r="Z515" t="str">
            <v/>
          </cell>
          <cell r="AA515" t="str">
            <v/>
          </cell>
          <cell r="AB515" t="str">
            <v>PA_4601588-QE.7005-4</v>
          </cell>
          <cell r="AC515">
            <v>1</v>
          </cell>
          <cell r="AD515" t="str">
            <v/>
          </cell>
          <cell r="AE515">
            <v>0</v>
          </cell>
          <cell r="AF515" t="str">
            <v/>
          </cell>
          <cell r="AG515" t="str">
            <v>12530898</v>
          </cell>
          <cell r="AH515">
            <v>44641.96471064815</v>
          </cell>
          <cell r="AI515" t="str">
            <v>N52</v>
          </cell>
          <cell r="AJ515" t="str">
            <v>F</v>
          </cell>
          <cell r="AK515" t="str">
            <v/>
          </cell>
        </row>
        <row r="516">
          <cell r="A516" t="str">
            <v>12519804829053</v>
          </cell>
          <cell r="B516" t="e">
            <v>#N/A</v>
          </cell>
          <cell r="C516">
            <v>8</v>
          </cell>
          <cell r="D516" t="str">
            <v>EK65</v>
          </cell>
          <cell r="E516" t="str">
            <v>534950</v>
          </cell>
          <cell r="F516" t="str">
            <v>E</v>
          </cell>
          <cell r="G516" t="str">
            <v>12519804</v>
          </cell>
          <cell r="H516" t="str">
            <v>Huelse</v>
          </cell>
          <cell r="I516">
            <v>725</v>
          </cell>
          <cell r="J516" t="str">
            <v>Stk</v>
          </cell>
          <cell r="K516">
            <v>45204</v>
          </cell>
          <cell r="L516" t="str">
            <v>829053</v>
          </cell>
          <cell r="M516" t="str">
            <v/>
          </cell>
          <cell r="N516" t="str">
            <v/>
          </cell>
          <cell r="O516" t="str">
            <v/>
          </cell>
          <cell r="P516" t="str">
            <v/>
          </cell>
          <cell r="Q516" t="str">
            <v/>
          </cell>
          <cell r="R516" t="str">
            <v/>
          </cell>
          <cell r="S516" t="str">
            <v/>
          </cell>
          <cell r="T516" t="str">
            <v/>
          </cell>
          <cell r="U516" t="str">
            <v/>
          </cell>
          <cell r="V516" t="str">
            <v>N52</v>
          </cell>
          <cell r="W516" t="str">
            <v/>
          </cell>
          <cell r="X516" t="str">
            <v/>
          </cell>
          <cell r="Y516" t="str">
            <v/>
          </cell>
          <cell r="Z516" t="str">
            <v/>
          </cell>
          <cell r="AA516" t="str">
            <v/>
          </cell>
          <cell r="AB516" t="str">
            <v>PA_4540080-CE.7005-4</v>
          </cell>
          <cell r="AC516">
            <v>1</v>
          </cell>
          <cell r="AD516" t="str">
            <v/>
          </cell>
          <cell r="AE516">
            <v>0</v>
          </cell>
          <cell r="AF516" t="str">
            <v/>
          </cell>
          <cell r="AG516" t="str">
            <v>12519804</v>
          </cell>
          <cell r="AH516">
            <v>44642.944652777776</v>
          </cell>
          <cell r="AI516" t="str">
            <v>N52</v>
          </cell>
          <cell r="AJ516" t="str">
            <v>F</v>
          </cell>
          <cell r="AK516" t="str">
            <v/>
          </cell>
        </row>
        <row r="517">
          <cell r="A517" t="str">
            <v>12519804829051</v>
          </cell>
          <cell r="B517" t="e">
            <v>#N/A</v>
          </cell>
          <cell r="C517">
            <v>8</v>
          </cell>
          <cell r="D517" t="str">
            <v>EK65</v>
          </cell>
          <cell r="E517" t="str">
            <v>534951</v>
          </cell>
          <cell r="F517" t="str">
            <v>E</v>
          </cell>
          <cell r="G517" t="str">
            <v>12519804</v>
          </cell>
          <cell r="H517" t="str">
            <v>Huelse</v>
          </cell>
          <cell r="I517">
            <v>1268</v>
          </cell>
          <cell r="J517" t="str">
            <v>Stk</v>
          </cell>
          <cell r="K517">
            <v>45322</v>
          </cell>
          <cell r="L517" t="str">
            <v>829051</v>
          </cell>
          <cell r="M517" t="str">
            <v/>
          </cell>
          <cell r="N517" t="str">
            <v/>
          </cell>
          <cell r="O517" t="str">
            <v/>
          </cell>
          <cell r="P517" t="str">
            <v/>
          </cell>
          <cell r="Q517" t="str">
            <v/>
          </cell>
          <cell r="R517" t="str">
            <v/>
          </cell>
          <cell r="S517" t="str">
            <v/>
          </cell>
          <cell r="T517" t="str">
            <v/>
          </cell>
          <cell r="U517" t="str">
            <v/>
          </cell>
          <cell r="V517" t="str">
            <v>N52</v>
          </cell>
          <cell r="W517" t="str">
            <v/>
          </cell>
          <cell r="X517" t="str">
            <v/>
          </cell>
          <cell r="Y517" t="str">
            <v/>
          </cell>
          <cell r="Z517" t="str">
            <v/>
          </cell>
          <cell r="AA517" t="str">
            <v/>
          </cell>
          <cell r="AB517" t="str">
            <v>PA_4540080-CE.7005-4</v>
          </cell>
          <cell r="AC517">
            <v>1</v>
          </cell>
          <cell r="AD517" t="str">
            <v/>
          </cell>
          <cell r="AE517">
            <v>0</v>
          </cell>
          <cell r="AF517" t="str">
            <v/>
          </cell>
          <cell r="AG517" t="str">
            <v>12519804</v>
          </cell>
          <cell r="AH517">
            <v>44642.944652777776</v>
          </cell>
          <cell r="AI517" t="str">
            <v>N52</v>
          </cell>
          <cell r="AJ517" t="str">
            <v>F</v>
          </cell>
          <cell r="AK517" t="str">
            <v/>
          </cell>
        </row>
        <row r="518">
          <cell r="A518" t="str">
            <v>12530898829052</v>
          </cell>
          <cell r="B518" t="str">
            <v>BL20230413-2</v>
          </cell>
          <cell r="C518">
            <v>12</v>
          </cell>
          <cell r="D518" t="str">
            <v>EK65</v>
          </cell>
          <cell r="E518" t="str">
            <v>534952</v>
          </cell>
          <cell r="F518" t="str">
            <v>E</v>
          </cell>
          <cell r="G518" t="str">
            <v>12530898</v>
          </cell>
          <cell r="H518" t="str">
            <v>Dehnhuelse M10 AD30,ID11,L30</v>
          </cell>
          <cell r="I518">
            <v>250</v>
          </cell>
          <cell r="J518" t="str">
            <v>Stk</v>
          </cell>
          <cell r="K518">
            <v>45345</v>
          </cell>
          <cell r="L518" t="str">
            <v>829052</v>
          </cell>
          <cell r="M518" t="str">
            <v/>
          </cell>
          <cell r="N518" t="str">
            <v/>
          </cell>
          <cell r="O518" t="str">
            <v/>
          </cell>
          <cell r="P518" t="str">
            <v/>
          </cell>
          <cell r="Q518" t="str">
            <v/>
          </cell>
          <cell r="R518" t="str">
            <v/>
          </cell>
          <cell r="S518" t="str">
            <v/>
          </cell>
          <cell r="T518" t="str">
            <v/>
          </cell>
          <cell r="U518" t="str">
            <v/>
          </cell>
          <cell r="V518" t="str">
            <v>N52</v>
          </cell>
          <cell r="W518" t="str">
            <v/>
          </cell>
          <cell r="X518" t="str">
            <v/>
          </cell>
          <cell r="Y518" t="str">
            <v/>
          </cell>
          <cell r="Z518" t="str">
            <v/>
          </cell>
          <cell r="AA518" t="str">
            <v/>
          </cell>
          <cell r="AB518" t="str">
            <v>PA_4601588-QE.7005-4</v>
          </cell>
          <cell r="AC518">
            <v>1</v>
          </cell>
          <cell r="AD518" t="str">
            <v/>
          </cell>
          <cell r="AE518">
            <v>0</v>
          </cell>
          <cell r="AF518" t="str">
            <v/>
          </cell>
          <cell r="AG518" t="str">
            <v>12530898</v>
          </cell>
          <cell r="AH518">
            <v>44642.947557870371</v>
          </cell>
          <cell r="AI518" t="str">
            <v>N52</v>
          </cell>
          <cell r="AJ518" t="str">
            <v>F</v>
          </cell>
          <cell r="AK518" t="str">
            <v/>
          </cell>
        </row>
        <row r="519">
          <cell r="A519" t="str">
            <v>12551087829051</v>
          </cell>
          <cell r="B519" t="e">
            <v>#N/A</v>
          </cell>
          <cell r="C519" t="e">
            <v>#N/A</v>
          </cell>
          <cell r="D519" t="str">
            <v>EK65</v>
          </cell>
          <cell r="E519" t="str">
            <v>534985</v>
          </cell>
          <cell r="F519" t="str">
            <v>E</v>
          </cell>
          <cell r="G519" t="str">
            <v>12551087</v>
          </cell>
          <cell r="H519" t="str">
            <v>Schottblech komplett</v>
          </cell>
          <cell r="I519">
            <v>90</v>
          </cell>
          <cell r="J519" t="str">
            <v>Stk</v>
          </cell>
          <cell r="K519">
            <v>45328</v>
          </cell>
          <cell r="L519" t="str">
            <v>829051</v>
          </cell>
          <cell r="M519" t="str">
            <v/>
          </cell>
          <cell r="N519" t="str">
            <v/>
          </cell>
          <cell r="O519" t="str">
            <v/>
          </cell>
          <cell r="P519" t="str">
            <v/>
          </cell>
          <cell r="Q519" t="str">
            <v/>
          </cell>
          <cell r="R519" t="str">
            <v/>
          </cell>
          <cell r="S519" t="str">
            <v/>
          </cell>
          <cell r="T519" t="str">
            <v/>
          </cell>
          <cell r="U519" t="str">
            <v/>
          </cell>
          <cell r="V519" t="str">
            <v>E38</v>
          </cell>
          <cell r="W519" t="str">
            <v/>
          </cell>
          <cell r="X519" t="str">
            <v/>
          </cell>
          <cell r="Y519" t="str">
            <v/>
          </cell>
          <cell r="Z519" t="str">
            <v/>
          </cell>
          <cell r="AA519" t="str">
            <v/>
          </cell>
          <cell r="AB519" t="str">
            <v>PA_4459595-QE.7004-4</v>
          </cell>
          <cell r="AC519">
            <v>1</v>
          </cell>
          <cell r="AD519" t="str">
            <v/>
          </cell>
          <cell r="AE519">
            <v>0</v>
          </cell>
          <cell r="AF519" t="str">
            <v/>
          </cell>
          <cell r="AG519" t="str">
            <v>12551087</v>
          </cell>
          <cell r="AH519">
            <v>44642.949780092589</v>
          </cell>
          <cell r="AI519" t="str">
            <v>E38</v>
          </cell>
          <cell r="AJ519" t="str">
            <v>F</v>
          </cell>
          <cell r="AK519" t="str">
            <v/>
          </cell>
        </row>
        <row r="520">
          <cell r="A520" t="str">
            <v>12551101829051</v>
          </cell>
          <cell r="B520" t="e">
            <v>#N/A</v>
          </cell>
          <cell r="C520" t="e">
            <v>#N/A</v>
          </cell>
          <cell r="D520" t="str">
            <v>EK65</v>
          </cell>
          <cell r="E520" t="str">
            <v>534986</v>
          </cell>
          <cell r="F520" t="str">
            <v>E</v>
          </cell>
          <cell r="G520" t="str">
            <v>12551101</v>
          </cell>
          <cell r="H520" t="str">
            <v>Schottblech komplett</v>
          </cell>
          <cell r="I520">
            <v>90</v>
          </cell>
          <cell r="J520" t="str">
            <v>Stk</v>
          </cell>
          <cell r="K520">
            <v>45328</v>
          </cell>
          <cell r="L520" t="str">
            <v>829051</v>
          </cell>
          <cell r="M520" t="str">
            <v/>
          </cell>
          <cell r="N520" t="str">
            <v/>
          </cell>
          <cell r="O520" t="str">
            <v/>
          </cell>
          <cell r="P520" t="str">
            <v/>
          </cell>
          <cell r="Q520" t="str">
            <v/>
          </cell>
          <cell r="R520" t="str">
            <v/>
          </cell>
          <cell r="S520" t="str">
            <v/>
          </cell>
          <cell r="T520" t="str">
            <v/>
          </cell>
          <cell r="U520" t="str">
            <v/>
          </cell>
          <cell r="V520" t="str">
            <v>E38</v>
          </cell>
          <cell r="W520" t="str">
            <v/>
          </cell>
          <cell r="X520" t="str">
            <v/>
          </cell>
          <cell r="Y520" t="str">
            <v/>
          </cell>
          <cell r="Z520" t="str">
            <v/>
          </cell>
          <cell r="AA520" t="str">
            <v/>
          </cell>
          <cell r="AB520" t="str">
            <v>PA_4459576-QE.7004-3</v>
          </cell>
          <cell r="AC520">
            <v>1</v>
          </cell>
          <cell r="AD520" t="str">
            <v/>
          </cell>
          <cell r="AE520">
            <v>0</v>
          </cell>
          <cell r="AF520" t="str">
            <v/>
          </cell>
          <cell r="AG520" t="str">
            <v>12551101</v>
          </cell>
          <cell r="AH520">
            <v>44642.949803240743</v>
          </cell>
          <cell r="AI520" t="str">
            <v>E38</v>
          </cell>
          <cell r="AJ520" t="str">
            <v>F</v>
          </cell>
          <cell r="AK520" t="str">
            <v/>
          </cell>
        </row>
        <row r="521">
          <cell r="A521" t="str">
            <v>12112592829054</v>
          </cell>
          <cell r="B521" t="e">
            <v>#N/A</v>
          </cell>
          <cell r="C521">
            <v>5</v>
          </cell>
          <cell r="D521" t="str">
            <v>EK65</v>
          </cell>
          <cell r="E521" t="str">
            <v>536991</v>
          </cell>
          <cell r="F521" t="str">
            <v>E</v>
          </cell>
          <cell r="G521" t="str">
            <v>12112592</v>
          </cell>
          <cell r="H521" t="str">
            <v>Distanzhuelse Da=18,di=7,L=8</v>
          </cell>
          <cell r="I521">
            <v>61</v>
          </cell>
          <cell r="J521" t="str">
            <v>Stk</v>
          </cell>
          <cell r="K521">
            <v>45241</v>
          </cell>
          <cell r="L521" t="str">
            <v>829054</v>
          </cell>
          <cell r="M521" t="str">
            <v/>
          </cell>
          <cell r="N521" t="str">
            <v/>
          </cell>
          <cell r="O521" t="str">
            <v/>
          </cell>
          <cell r="P521" t="str">
            <v/>
          </cell>
          <cell r="Q521" t="str">
            <v/>
          </cell>
          <cell r="R521" t="str">
            <v/>
          </cell>
          <cell r="S521" t="str">
            <v/>
          </cell>
          <cell r="T521" t="str">
            <v/>
          </cell>
          <cell r="U521" t="str">
            <v/>
          </cell>
          <cell r="V521" t="str">
            <v>N52</v>
          </cell>
          <cell r="W521" t="str">
            <v/>
          </cell>
          <cell r="X521" t="str">
            <v/>
          </cell>
          <cell r="Y521" t="str">
            <v/>
          </cell>
          <cell r="Z521" t="str">
            <v/>
          </cell>
          <cell r="AA521" t="str">
            <v/>
          </cell>
          <cell r="AB521" t="str">
            <v>BU_2167534-HE.7005-4</v>
          </cell>
          <cell r="AC521">
            <v>1</v>
          </cell>
          <cell r="AD521" t="str">
            <v/>
          </cell>
          <cell r="AE521">
            <v>0</v>
          </cell>
          <cell r="AF521" t="str">
            <v/>
          </cell>
          <cell r="AG521" t="str">
            <v>12112592</v>
          </cell>
          <cell r="AH521">
            <v>44644.889525462961</v>
          </cell>
          <cell r="AI521" t="str">
            <v>N52</v>
          </cell>
          <cell r="AJ521" t="str">
            <v>F</v>
          </cell>
          <cell r="AK521" t="str">
            <v/>
          </cell>
        </row>
        <row r="522">
          <cell r="A522" t="str">
            <v>12519153829051</v>
          </cell>
          <cell r="B522" t="str">
            <v>BL20230413-2</v>
          </cell>
          <cell r="C522">
            <v>24</v>
          </cell>
          <cell r="D522" t="str">
            <v>EK65</v>
          </cell>
          <cell r="E522" t="str">
            <v>537430</v>
          </cell>
          <cell r="F522" t="str">
            <v>E</v>
          </cell>
          <cell r="G522" t="str">
            <v>12519153</v>
          </cell>
          <cell r="H522" t="str">
            <v>Winkel</v>
          </cell>
          <cell r="I522">
            <v>179</v>
          </cell>
          <cell r="J522" t="str">
            <v>Stk</v>
          </cell>
          <cell r="K522">
            <v>45336</v>
          </cell>
          <cell r="L522" t="str">
            <v>829051</v>
          </cell>
          <cell r="M522" t="str">
            <v/>
          </cell>
          <cell r="N522" t="str">
            <v/>
          </cell>
          <cell r="O522" t="str">
            <v/>
          </cell>
          <cell r="P522" t="str">
            <v/>
          </cell>
          <cell r="Q522" t="str">
            <v/>
          </cell>
          <cell r="R522" t="str">
            <v/>
          </cell>
          <cell r="S522" t="str">
            <v/>
          </cell>
          <cell r="T522" t="str">
            <v/>
          </cell>
          <cell r="U522" t="str">
            <v/>
          </cell>
          <cell r="V522" t="str">
            <v>N52</v>
          </cell>
          <cell r="W522" t="str">
            <v/>
          </cell>
          <cell r="X522" t="str">
            <v/>
          </cell>
          <cell r="Y522" t="str">
            <v/>
          </cell>
          <cell r="Z522" t="str">
            <v/>
          </cell>
          <cell r="AA522" t="str">
            <v/>
          </cell>
          <cell r="AB522" t="str">
            <v>PA_4363650-LE.7005-3</v>
          </cell>
          <cell r="AC522">
            <v>1</v>
          </cell>
          <cell r="AD522" t="str">
            <v/>
          </cell>
          <cell r="AE522">
            <v>0</v>
          </cell>
          <cell r="AF522" t="str">
            <v/>
          </cell>
          <cell r="AG522" t="str">
            <v>12519153</v>
          </cell>
          <cell r="AH522">
            <v>44644.963530092595</v>
          </cell>
          <cell r="AI522" t="str">
            <v>N52</v>
          </cell>
          <cell r="AJ522" t="str">
            <v>F</v>
          </cell>
          <cell r="AK522" t="str">
            <v/>
          </cell>
        </row>
        <row r="523">
          <cell r="A523" t="str">
            <v>12519153829052</v>
          </cell>
          <cell r="B523" t="e">
            <v>#N/A</v>
          </cell>
          <cell r="C523">
            <v>24</v>
          </cell>
          <cell r="D523" t="str">
            <v>EK65</v>
          </cell>
          <cell r="E523" t="str">
            <v>537431</v>
          </cell>
          <cell r="F523" t="str">
            <v>E</v>
          </cell>
          <cell r="G523" t="str">
            <v>12519153</v>
          </cell>
          <cell r="H523" t="str">
            <v>Winkel</v>
          </cell>
          <cell r="I523">
            <v>60</v>
          </cell>
          <cell r="J523" t="str">
            <v>Stk</v>
          </cell>
          <cell r="K523">
            <v>45372</v>
          </cell>
          <cell r="L523" t="str">
            <v>829052</v>
          </cell>
          <cell r="M523" t="str">
            <v/>
          </cell>
          <cell r="N523" t="str">
            <v/>
          </cell>
          <cell r="O523" t="str">
            <v/>
          </cell>
          <cell r="P523" t="str">
            <v/>
          </cell>
          <cell r="Q523" t="str">
            <v/>
          </cell>
          <cell r="R523" t="str">
            <v/>
          </cell>
          <cell r="S523" t="str">
            <v/>
          </cell>
          <cell r="T523" t="str">
            <v/>
          </cell>
          <cell r="U523" t="str">
            <v/>
          </cell>
          <cell r="V523" t="str">
            <v>N52</v>
          </cell>
          <cell r="W523" t="str">
            <v/>
          </cell>
          <cell r="X523" t="str">
            <v/>
          </cell>
          <cell r="Y523" t="str">
            <v/>
          </cell>
          <cell r="Z523" t="str">
            <v/>
          </cell>
          <cell r="AA523" t="str">
            <v/>
          </cell>
          <cell r="AB523" t="str">
            <v>PA_4363650-LE.7005-3</v>
          </cell>
          <cell r="AC523">
            <v>1</v>
          </cell>
          <cell r="AD523" t="str">
            <v/>
          </cell>
          <cell r="AE523">
            <v>0</v>
          </cell>
          <cell r="AF523" t="str">
            <v/>
          </cell>
          <cell r="AG523" t="str">
            <v>12519153</v>
          </cell>
          <cell r="AH523">
            <v>44644.963530092595</v>
          </cell>
          <cell r="AI523" t="str">
            <v>N52</v>
          </cell>
          <cell r="AJ523" t="str">
            <v>F</v>
          </cell>
          <cell r="AK523" t="str">
            <v/>
          </cell>
        </row>
        <row r="524">
          <cell r="A524" t="str">
            <v>12519712829510</v>
          </cell>
          <cell r="B524" t="str">
            <v>Übergabe Task Force</v>
          </cell>
          <cell r="C524" t="e">
            <v>#N/A</v>
          </cell>
          <cell r="D524" t="str">
            <v>EK65</v>
          </cell>
          <cell r="E524" t="str">
            <v>537432</v>
          </cell>
          <cell r="F524" t="str">
            <v>E</v>
          </cell>
          <cell r="G524" t="str">
            <v>12519712</v>
          </cell>
          <cell r="H524" t="str">
            <v>Schirmblech E24Mod</v>
          </cell>
          <cell r="I524">
            <v>24</v>
          </cell>
          <cell r="J524" t="str">
            <v>Stk</v>
          </cell>
          <cell r="K524">
            <v>45022</v>
          </cell>
          <cell r="L524" t="str">
            <v>829510</v>
          </cell>
          <cell r="M524" t="str">
            <v/>
          </cell>
          <cell r="N524" t="str">
            <v/>
          </cell>
          <cell r="O524" t="str">
            <v/>
          </cell>
          <cell r="P524" t="str">
            <v/>
          </cell>
          <cell r="Q524" t="str">
            <v/>
          </cell>
          <cell r="R524" t="str">
            <v/>
          </cell>
          <cell r="S524" t="str">
            <v/>
          </cell>
          <cell r="T524" t="str">
            <v/>
          </cell>
          <cell r="U524" t="str">
            <v/>
          </cell>
          <cell r="V524" t="str">
            <v>N52</v>
          </cell>
          <cell r="W524" t="str">
            <v/>
          </cell>
          <cell r="X524" t="str">
            <v/>
          </cell>
          <cell r="Y524" t="str">
            <v/>
          </cell>
          <cell r="Z524" t="str">
            <v/>
          </cell>
          <cell r="AA524" t="str">
            <v/>
          </cell>
          <cell r="AB524" t="str">
            <v>PA_4568857-UA.7005-2</v>
          </cell>
          <cell r="AC524">
            <v>1</v>
          </cell>
          <cell r="AD524" t="str">
            <v/>
          </cell>
          <cell r="AE524">
            <v>0</v>
          </cell>
          <cell r="AF524" t="str">
            <v/>
          </cell>
          <cell r="AG524" t="str">
            <v>12519712</v>
          </cell>
          <cell r="AH524">
            <v>44644.963587962964</v>
          </cell>
          <cell r="AI524" t="str">
            <v>N52</v>
          </cell>
          <cell r="AJ524" t="str">
            <v>F</v>
          </cell>
          <cell r="AK524" t="str">
            <v/>
          </cell>
        </row>
        <row r="525">
          <cell r="A525" t="str">
            <v>12557662829052</v>
          </cell>
          <cell r="B525" t="str">
            <v>Übergabe Task Force</v>
          </cell>
          <cell r="C525">
            <v>14</v>
          </cell>
          <cell r="D525" t="str">
            <v>EK65</v>
          </cell>
          <cell r="E525" t="str">
            <v>538152</v>
          </cell>
          <cell r="F525" t="str">
            <v>E</v>
          </cell>
          <cell r="G525" t="str">
            <v>12557662</v>
          </cell>
          <cell r="H525" t="str">
            <v>Halter</v>
          </cell>
          <cell r="I525">
            <v>31</v>
          </cell>
          <cell r="J525" t="str">
            <v>Stk</v>
          </cell>
          <cell r="K525">
            <v>45681</v>
          </cell>
          <cell r="L525" t="str">
            <v>829052</v>
          </cell>
          <cell r="M525" t="str">
            <v/>
          </cell>
          <cell r="N525" t="str">
            <v/>
          </cell>
          <cell r="O525" t="str">
            <v/>
          </cell>
          <cell r="P525" t="str">
            <v/>
          </cell>
          <cell r="Q525" t="str">
            <v/>
          </cell>
          <cell r="R525" t="str">
            <v/>
          </cell>
          <cell r="S525" t="str">
            <v/>
          </cell>
          <cell r="T525" t="str">
            <v/>
          </cell>
          <cell r="U525" t="str">
            <v/>
          </cell>
          <cell r="V525" t="str">
            <v>N52</v>
          </cell>
          <cell r="W525" t="str">
            <v/>
          </cell>
          <cell r="X525" t="str">
            <v/>
          </cell>
          <cell r="Y525" t="str">
            <v/>
          </cell>
          <cell r="Z525" t="str">
            <v/>
          </cell>
          <cell r="AA525" t="str">
            <v/>
          </cell>
          <cell r="AB525" t="str">
            <v>PA_4725106-TB.7004-4</v>
          </cell>
          <cell r="AC525">
            <v>1</v>
          </cell>
          <cell r="AD525" t="str">
            <v/>
          </cell>
          <cell r="AE525">
            <v>0</v>
          </cell>
          <cell r="AF525" t="str">
            <v/>
          </cell>
          <cell r="AG525" t="str">
            <v>12557662</v>
          </cell>
          <cell r="AH525">
            <v>44645.888287037036</v>
          </cell>
          <cell r="AI525" t="str">
            <v>N52</v>
          </cell>
          <cell r="AJ525" t="str">
            <v>F</v>
          </cell>
          <cell r="AK525" t="str">
            <v/>
          </cell>
        </row>
        <row r="526">
          <cell r="A526" t="str">
            <v>12517683829051</v>
          </cell>
          <cell r="B526" t="e">
            <v>#N/A</v>
          </cell>
          <cell r="C526">
            <v>10</v>
          </cell>
          <cell r="D526" t="str">
            <v>EK65</v>
          </cell>
          <cell r="E526" t="str">
            <v>538205</v>
          </cell>
          <cell r="F526" t="str">
            <v>E</v>
          </cell>
          <cell r="G526" t="str">
            <v>12517683</v>
          </cell>
          <cell r="H526" t="str">
            <v>Reduzierduese</v>
          </cell>
          <cell r="I526">
            <v>90</v>
          </cell>
          <cell r="J526" t="str">
            <v>Stk</v>
          </cell>
          <cell r="K526">
            <v>45331</v>
          </cell>
          <cell r="L526" t="str">
            <v>829051</v>
          </cell>
          <cell r="M526" t="str">
            <v/>
          </cell>
          <cell r="N526" t="str">
            <v/>
          </cell>
          <cell r="O526" t="str">
            <v/>
          </cell>
          <cell r="P526" t="str">
            <v/>
          </cell>
          <cell r="Q526" t="str">
            <v/>
          </cell>
          <cell r="R526" t="str">
            <v/>
          </cell>
          <cell r="S526" t="str">
            <v/>
          </cell>
          <cell r="T526" t="str">
            <v/>
          </cell>
          <cell r="U526" t="str">
            <v/>
          </cell>
          <cell r="V526" t="str">
            <v>N52</v>
          </cell>
          <cell r="W526" t="str">
            <v/>
          </cell>
          <cell r="X526" t="str">
            <v/>
          </cell>
          <cell r="Y526" t="str">
            <v/>
          </cell>
          <cell r="Z526" t="str">
            <v/>
          </cell>
          <cell r="AA526" t="str">
            <v/>
          </cell>
          <cell r="AB526" t="str">
            <v>PA_4550124-QE.7005-4</v>
          </cell>
          <cell r="AC526">
            <v>1</v>
          </cell>
          <cell r="AD526" t="str">
            <v/>
          </cell>
          <cell r="AE526">
            <v>0</v>
          </cell>
          <cell r="AF526" t="str">
            <v/>
          </cell>
          <cell r="AG526" t="str">
            <v>12517683</v>
          </cell>
          <cell r="AH526">
            <v>44645.926701388889</v>
          </cell>
          <cell r="AI526" t="str">
            <v>N52</v>
          </cell>
          <cell r="AJ526" t="str">
            <v>F</v>
          </cell>
          <cell r="AK526" t="str">
            <v/>
          </cell>
        </row>
        <row r="527">
          <cell r="A527" t="str">
            <v>12511441829051</v>
          </cell>
          <cell r="B527" t="str">
            <v>BL20230413-2</v>
          </cell>
          <cell r="C527">
            <v>12</v>
          </cell>
          <cell r="D527" t="str">
            <v>EK65</v>
          </cell>
          <cell r="E527" t="str">
            <v>538473</v>
          </cell>
          <cell r="F527" t="str">
            <v>E</v>
          </cell>
          <cell r="G527" t="str">
            <v>12511441</v>
          </cell>
          <cell r="H527" t="str">
            <v>Halter</v>
          </cell>
          <cell r="I527">
            <v>42</v>
          </cell>
          <cell r="J527" t="str">
            <v>Stk</v>
          </cell>
          <cell r="K527">
            <v>45344</v>
          </cell>
          <cell r="L527" t="str">
            <v>829051</v>
          </cell>
          <cell r="M527" t="str">
            <v/>
          </cell>
          <cell r="N527" t="str">
            <v/>
          </cell>
          <cell r="O527" t="str">
            <v/>
          </cell>
          <cell r="P527" t="str">
            <v/>
          </cell>
          <cell r="Q527" t="str">
            <v/>
          </cell>
          <cell r="R527" t="str">
            <v/>
          </cell>
          <cell r="S527" t="str">
            <v/>
          </cell>
          <cell r="T527" t="str">
            <v/>
          </cell>
          <cell r="U527" t="str">
            <v/>
          </cell>
          <cell r="V527" t="str">
            <v>N52</v>
          </cell>
          <cell r="W527" t="str">
            <v/>
          </cell>
          <cell r="X527" t="str">
            <v/>
          </cell>
          <cell r="Y527" t="str">
            <v/>
          </cell>
          <cell r="Z527" t="str">
            <v/>
          </cell>
          <cell r="AA527" t="str">
            <v/>
          </cell>
          <cell r="AB527" t="str">
            <v>PA_4318526-QE.7004-3</v>
          </cell>
          <cell r="AC527">
            <v>1</v>
          </cell>
          <cell r="AD527" t="str">
            <v/>
          </cell>
          <cell r="AE527">
            <v>0</v>
          </cell>
          <cell r="AF527" t="str">
            <v/>
          </cell>
          <cell r="AG527" t="str">
            <v>12511441</v>
          </cell>
          <cell r="AH527">
            <v>44645.951527777775</v>
          </cell>
          <cell r="AI527" t="str">
            <v>N52</v>
          </cell>
          <cell r="AJ527" t="str">
            <v>F</v>
          </cell>
          <cell r="AK527" t="str">
            <v/>
          </cell>
        </row>
        <row r="528">
          <cell r="A528" t="str">
            <v>12511460829051</v>
          </cell>
          <cell r="B528" t="str">
            <v>BL20230413-2</v>
          </cell>
          <cell r="C528">
            <v>10</v>
          </cell>
          <cell r="D528" t="str">
            <v>EK65</v>
          </cell>
          <cell r="E528" t="str">
            <v>538474</v>
          </cell>
          <cell r="F528" t="str">
            <v>E</v>
          </cell>
          <cell r="G528" t="str">
            <v>12511460</v>
          </cell>
          <cell r="H528" t="str">
            <v>Distanzbuchse D20</v>
          </cell>
          <cell r="I528">
            <v>85</v>
          </cell>
          <cell r="J528" t="str">
            <v>Stk</v>
          </cell>
          <cell r="K528">
            <v>45335</v>
          </cell>
          <cell r="L528" t="str">
            <v>829051</v>
          </cell>
          <cell r="M528" t="str">
            <v/>
          </cell>
          <cell r="N528" t="str">
            <v/>
          </cell>
          <cell r="O528" t="str">
            <v/>
          </cell>
          <cell r="P528" t="str">
            <v/>
          </cell>
          <cell r="Q528" t="str">
            <v/>
          </cell>
          <cell r="R528" t="str">
            <v/>
          </cell>
          <cell r="S528" t="str">
            <v/>
          </cell>
          <cell r="T528" t="str">
            <v/>
          </cell>
          <cell r="U528" t="str">
            <v/>
          </cell>
          <cell r="V528" t="str">
            <v>N52</v>
          </cell>
          <cell r="W528" t="str">
            <v/>
          </cell>
          <cell r="X528" t="str">
            <v/>
          </cell>
          <cell r="Y528" t="str">
            <v/>
          </cell>
          <cell r="Z528" t="str">
            <v/>
          </cell>
          <cell r="AA528" t="str">
            <v/>
          </cell>
          <cell r="AB528" t="str">
            <v>PA_4319788-QE.7004-4</v>
          </cell>
          <cell r="AC528">
            <v>1</v>
          </cell>
          <cell r="AD528" t="str">
            <v/>
          </cell>
          <cell r="AE528">
            <v>0</v>
          </cell>
          <cell r="AF528" t="str">
            <v/>
          </cell>
          <cell r="AG528" t="str">
            <v>12511460</v>
          </cell>
          <cell r="AH528">
            <v>44645.951539351852</v>
          </cell>
          <cell r="AI528" t="str">
            <v>N52</v>
          </cell>
          <cell r="AJ528" t="str">
            <v>F</v>
          </cell>
          <cell r="AK528" t="str">
            <v/>
          </cell>
        </row>
        <row r="529">
          <cell r="A529" t="str">
            <v>12531589829052</v>
          </cell>
          <cell r="B529" t="e">
            <v>#N/A</v>
          </cell>
          <cell r="C529">
            <v>20</v>
          </cell>
          <cell r="D529" t="str">
            <v>EK65</v>
          </cell>
          <cell r="E529" t="str">
            <v>540536</v>
          </cell>
          <cell r="F529" t="str">
            <v>E</v>
          </cell>
          <cell r="G529" t="str">
            <v>12531589</v>
          </cell>
          <cell r="H529" t="str">
            <v>Anschlag</v>
          </cell>
          <cell r="I529">
            <v>31</v>
          </cell>
          <cell r="J529" t="str">
            <v>Stk</v>
          </cell>
          <cell r="K529">
            <v>45352</v>
          </cell>
          <cell r="L529" t="str">
            <v>829052</v>
          </cell>
          <cell r="M529" t="str">
            <v/>
          </cell>
          <cell r="N529" t="str">
            <v/>
          </cell>
          <cell r="O529" t="str">
            <v/>
          </cell>
          <cell r="P529" t="str">
            <v/>
          </cell>
          <cell r="Q529" t="str">
            <v/>
          </cell>
          <cell r="R529" t="str">
            <v/>
          </cell>
          <cell r="S529" t="str">
            <v/>
          </cell>
          <cell r="T529" t="str">
            <v/>
          </cell>
          <cell r="U529" t="str">
            <v/>
          </cell>
          <cell r="V529" t="str">
            <v>N52</v>
          </cell>
          <cell r="W529" t="str">
            <v/>
          </cell>
          <cell r="X529" t="str">
            <v/>
          </cell>
          <cell r="Y529" t="str">
            <v/>
          </cell>
          <cell r="Z529" t="str">
            <v/>
          </cell>
          <cell r="AA529" t="str">
            <v/>
          </cell>
          <cell r="AB529" t="str">
            <v>PA_2346176-CF.7005-3</v>
          </cell>
          <cell r="AC529">
            <v>1</v>
          </cell>
          <cell r="AD529" t="str">
            <v/>
          </cell>
          <cell r="AE529">
            <v>0</v>
          </cell>
          <cell r="AF529" t="str">
            <v/>
          </cell>
          <cell r="AG529" t="str">
            <v>12531589</v>
          </cell>
          <cell r="AH529">
            <v>44651.947013888886</v>
          </cell>
          <cell r="AI529" t="str">
            <v>N52</v>
          </cell>
          <cell r="AJ529" t="str">
            <v>F</v>
          </cell>
          <cell r="AK529" t="str">
            <v/>
          </cell>
        </row>
        <row r="530">
          <cell r="A530" t="str">
            <v>12528448829054</v>
          </cell>
          <cell r="B530" t="e">
            <v>#N/A</v>
          </cell>
          <cell r="C530">
            <v>5</v>
          </cell>
          <cell r="D530" t="str">
            <v>EK65</v>
          </cell>
          <cell r="E530" t="str">
            <v>541021</v>
          </cell>
          <cell r="F530" t="str">
            <v>E</v>
          </cell>
          <cell r="G530" t="str">
            <v>12528448</v>
          </cell>
          <cell r="H530" t="str">
            <v>Grundplatte</v>
          </cell>
          <cell r="I530">
            <v>17</v>
          </cell>
          <cell r="J530" t="str">
            <v>Stk</v>
          </cell>
          <cell r="K530">
            <v>45206</v>
          </cell>
          <cell r="L530" t="str">
            <v>829054</v>
          </cell>
          <cell r="M530" t="str">
            <v/>
          </cell>
          <cell r="N530" t="str">
            <v/>
          </cell>
          <cell r="O530" t="str">
            <v/>
          </cell>
          <cell r="P530" t="str">
            <v/>
          </cell>
          <cell r="Q530" t="str">
            <v/>
          </cell>
          <cell r="R530" t="str">
            <v/>
          </cell>
          <cell r="S530" t="str">
            <v/>
          </cell>
          <cell r="T530" t="str">
            <v/>
          </cell>
          <cell r="U530" t="str">
            <v/>
          </cell>
          <cell r="V530" t="str">
            <v>N52</v>
          </cell>
          <cell r="W530" t="str">
            <v/>
          </cell>
          <cell r="X530" t="str">
            <v/>
          </cell>
          <cell r="Y530" t="str">
            <v/>
          </cell>
          <cell r="Z530" t="str">
            <v/>
          </cell>
          <cell r="AA530" t="str">
            <v/>
          </cell>
          <cell r="AB530" t="str">
            <v>PA_4443757-QE.7005-3</v>
          </cell>
          <cell r="AC530">
            <v>1</v>
          </cell>
          <cell r="AD530" t="str">
            <v/>
          </cell>
          <cell r="AE530">
            <v>0</v>
          </cell>
          <cell r="AF530" t="str">
            <v/>
          </cell>
          <cell r="AG530" t="str">
            <v>12528448</v>
          </cell>
          <cell r="AH530">
            <v>44652.887916666667</v>
          </cell>
          <cell r="AI530" t="str">
            <v>N52</v>
          </cell>
          <cell r="AJ530" t="str">
            <v>F</v>
          </cell>
          <cell r="AK530" t="str">
            <v/>
          </cell>
        </row>
        <row r="531">
          <cell r="A531" t="str">
            <v>12541070829054</v>
          </cell>
          <cell r="B531" t="e">
            <v>#N/A</v>
          </cell>
          <cell r="C531">
            <v>3</v>
          </cell>
          <cell r="D531" t="str">
            <v>EK65</v>
          </cell>
          <cell r="E531" t="str">
            <v>541026</v>
          </cell>
          <cell r="F531" t="str">
            <v>E</v>
          </cell>
          <cell r="G531" t="str">
            <v>12541070</v>
          </cell>
          <cell r="H531" t="str">
            <v>Blechhalter</v>
          </cell>
          <cell r="I531">
            <v>17</v>
          </cell>
          <cell r="J531" t="str">
            <v>Stk</v>
          </cell>
          <cell r="K531">
            <v>45206</v>
          </cell>
          <cell r="L531" t="str">
            <v>829054</v>
          </cell>
          <cell r="M531" t="str">
            <v/>
          </cell>
          <cell r="N531" t="str">
            <v/>
          </cell>
          <cell r="O531" t="str">
            <v/>
          </cell>
          <cell r="P531" t="str">
            <v/>
          </cell>
          <cell r="Q531" t="str">
            <v/>
          </cell>
          <cell r="R531" t="str">
            <v/>
          </cell>
          <cell r="S531" t="str">
            <v/>
          </cell>
          <cell r="T531" t="str">
            <v/>
          </cell>
          <cell r="U531" t="str">
            <v/>
          </cell>
          <cell r="V531" t="str">
            <v>N52</v>
          </cell>
          <cell r="W531" t="str">
            <v/>
          </cell>
          <cell r="X531" t="str">
            <v/>
          </cell>
          <cell r="Y531" t="str">
            <v/>
          </cell>
          <cell r="Z531" t="str">
            <v/>
          </cell>
          <cell r="AA531" t="str">
            <v/>
          </cell>
          <cell r="AB531" t="str">
            <v>PA_4468220-UA.7005-3</v>
          </cell>
          <cell r="AC531">
            <v>1</v>
          </cell>
          <cell r="AD531" t="str">
            <v/>
          </cell>
          <cell r="AE531">
            <v>0</v>
          </cell>
          <cell r="AF531" t="str">
            <v/>
          </cell>
          <cell r="AG531" t="str">
            <v>12541070</v>
          </cell>
          <cell r="AH531">
            <v>44652.891018518516</v>
          </cell>
          <cell r="AI531" t="str">
            <v>N52</v>
          </cell>
          <cell r="AJ531" t="str">
            <v>F</v>
          </cell>
          <cell r="AK531" t="str">
            <v/>
          </cell>
        </row>
        <row r="532">
          <cell r="A532" t="str">
            <v>12501724829051</v>
          </cell>
          <cell r="B532" t="e">
            <v>#N/A</v>
          </cell>
          <cell r="C532">
            <v>6</v>
          </cell>
          <cell r="D532" t="str">
            <v>EK65</v>
          </cell>
          <cell r="E532" t="str">
            <v>541248</v>
          </cell>
          <cell r="F532" t="str">
            <v>E</v>
          </cell>
          <cell r="G532" t="str">
            <v>12501724</v>
          </cell>
          <cell r="H532" t="str">
            <v>Halter oben</v>
          </cell>
          <cell r="I532">
            <v>90</v>
          </cell>
          <cell r="J532" t="str">
            <v>Stk</v>
          </cell>
          <cell r="K532">
            <v>45328</v>
          </cell>
          <cell r="L532" t="str">
            <v>829051</v>
          </cell>
          <cell r="M532" t="str">
            <v/>
          </cell>
          <cell r="N532" t="str">
            <v/>
          </cell>
          <cell r="O532" t="str">
            <v/>
          </cell>
          <cell r="P532" t="str">
            <v/>
          </cell>
          <cell r="Q532" t="str">
            <v/>
          </cell>
          <cell r="R532" t="str">
            <v/>
          </cell>
          <cell r="S532" t="str">
            <v/>
          </cell>
          <cell r="T532" t="str">
            <v/>
          </cell>
          <cell r="U532" t="str">
            <v/>
          </cell>
          <cell r="V532" t="str">
            <v>N52</v>
          </cell>
          <cell r="W532" t="str">
            <v/>
          </cell>
          <cell r="X532" t="str">
            <v/>
          </cell>
          <cell r="Y532" t="str">
            <v/>
          </cell>
          <cell r="Z532" t="str">
            <v/>
          </cell>
          <cell r="AA532" t="str">
            <v/>
          </cell>
          <cell r="AB532" t="str">
            <v>PA_4266264-UA.7005-2</v>
          </cell>
          <cell r="AC532">
            <v>1</v>
          </cell>
          <cell r="AD532" t="str">
            <v/>
          </cell>
          <cell r="AE532">
            <v>0</v>
          </cell>
          <cell r="AF532" t="str">
            <v/>
          </cell>
          <cell r="AG532" t="str">
            <v>12501724</v>
          </cell>
          <cell r="AH532">
            <v>44652.930706018517</v>
          </cell>
          <cell r="AI532" t="str">
            <v>N52</v>
          </cell>
          <cell r="AJ532" t="str">
            <v>F</v>
          </cell>
          <cell r="AK532" t="str">
            <v/>
          </cell>
        </row>
        <row r="533">
          <cell r="A533" t="str">
            <v>12501734829051</v>
          </cell>
          <cell r="B533" t="e">
            <v>#N/A</v>
          </cell>
          <cell r="C533">
            <v>14</v>
          </cell>
          <cell r="D533" t="str">
            <v>EK65</v>
          </cell>
          <cell r="E533" t="str">
            <v>541249</v>
          </cell>
          <cell r="F533" t="str">
            <v>E</v>
          </cell>
          <cell r="G533" t="str">
            <v>12501734</v>
          </cell>
          <cell r="H533" t="str">
            <v>Halter unten</v>
          </cell>
          <cell r="I533">
            <v>90</v>
          </cell>
          <cell r="J533" t="str">
            <v>Stk</v>
          </cell>
          <cell r="K533">
            <v>45328</v>
          </cell>
          <cell r="L533" t="str">
            <v>829051</v>
          </cell>
          <cell r="M533" t="str">
            <v/>
          </cell>
          <cell r="N533" t="str">
            <v/>
          </cell>
          <cell r="O533" t="str">
            <v/>
          </cell>
          <cell r="P533" t="str">
            <v/>
          </cell>
          <cell r="Q533" t="str">
            <v/>
          </cell>
          <cell r="R533" t="str">
            <v/>
          </cell>
          <cell r="S533" t="str">
            <v/>
          </cell>
          <cell r="T533" t="str">
            <v/>
          </cell>
          <cell r="U533" t="str">
            <v/>
          </cell>
          <cell r="V533" t="str">
            <v>N52</v>
          </cell>
          <cell r="W533" t="str">
            <v/>
          </cell>
          <cell r="X533" t="str">
            <v/>
          </cell>
          <cell r="Y533" t="str">
            <v/>
          </cell>
          <cell r="Z533" t="str">
            <v/>
          </cell>
          <cell r="AA533" t="str">
            <v/>
          </cell>
          <cell r="AB533" t="str">
            <v>PA_4268112-UA.7005-3</v>
          </cell>
          <cell r="AC533">
            <v>1</v>
          </cell>
          <cell r="AD533" t="str">
            <v/>
          </cell>
          <cell r="AE533">
            <v>0</v>
          </cell>
          <cell r="AF533" t="str">
            <v/>
          </cell>
          <cell r="AG533" t="str">
            <v>12501734</v>
          </cell>
          <cell r="AH533">
            <v>44652.93072916667</v>
          </cell>
          <cell r="AI533" t="str">
            <v>N52</v>
          </cell>
          <cell r="AJ533" t="str">
            <v>F</v>
          </cell>
          <cell r="AK533" t="str">
            <v/>
          </cell>
        </row>
        <row r="534">
          <cell r="A534" t="str">
            <v>12505262829051</v>
          </cell>
          <cell r="B534" t="str">
            <v>Übergabe Task Force</v>
          </cell>
          <cell r="C534">
            <v>12</v>
          </cell>
          <cell r="D534" t="str">
            <v>EK65</v>
          </cell>
          <cell r="E534" t="str">
            <v>541253</v>
          </cell>
          <cell r="F534" t="str">
            <v>E</v>
          </cell>
          <cell r="G534" t="str">
            <v>12505262</v>
          </cell>
          <cell r="H534" t="str">
            <v>Halter Kaltgeraetesteckd.</v>
          </cell>
          <cell r="I534">
            <v>56</v>
          </cell>
          <cell r="J534" t="str">
            <v>Stk</v>
          </cell>
          <cell r="K534">
            <v>45121</v>
          </cell>
          <cell r="L534" t="str">
            <v>829051</v>
          </cell>
          <cell r="M534" t="str">
            <v/>
          </cell>
          <cell r="N534" t="str">
            <v/>
          </cell>
          <cell r="O534" t="str">
            <v/>
          </cell>
          <cell r="P534" t="str">
            <v/>
          </cell>
          <cell r="Q534" t="str">
            <v/>
          </cell>
          <cell r="R534" t="str">
            <v/>
          </cell>
          <cell r="S534" t="str">
            <v/>
          </cell>
          <cell r="T534" t="str">
            <v/>
          </cell>
          <cell r="U534" t="str">
            <v/>
          </cell>
          <cell r="V534" t="str">
            <v>N52</v>
          </cell>
          <cell r="W534" t="str">
            <v/>
          </cell>
          <cell r="X534" t="str">
            <v/>
          </cell>
          <cell r="Y534" t="str">
            <v/>
          </cell>
          <cell r="Z534" t="str">
            <v/>
          </cell>
          <cell r="AA534" t="str">
            <v/>
          </cell>
          <cell r="AB534" t="str">
            <v>PA_4492264-TA.7005-3</v>
          </cell>
          <cell r="AC534">
            <v>1</v>
          </cell>
          <cell r="AD534" t="str">
            <v/>
          </cell>
          <cell r="AE534">
            <v>0</v>
          </cell>
          <cell r="AF534" t="str">
            <v/>
          </cell>
          <cell r="AG534" t="str">
            <v>12505262</v>
          </cell>
          <cell r="AH534">
            <v>44652.93178240741</v>
          </cell>
          <cell r="AI534" t="str">
            <v>N52</v>
          </cell>
          <cell r="AJ534" t="str">
            <v>F</v>
          </cell>
          <cell r="AK534" t="str">
            <v/>
          </cell>
        </row>
        <row r="535">
          <cell r="A535" t="str">
            <v>12517250829051</v>
          </cell>
          <cell r="B535" t="e">
            <v>#N/A</v>
          </cell>
          <cell r="C535">
            <v>24</v>
          </cell>
          <cell r="D535" t="str">
            <v>EK65</v>
          </cell>
          <cell r="E535" t="str">
            <v>541258</v>
          </cell>
          <cell r="F535" t="str">
            <v>E</v>
          </cell>
          <cell r="G535" t="str">
            <v>12517250</v>
          </cell>
          <cell r="H535" t="str">
            <v>Unterlagsblech</v>
          </cell>
          <cell r="I535">
            <v>861</v>
          </cell>
          <cell r="J535" t="str">
            <v>Stk</v>
          </cell>
          <cell r="K535">
            <v>45317</v>
          </cell>
          <cell r="L535" t="str">
            <v>829051</v>
          </cell>
          <cell r="M535" t="str">
            <v/>
          </cell>
          <cell r="N535" t="str">
            <v/>
          </cell>
          <cell r="O535" t="str">
            <v/>
          </cell>
          <cell r="P535" t="str">
            <v/>
          </cell>
          <cell r="Q535" t="str">
            <v/>
          </cell>
          <cell r="R535" t="str">
            <v/>
          </cell>
          <cell r="S535" t="str">
            <v/>
          </cell>
          <cell r="T535" t="str">
            <v/>
          </cell>
          <cell r="U535" t="str">
            <v/>
          </cell>
          <cell r="V535" t="str">
            <v>N52</v>
          </cell>
          <cell r="W535" t="str">
            <v/>
          </cell>
          <cell r="X535" t="str">
            <v/>
          </cell>
          <cell r="Y535" t="str">
            <v/>
          </cell>
          <cell r="Z535" t="str">
            <v/>
          </cell>
          <cell r="AA535" t="str">
            <v/>
          </cell>
          <cell r="AB535" t="str">
            <v>PA_4353250-UA.7005-4</v>
          </cell>
          <cell r="AC535">
            <v>1</v>
          </cell>
          <cell r="AD535" t="str">
            <v/>
          </cell>
          <cell r="AE535">
            <v>0</v>
          </cell>
          <cell r="AF535" t="str">
            <v/>
          </cell>
          <cell r="AG535" t="str">
            <v>12517250</v>
          </cell>
          <cell r="AH535">
            <v>44652.932106481479</v>
          </cell>
          <cell r="AI535" t="str">
            <v>N52</v>
          </cell>
          <cell r="AJ535" t="str">
            <v>F</v>
          </cell>
          <cell r="AK535" t="str">
            <v/>
          </cell>
        </row>
        <row r="536">
          <cell r="A536" t="str">
            <v>12517708829051</v>
          </cell>
          <cell r="B536" t="e">
            <v>#N/A</v>
          </cell>
          <cell r="C536">
            <v>12</v>
          </cell>
          <cell r="D536" t="str">
            <v>EK65</v>
          </cell>
          <cell r="E536" t="str">
            <v>541259</v>
          </cell>
          <cell r="F536" t="str">
            <v>E</v>
          </cell>
          <cell r="G536" t="str">
            <v>12517708</v>
          </cell>
          <cell r="H536" t="str">
            <v>Winkel</v>
          </cell>
          <cell r="I536">
            <v>89</v>
          </cell>
          <cell r="J536" t="str">
            <v>Stk</v>
          </cell>
          <cell r="K536">
            <v>45324</v>
          </cell>
          <cell r="L536" t="str">
            <v>829051</v>
          </cell>
          <cell r="M536" t="str">
            <v/>
          </cell>
          <cell r="N536" t="str">
            <v/>
          </cell>
          <cell r="O536" t="str">
            <v/>
          </cell>
          <cell r="P536" t="str">
            <v/>
          </cell>
          <cell r="Q536" t="str">
            <v/>
          </cell>
          <cell r="R536" t="str">
            <v/>
          </cell>
          <cell r="S536" t="str">
            <v/>
          </cell>
          <cell r="T536" t="str">
            <v/>
          </cell>
          <cell r="U536" t="str">
            <v/>
          </cell>
          <cell r="V536" t="str">
            <v>N52</v>
          </cell>
          <cell r="W536" t="str">
            <v/>
          </cell>
          <cell r="X536" t="str">
            <v/>
          </cell>
          <cell r="Y536" t="str">
            <v/>
          </cell>
          <cell r="Z536" t="str">
            <v/>
          </cell>
          <cell r="AA536" t="str">
            <v/>
          </cell>
          <cell r="AB536" t="str">
            <v>PA_4270353-LE.7005-3</v>
          </cell>
          <cell r="AC536">
            <v>1</v>
          </cell>
          <cell r="AD536" t="str">
            <v/>
          </cell>
          <cell r="AE536">
            <v>0</v>
          </cell>
          <cell r="AF536" t="str">
            <v/>
          </cell>
          <cell r="AG536" t="str">
            <v>12517708</v>
          </cell>
          <cell r="AH536">
            <v>44652.932164351849</v>
          </cell>
          <cell r="AI536" t="str">
            <v>N52</v>
          </cell>
          <cell r="AJ536" t="str">
            <v>F</v>
          </cell>
          <cell r="AK536" t="str">
            <v/>
          </cell>
        </row>
        <row r="537">
          <cell r="A537" t="str">
            <v>12529614829051</v>
          </cell>
          <cell r="B537" t="e">
            <v>#N/A</v>
          </cell>
          <cell r="C537">
            <v>14</v>
          </cell>
          <cell r="D537" t="str">
            <v>EK65</v>
          </cell>
          <cell r="E537" t="str">
            <v>541268</v>
          </cell>
          <cell r="F537" t="str">
            <v>E</v>
          </cell>
          <cell r="G537" t="str">
            <v>12529614</v>
          </cell>
          <cell r="H537" t="str">
            <v>Halter</v>
          </cell>
          <cell r="I537">
            <v>90</v>
          </cell>
          <cell r="J537" t="str">
            <v>Stk</v>
          </cell>
          <cell r="K537">
            <v>45331</v>
          </cell>
          <cell r="L537" t="str">
            <v>829051</v>
          </cell>
          <cell r="M537" t="str">
            <v/>
          </cell>
          <cell r="N537" t="str">
            <v/>
          </cell>
          <cell r="O537" t="str">
            <v/>
          </cell>
          <cell r="P537" t="str">
            <v/>
          </cell>
          <cell r="Q537" t="str">
            <v/>
          </cell>
          <cell r="R537" t="str">
            <v/>
          </cell>
          <cell r="S537" t="str">
            <v/>
          </cell>
          <cell r="T537" t="str">
            <v/>
          </cell>
          <cell r="U537" t="str">
            <v/>
          </cell>
          <cell r="V537" t="str">
            <v>N52</v>
          </cell>
          <cell r="W537" t="str">
            <v/>
          </cell>
          <cell r="X537" t="str">
            <v/>
          </cell>
          <cell r="Y537" t="str">
            <v/>
          </cell>
          <cell r="Z537" t="str">
            <v/>
          </cell>
          <cell r="AA537" t="str">
            <v/>
          </cell>
          <cell r="AB537" t="str">
            <v>PA_2344710-UA.7005-3</v>
          </cell>
          <cell r="AC537">
            <v>1</v>
          </cell>
          <cell r="AD537" t="str">
            <v/>
          </cell>
          <cell r="AE537">
            <v>0</v>
          </cell>
          <cell r="AF537" t="str">
            <v/>
          </cell>
          <cell r="AG537" t="str">
            <v>12529614</v>
          </cell>
          <cell r="AH537">
            <v>44652.933298611111</v>
          </cell>
          <cell r="AI537" t="str">
            <v>N52</v>
          </cell>
          <cell r="AJ537" t="str">
            <v>F</v>
          </cell>
          <cell r="AK537" t="str">
            <v/>
          </cell>
        </row>
        <row r="538">
          <cell r="A538" t="str">
            <v>12529619829051</v>
          </cell>
          <cell r="B538" t="e">
            <v>#N/A</v>
          </cell>
          <cell r="C538">
            <v>14</v>
          </cell>
          <cell r="D538" t="str">
            <v>EK65</v>
          </cell>
          <cell r="E538" t="str">
            <v>541269</v>
          </cell>
          <cell r="F538" t="str">
            <v>E</v>
          </cell>
          <cell r="G538" t="str">
            <v>12529619</v>
          </cell>
          <cell r="H538" t="str">
            <v>Halter</v>
          </cell>
          <cell r="I538">
            <v>45</v>
          </cell>
          <cell r="J538" t="str">
            <v>Stk</v>
          </cell>
          <cell r="K538">
            <v>45331</v>
          </cell>
          <cell r="L538" t="str">
            <v>829051</v>
          </cell>
          <cell r="M538" t="str">
            <v/>
          </cell>
          <cell r="N538" t="str">
            <v/>
          </cell>
          <cell r="O538" t="str">
            <v/>
          </cell>
          <cell r="P538" t="str">
            <v/>
          </cell>
          <cell r="Q538" t="str">
            <v/>
          </cell>
          <cell r="R538" t="str">
            <v/>
          </cell>
          <cell r="S538" t="str">
            <v/>
          </cell>
          <cell r="T538" t="str">
            <v/>
          </cell>
          <cell r="U538" t="str">
            <v/>
          </cell>
          <cell r="V538" t="str">
            <v>N52</v>
          </cell>
          <cell r="W538" t="str">
            <v/>
          </cell>
          <cell r="X538" t="str">
            <v/>
          </cell>
          <cell r="Y538" t="str">
            <v/>
          </cell>
          <cell r="Z538" t="str">
            <v/>
          </cell>
          <cell r="AA538" t="str">
            <v/>
          </cell>
          <cell r="AB538" t="str">
            <v>PA_4373614-UA.7005-3</v>
          </cell>
          <cell r="AC538">
            <v>1</v>
          </cell>
          <cell r="AD538" t="str">
            <v/>
          </cell>
          <cell r="AE538">
            <v>0</v>
          </cell>
          <cell r="AF538" t="str">
            <v/>
          </cell>
          <cell r="AG538" t="str">
            <v>12529619</v>
          </cell>
          <cell r="AH538">
            <v>44652.933333333334</v>
          </cell>
          <cell r="AI538" t="str">
            <v>N52</v>
          </cell>
          <cell r="AJ538" t="str">
            <v>F</v>
          </cell>
          <cell r="AK538" t="str">
            <v/>
          </cell>
        </row>
        <row r="539">
          <cell r="A539" t="str">
            <v>12529621829051</v>
          </cell>
          <cell r="B539" t="str">
            <v>BL20230413-2</v>
          </cell>
          <cell r="C539">
            <v>10</v>
          </cell>
          <cell r="D539" t="str">
            <v>EK65</v>
          </cell>
          <cell r="E539" t="str">
            <v>541270</v>
          </cell>
          <cell r="F539" t="str">
            <v>E</v>
          </cell>
          <cell r="G539" t="str">
            <v>12529621</v>
          </cell>
          <cell r="H539" t="str">
            <v>Halter</v>
          </cell>
          <cell r="I539">
            <v>44</v>
          </cell>
          <cell r="J539" t="str">
            <v>Stk</v>
          </cell>
          <cell r="K539">
            <v>45344</v>
          </cell>
          <cell r="L539" t="str">
            <v>829051</v>
          </cell>
          <cell r="M539" t="str">
            <v/>
          </cell>
          <cell r="N539" t="str">
            <v/>
          </cell>
          <cell r="O539" t="str">
            <v/>
          </cell>
          <cell r="P539" t="str">
            <v/>
          </cell>
          <cell r="Q539" t="str">
            <v/>
          </cell>
          <cell r="R539" t="str">
            <v/>
          </cell>
          <cell r="S539" t="str">
            <v/>
          </cell>
          <cell r="T539" t="str">
            <v/>
          </cell>
          <cell r="U539" t="str">
            <v/>
          </cell>
          <cell r="V539" t="str">
            <v>N52</v>
          </cell>
          <cell r="W539" t="str">
            <v/>
          </cell>
          <cell r="X539" t="str">
            <v/>
          </cell>
          <cell r="Y539" t="str">
            <v/>
          </cell>
          <cell r="Z539" t="str">
            <v/>
          </cell>
          <cell r="AA539" t="str">
            <v/>
          </cell>
          <cell r="AB539" t="str">
            <v>PA_4399022-UA.7005-3</v>
          </cell>
          <cell r="AC539">
            <v>1</v>
          </cell>
          <cell r="AD539" t="str">
            <v/>
          </cell>
          <cell r="AE539">
            <v>0</v>
          </cell>
          <cell r="AF539" t="str">
            <v/>
          </cell>
          <cell r="AG539" t="str">
            <v>12529621</v>
          </cell>
          <cell r="AH539">
            <v>44652.933344907404</v>
          </cell>
          <cell r="AI539" t="str">
            <v>N52</v>
          </cell>
          <cell r="AJ539" t="str">
            <v>F</v>
          </cell>
          <cell r="AK539" t="str">
            <v/>
          </cell>
        </row>
        <row r="540">
          <cell r="A540" t="str">
            <v>12529627829051</v>
          </cell>
          <cell r="B540" t="e">
            <v>#N/A</v>
          </cell>
          <cell r="C540">
            <v>8</v>
          </cell>
          <cell r="D540" t="str">
            <v>EK65</v>
          </cell>
          <cell r="E540" t="str">
            <v>541271</v>
          </cell>
          <cell r="F540" t="str">
            <v>E</v>
          </cell>
          <cell r="G540" t="str">
            <v>12529627</v>
          </cell>
          <cell r="H540" t="str">
            <v>Kabelleiste</v>
          </cell>
          <cell r="I540">
            <v>90</v>
          </cell>
          <cell r="J540" t="str">
            <v>Stk</v>
          </cell>
          <cell r="K540">
            <v>45331</v>
          </cell>
          <cell r="L540" t="str">
            <v>829051</v>
          </cell>
          <cell r="M540" t="str">
            <v/>
          </cell>
          <cell r="N540" t="str">
            <v/>
          </cell>
          <cell r="O540" t="str">
            <v/>
          </cell>
          <cell r="P540" t="str">
            <v/>
          </cell>
          <cell r="Q540" t="str">
            <v/>
          </cell>
          <cell r="R540" t="str">
            <v/>
          </cell>
          <cell r="S540" t="str">
            <v/>
          </cell>
          <cell r="T540" t="str">
            <v/>
          </cell>
          <cell r="U540" t="str">
            <v/>
          </cell>
          <cell r="V540" t="str">
            <v>N52</v>
          </cell>
          <cell r="W540" t="str">
            <v/>
          </cell>
          <cell r="X540" t="str">
            <v/>
          </cell>
          <cell r="Y540" t="str">
            <v/>
          </cell>
          <cell r="Z540" t="str">
            <v/>
          </cell>
          <cell r="AA540" t="str">
            <v/>
          </cell>
          <cell r="AB540" t="str">
            <v>PA_2345187-UA.7005-2</v>
          </cell>
          <cell r="AC540">
            <v>1</v>
          </cell>
          <cell r="AD540" t="str">
            <v/>
          </cell>
          <cell r="AE540">
            <v>0</v>
          </cell>
          <cell r="AF540" t="str">
            <v/>
          </cell>
          <cell r="AG540" t="str">
            <v>12529627</v>
          </cell>
          <cell r="AH540">
            <v>44652.933368055557</v>
          </cell>
          <cell r="AI540" t="str">
            <v>N52</v>
          </cell>
          <cell r="AJ540" t="str">
            <v>F</v>
          </cell>
          <cell r="AK540" t="str">
            <v/>
          </cell>
        </row>
        <row r="541">
          <cell r="A541" t="str">
            <v>12536678829051</v>
          </cell>
          <cell r="B541" t="str">
            <v>BL20230413-2</v>
          </cell>
          <cell r="C541">
            <v>10</v>
          </cell>
          <cell r="D541" t="str">
            <v>EK65</v>
          </cell>
          <cell r="E541" t="str">
            <v>541811</v>
          </cell>
          <cell r="F541" t="str">
            <v>E</v>
          </cell>
          <cell r="G541" t="str">
            <v>12536678</v>
          </cell>
          <cell r="H541" t="str">
            <v>Abdichtung w.g.</v>
          </cell>
          <cell r="I541">
            <v>345</v>
          </cell>
          <cell r="J541" t="str">
            <v>Stk</v>
          </cell>
          <cell r="K541">
            <v>45336</v>
          </cell>
          <cell r="L541" t="str">
            <v>829051</v>
          </cell>
          <cell r="M541" t="str">
            <v/>
          </cell>
          <cell r="N541" t="str">
            <v/>
          </cell>
          <cell r="O541" t="str">
            <v/>
          </cell>
          <cell r="P541" t="str">
            <v/>
          </cell>
          <cell r="Q541" t="str">
            <v/>
          </cell>
          <cell r="R541" t="str">
            <v/>
          </cell>
          <cell r="S541" t="str">
            <v/>
          </cell>
          <cell r="T541" t="str">
            <v/>
          </cell>
          <cell r="U541" t="str">
            <v/>
          </cell>
          <cell r="V541" t="str">
            <v>N52</v>
          </cell>
          <cell r="W541" t="str">
            <v/>
          </cell>
          <cell r="X541" t="str">
            <v/>
          </cell>
          <cell r="Y541" t="str">
            <v/>
          </cell>
          <cell r="Z541" t="str">
            <v/>
          </cell>
          <cell r="AA541" t="str">
            <v/>
          </cell>
          <cell r="AB541" t="str">
            <v>PA_4320032-CC.7004-3</v>
          </cell>
          <cell r="AC541">
            <v>1</v>
          </cell>
          <cell r="AD541" t="str">
            <v/>
          </cell>
          <cell r="AE541">
            <v>0</v>
          </cell>
          <cell r="AF541" t="str">
            <v/>
          </cell>
          <cell r="AG541" t="str">
            <v>12536678</v>
          </cell>
          <cell r="AH541">
            <v>44656.924375000002</v>
          </cell>
          <cell r="AI541" t="str">
            <v>N52</v>
          </cell>
          <cell r="AJ541" t="str">
            <v>F</v>
          </cell>
          <cell r="AK541" t="str">
            <v/>
          </cell>
        </row>
        <row r="542">
          <cell r="A542" t="str">
            <v>12536678829052</v>
          </cell>
          <cell r="B542" t="e">
            <v>#N/A</v>
          </cell>
          <cell r="C542">
            <v>10</v>
          </cell>
          <cell r="D542" t="str">
            <v>EK65</v>
          </cell>
          <cell r="E542" t="str">
            <v>541812</v>
          </cell>
          <cell r="F542" t="str">
            <v>E</v>
          </cell>
          <cell r="G542" t="str">
            <v>12536678</v>
          </cell>
          <cell r="H542" t="str">
            <v>Abdichtung w.g.</v>
          </cell>
          <cell r="I542">
            <v>186</v>
          </cell>
          <cell r="J542" t="str">
            <v>Stk</v>
          </cell>
          <cell r="K542">
            <v>45349</v>
          </cell>
          <cell r="L542" t="str">
            <v>829052</v>
          </cell>
          <cell r="M542" t="str">
            <v/>
          </cell>
          <cell r="N542" t="str">
            <v/>
          </cell>
          <cell r="O542" t="str">
            <v/>
          </cell>
          <cell r="P542" t="str">
            <v/>
          </cell>
          <cell r="Q542" t="str">
            <v/>
          </cell>
          <cell r="R542" t="str">
            <v/>
          </cell>
          <cell r="S542" t="str">
            <v/>
          </cell>
          <cell r="T542" t="str">
            <v/>
          </cell>
          <cell r="U542" t="str">
            <v/>
          </cell>
          <cell r="V542" t="str">
            <v>N52</v>
          </cell>
          <cell r="W542" t="str">
            <v/>
          </cell>
          <cell r="X542" t="str">
            <v/>
          </cell>
          <cell r="Y542" t="str">
            <v/>
          </cell>
          <cell r="Z542" t="str">
            <v/>
          </cell>
          <cell r="AA542" t="str">
            <v/>
          </cell>
          <cell r="AB542" t="str">
            <v>PA_4320032-CC.7004-3</v>
          </cell>
          <cell r="AC542">
            <v>1</v>
          </cell>
          <cell r="AD542" t="str">
            <v/>
          </cell>
          <cell r="AE542">
            <v>0</v>
          </cell>
          <cell r="AF542" t="str">
            <v/>
          </cell>
          <cell r="AG542" t="str">
            <v>12536678</v>
          </cell>
          <cell r="AH542">
            <v>44656.924375000002</v>
          </cell>
          <cell r="AI542" t="str">
            <v>N52</v>
          </cell>
          <cell r="AJ542" t="str">
            <v>F</v>
          </cell>
          <cell r="AK542" t="str">
            <v/>
          </cell>
        </row>
        <row r="543">
          <cell r="A543" t="str">
            <v>12536679829051</v>
          </cell>
          <cell r="B543" t="str">
            <v>BL20230413-2</v>
          </cell>
          <cell r="C543">
            <v>8</v>
          </cell>
          <cell r="D543" t="str">
            <v>EK65</v>
          </cell>
          <cell r="E543" t="str">
            <v>541813</v>
          </cell>
          <cell r="F543" t="str">
            <v>E</v>
          </cell>
          <cell r="G543" t="str">
            <v>12536679</v>
          </cell>
          <cell r="H543" t="str">
            <v>Abdichtung sp.g.</v>
          </cell>
          <cell r="I543">
            <v>345</v>
          </cell>
          <cell r="J543" t="str">
            <v>Stk</v>
          </cell>
          <cell r="K543">
            <v>45336</v>
          </cell>
          <cell r="L543" t="str">
            <v>829051</v>
          </cell>
          <cell r="M543" t="str">
            <v/>
          </cell>
          <cell r="N543" t="str">
            <v/>
          </cell>
          <cell r="O543" t="str">
            <v/>
          </cell>
          <cell r="P543" t="str">
            <v/>
          </cell>
          <cell r="Q543" t="str">
            <v/>
          </cell>
          <cell r="R543" t="str">
            <v/>
          </cell>
          <cell r="S543" t="str">
            <v/>
          </cell>
          <cell r="T543" t="str">
            <v/>
          </cell>
          <cell r="U543" t="str">
            <v/>
          </cell>
          <cell r="V543" t="str">
            <v>N52</v>
          </cell>
          <cell r="W543" t="str">
            <v/>
          </cell>
          <cell r="X543" t="str">
            <v/>
          </cell>
          <cell r="Y543" t="str">
            <v/>
          </cell>
          <cell r="Z543" t="str">
            <v/>
          </cell>
          <cell r="AA543" t="str">
            <v/>
          </cell>
          <cell r="AB543" t="str">
            <v>PA_4320032-CC.7004-3</v>
          </cell>
          <cell r="AC543">
            <v>1</v>
          </cell>
          <cell r="AD543" t="str">
            <v/>
          </cell>
          <cell r="AE543">
            <v>0</v>
          </cell>
          <cell r="AF543" t="str">
            <v/>
          </cell>
          <cell r="AG543" t="str">
            <v>12536679</v>
          </cell>
          <cell r="AH543">
            <v>44656.924409722225</v>
          </cell>
          <cell r="AI543" t="str">
            <v>N52</v>
          </cell>
          <cell r="AJ543" t="str">
            <v>F</v>
          </cell>
          <cell r="AK543" t="str">
            <v/>
          </cell>
        </row>
        <row r="544">
          <cell r="A544" t="str">
            <v>12536679829052</v>
          </cell>
          <cell r="B544" t="e">
            <v>#N/A</v>
          </cell>
          <cell r="C544">
            <v>8</v>
          </cell>
          <cell r="D544" t="str">
            <v>EK65</v>
          </cell>
          <cell r="E544" t="str">
            <v>541814</v>
          </cell>
          <cell r="F544" t="str">
            <v>E</v>
          </cell>
          <cell r="G544" t="str">
            <v>12536679</v>
          </cell>
          <cell r="H544" t="str">
            <v>Abdichtung sp.g.</v>
          </cell>
          <cell r="I544">
            <v>186</v>
          </cell>
          <cell r="J544" t="str">
            <v>Stk</v>
          </cell>
          <cell r="K544">
            <v>45349</v>
          </cell>
          <cell r="L544" t="str">
            <v>829052</v>
          </cell>
          <cell r="M544" t="str">
            <v/>
          </cell>
          <cell r="N544" t="str">
            <v/>
          </cell>
          <cell r="O544" t="str">
            <v/>
          </cell>
          <cell r="P544" t="str">
            <v/>
          </cell>
          <cell r="Q544" t="str">
            <v/>
          </cell>
          <cell r="R544" t="str">
            <v/>
          </cell>
          <cell r="S544" t="str">
            <v/>
          </cell>
          <cell r="T544" t="str">
            <v/>
          </cell>
          <cell r="U544" t="str">
            <v/>
          </cell>
          <cell r="V544" t="str">
            <v>N52</v>
          </cell>
          <cell r="W544" t="str">
            <v/>
          </cell>
          <cell r="X544" t="str">
            <v/>
          </cell>
          <cell r="Y544" t="str">
            <v/>
          </cell>
          <cell r="Z544" t="str">
            <v/>
          </cell>
          <cell r="AA544" t="str">
            <v/>
          </cell>
          <cell r="AB544" t="str">
            <v>PA_4320032-CC.7004-3</v>
          </cell>
          <cell r="AC544">
            <v>1</v>
          </cell>
          <cell r="AD544" t="str">
            <v/>
          </cell>
          <cell r="AE544">
            <v>0</v>
          </cell>
          <cell r="AF544" t="str">
            <v/>
          </cell>
          <cell r="AG544" t="str">
            <v>12536679</v>
          </cell>
          <cell r="AH544">
            <v>44656.924409722225</v>
          </cell>
          <cell r="AI544" t="str">
            <v>N52</v>
          </cell>
          <cell r="AJ544" t="str">
            <v>F</v>
          </cell>
          <cell r="AK544" t="str">
            <v/>
          </cell>
        </row>
        <row r="545">
          <cell r="A545" t="str">
            <v>12546253829051</v>
          </cell>
          <cell r="B545" t="e">
            <v>#N/A</v>
          </cell>
          <cell r="C545">
            <v>12</v>
          </cell>
          <cell r="D545" t="str">
            <v>EK65</v>
          </cell>
          <cell r="E545" t="str">
            <v>541816</v>
          </cell>
          <cell r="F545" t="str">
            <v>E</v>
          </cell>
          <cell r="G545" t="str">
            <v>12546253</v>
          </cell>
          <cell r="H545" t="str">
            <v>Halter</v>
          </cell>
          <cell r="I545">
            <v>360</v>
          </cell>
          <cell r="J545" t="str">
            <v>Stk</v>
          </cell>
          <cell r="K545">
            <v>45322</v>
          </cell>
          <cell r="L545" t="str">
            <v>829051</v>
          </cell>
          <cell r="M545" t="str">
            <v/>
          </cell>
          <cell r="N545" t="str">
            <v/>
          </cell>
          <cell r="O545" t="str">
            <v/>
          </cell>
          <cell r="P545" t="str">
            <v/>
          </cell>
          <cell r="Q545" t="str">
            <v/>
          </cell>
          <cell r="R545" t="str">
            <v/>
          </cell>
          <cell r="S545" t="str">
            <v/>
          </cell>
          <cell r="T545" t="str">
            <v/>
          </cell>
          <cell r="U545" t="str">
            <v/>
          </cell>
          <cell r="V545" t="str">
            <v>N52</v>
          </cell>
          <cell r="W545" t="str">
            <v/>
          </cell>
          <cell r="X545" t="str">
            <v/>
          </cell>
          <cell r="Y545" t="str">
            <v/>
          </cell>
          <cell r="Z545" t="str">
            <v/>
          </cell>
          <cell r="AA545" t="str">
            <v/>
          </cell>
          <cell r="AB545" t="str">
            <v>PA_4487692-UA.7004-3</v>
          </cell>
          <cell r="AC545">
            <v>1</v>
          </cell>
          <cell r="AD545" t="str">
            <v/>
          </cell>
          <cell r="AE545">
            <v>0</v>
          </cell>
          <cell r="AF545" t="str">
            <v/>
          </cell>
          <cell r="AG545" t="str">
            <v>12546253</v>
          </cell>
          <cell r="AH545">
            <v>44656.924664351849</v>
          </cell>
          <cell r="AI545" t="str">
            <v>N52</v>
          </cell>
          <cell r="AJ545" t="str">
            <v>F</v>
          </cell>
          <cell r="AK545" t="str">
            <v/>
          </cell>
        </row>
        <row r="546">
          <cell r="A546" t="str">
            <v>12546253829052</v>
          </cell>
          <cell r="B546" t="str">
            <v>BL20230413-2</v>
          </cell>
          <cell r="C546">
            <v>12</v>
          </cell>
          <cell r="D546" t="str">
            <v>EK65</v>
          </cell>
          <cell r="E546" t="str">
            <v>541817</v>
          </cell>
          <cell r="F546" t="str">
            <v>E</v>
          </cell>
          <cell r="G546" t="str">
            <v>12546253</v>
          </cell>
          <cell r="H546" t="str">
            <v>Halter</v>
          </cell>
          <cell r="I546">
            <v>124</v>
          </cell>
          <cell r="J546" t="str">
            <v>Stk</v>
          </cell>
          <cell r="K546">
            <v>45345</v>
          </cell>
          <cell r="L546" t="str">
            <v>829052</v>
          </cell>
          <cell r="M546" t="str">
            <v/>
          </cell>
          <cell r="N546" t="str">
            <v/>
          </cell>
          <cell r="O546" t="str">
            <v/>
          </cell>
          <cell r="P546" t="str">
            <v/>
          </cell>
          <cell r="Q546" t="str">
            <v/>
          </cell>
          <cell r="R546" t="str">
            <v/>
          </cell>
          <cell r="S546" t="str">
            <v/>
          </cell>
          <cell r="T546" t="str">
            <v/>
          </cell>
          <cell r="U546" t="str">
            <v/>
          </cell>
          <cell r="V546" t="str">
            <v>N52</v>
          </cell>
          <cell r="W546" t="str">
            <v/>
          </cell>
          <cell r="X546" t="str">
            <v/>
          </cell>
          <cell r="Y546" t="str">
            <v/>
          </cell>
          <cell r="Z546" t="str">
            <v/>
          </cell>
          <cell r="AA546" t="str">
            <v/>
          </cell>
          <cell r="AB546" t="str">
            <v>PA_4487692-UA.7004-3</v>
          </cell>
          <cell r="AC546">
            <v>1</v>
          </cell>
          <cell r="AD546" t="str">
            <v/>
          </cell>
          <cell r="AE546">
            <v>0</v>
          </cell>
          <cell r="AF546" t="str">
            <v/>
          </cell>
          <cell r="AG546" t="str">
            <v>12546253</v>
          </cell>
          <cell r="AH546">
            <v>44656.924664351849</v>
          </cell>
          <cell r="AI546" t="str">
            <v>N52</v>
          </cell>
          <cell r="AJ546" t="str">
            <v>F</v>
          </cell>
          <cell r="AK546" t="str">
            <v/>
          </cell>
        </row>
        <row r="547">
          <cell r="A547" t="str">
            <v>12546258829051</v>
          </cell>
          <cell r="B547" t="e">
            <v>#N/A</v>
          </cell>
          <cell r="C547">
            <v>12</v>
          </cell>
          <cell r="D547" t="str">
            <v>EK65</v>
          </cell>
          <cell r="E547" t="str">
            <v>541818</v>
          </cell>
          <cell r="F547" t="str">
            <v>E</v>
          </cell>
          <cell r="G547" t="str">
            <v>12546258</v>
          </cell>
          <cell r="H547" t="str">
            <v>Halter</v>
          </cell>
          <cell r="I547">
            <v>90</v>
          </cell>
          <cell r="J547" t="str">
            <v>Stk</v>
          </cell>
          <cell r="K547">
            <v>45322</v>
          </cell>
          <cell r="L547" t="str">
            <v>829051</v>
          </cell>
          <cell r="M547" t="str">
            <v/>
          </cell>
          <cell r="N547" t="str">
            <v/>
          </cell>
          <cell r="O547" t="str">
            <v/>
          </cell>
          <cell r="P547" t="str">
            <v/>
          </cell>
          <cell r="Q547" t="str">
            <v/>
          </cell>
          <cell r="R547" t="str">
            <v/>
          </cell>
          <cell r="S547" t="str">
            <v/>
          </cell>
          <cell r="T547" t="str">
            <v/>
          </cell>
          <cell r="U547" t="str">
            <v/>
          </cell>
          <cell r="V547" t="str">
            <v>N52</v>
          </cell>
          <cell r="W547" t="str">
            <v/>
          </cell>
          <cell r="X547" t="str">
            <v/>
          </cell>
          <cell r="Y547" t="str">
            <v/>
          </cell>
          <cell r="Z547" t="str">
            <v/>
          </cell>
          <cell r="AA547" t="str">
            <v/>
          </cell>
          <cell r="AB547" t="str">
            <v>PA_4490478-UA.7004-3</v>
          </cell>
          <cell r="AC547">
            <v>1</v>
          </cell>
          <cell r="AD547" t="str">
            <v/>
          </cell>
          <cell r="AE547">
            <v>0</v>
          </cell>
          <cell r="AF547" t="str">
            <v/>
          </cell>
          <cell r="AG547" t="str">
            <v>12546258</v>
          </cell>
          <cell r="AH547">
            <v>44656.924699074072</v>
          </cell>
          <cell r="AI547" t="str">
            <v>N52</v>
          </cell>
          <cell r="AJ547" t="str">
            <v>F</v>
          </cell>
          <cell r="AK547" t="str">
            <v/>
          </cell>
        </row>
        <row r="548">
          <cell r="A548" t="str">
            <v>12546258829052</v>
          </cell>
          <cell r="B548" t="str">
            <v>BL20230413-2</v>
          </cell>
          <cell r="C548">
            <v>12</v>
          </cell>
          <cell r="D548" t="str">
            <v>EK65</v>
          </cell>
          <cell r="E548" t="str">
            <v>541819</v>
          </cell>
          <cell r="F548" t="str">
            <v>E</v>
          </cell>
          <cell r="G548" t="str">
            <v>12546258</v>
          </cell>
          <cell r="H548" t="str">
            <v>Halter</v>
          </cell>
          <cell r="I548">
            <v>31</v>
          </cell>
          <cell r="J548" t="str">
            <v>Stk</v>
          </cell>
          <cell r="K548">
            <v>45345</v>
          </cell>
          <cell r="L548" t="str">
            <v>829052</v>
          </cell>
          <cell r="M548" t="str">
            <v/>
          </cell>
          <cell r="N548" t="str">
            <v/>
          </cell>
          <cell r="O548" t="str">
            <v/>
          </cell>
          <cell r="P548" t="str">
            <v/>
          </cell>
          <cell r="Q548" t="str">
            <v/>
          </cell>
          <cell r="R548" t="str">
            <v/>
          </cell>
          <cell r="S548" t="str">
            <v/>
          </cell>
          <cell r="T548" t="str">
            <v/>
          </cell>
          <cell r="U548" t="str">
            <v/>
          </cell>
          <cell r="V548" t="str">
            <v>N52</v>
          </cell>
          <cell r="W548" t="str">
            <v/>
          </cell>
          <cell r="X548" t="str">
            <v/>
          </cell>
          <cell r="Y548" t="str">
            <v/>
          </cell>
          <cell r="Z548" t="str">
            <v/>
          </cell>
          <cell r="AA548" t="str">
            <v/>
          </cell>
          <cell r="AB548" t="str">
            <v>PA_4490478-UA.7004-3</v>
          </cell>
          <cell r="AC548">
            <v>1</v>
          </cell>
          <cell r="AD548" t="str">
            <v/>
          </cell>
          <cell r="AE548">
            <v>0</v>
          </cell>
          <cell r="AF548" t="str">
            <v/>
          </cell>
          <cell r="AG548" t="str">
            <v>12546258</v>
          </cell>
          <cell r="AH548">
            <v>44656.924699074072</v>
          </cell>
          <cell r="AI548" t="str">
            <v>N52</v>
          </cell>
          <cell r="AJ548" t="str">
            <v>F</v>
          </cell>
          <cell r="AK548" t="str">
            <v/>
          </cell>
        </row>
        <row r="549">
          <cell r="A549" t="str">
            <v>12546271829051</v>
          </cell>
          <cell r="B549" t="e">
            <v>#N/A</v>
          </cell>
          <cell r="C549">
            <v>12</v>
          </cell>
          <cell r="D549" t="str">
            <v>EK65</v>
          </cell>
          <cell r="E549" t="str">
            <v>541820</v>
          </cell>
          <cell r="F549" t="str">
            <v>E</v>
          </cell>
          <cell r="G549" t="str">
            <v>12546271</v>
          </cell>
          <cell r="H549" t="str">
            <v>Halter</v>
          </cell>
          <cell r="I549">
            <v>90</v>
          </cell>
          <cell r="J549" t="str">
            <v>Stk</v>
          </cell>
          <cell r="K549">
            <v>45322</v>
          </cell>
          <cell r="L549" t="str">
            <v>829051</v>
          </cell>
          <cell r="M549" t="str">
            <v/>
          </cell>
          <cell r="N549" t="str">
            <v/>
          </cell>
          <cell r="O549" t="str">
            <v/>
          </cell>
          <cell r="P549" t="str">
            <v/>
          </cell>
          <cell r="Q549" t="str">
            <v/>
          </cell>
          <cell r="R549" t="str">
            <v/>
          </cell>
          <cell r="S549" t="str">
            <v/>
          </cell>
          <cell r="T549" t="str">
            <v/>
          </cell>
          <cell r="U549" t="str">
            <v/>
          </cell>
          <cell r="V549" t="str">
            <v>N52</v>
          </cell>
          <cell r="W549" t="str">
            <v/>
          </cell>
          <cell r="X549" t="str">
            <v/>
          </cell>
          <cell r="Y549" t="str">
            <v/>
          </cell>
          <cell r="Z549" t="str">
            <v/>
          </cell>
          <cell r="AA549" t="str">
            <v/>
          </cell>
          <cell r="AB549" t="str">
            <v>PA_4610691-UA.7004-3</v>
          </cell>
          <cell r="AC549">
            <v>1</v>
          </cell>
          <cell r="AD549" t="str">
            <v/>
          </cell>
          <cell r="AE549">
            <v>0</v>
          </cell>
          <cell r="AF549" t="str">
            <v/>
          </cell>
          <cell r="AG549" t="str">
            <v>12546271</v>
          </cell>
          <cell r="AH549">
            <v>44656.924733796295</v>
          </cell>
          <cell r="AI549" t="str">
            <v>N52</v>
          </cell>
          <cell r="AJ549" t="str">
            <v>F</v>
          </cell>
          <cell r="AK549" t="str">
            <v/>
          </cell>
        </row>
        <row r="550">
          <cell r="A550" t="str">
            <v>12546271829052</v>
          </cell>
          <cell r="B550" t="str">
            <v>BL20230413-2</v>
          </cell>
          <cell r="C550">
            <v>12</v>
          </cell>
          <cell r="D550" t="str">
            <v>EK65</v>
          </cell>
          <cell r="E550" t="str">
            <v>541821</v>
          </cell>
          <cell r="F550" t="str">
            <v>E</v>
          </cell>
          <cell r="G550" t="str">
            <v>12546271</v>
          </cell>
          <cell r="H550" t="str">
            <v>Halter</v>
          </cell>
          <cell r="I550">
            <v>31</v>
          </cell>
          <cell r="J550" t="str">
            <v>Stk</v>
          </cell>
          <cell r="K550">
            <v>45345</v>
          </cell>
          <cell r="L550" t="str">
            <v>829052</v>
          </cell>
          <cell r="M550" t="str">
            <v/>
          </cell>
          <cell r="N550" t="str">
            <v/>
          </cell>
          <cell r="O550" t="str">
            <v/>
          </cell>
          <cell r="P550" t="str">
            <v/>
          </cell>
          <cell r="Q550" t="str">
            <v/>
          </cell>
          <cell r="R550" t="str">
            <v/>
          </cell>
          <cell r="S550" t="str">
            <v/>
          </cell>
          <cell r="T550" t="str">
            <v/>
          </cell>
          <cell r="U550" t="str">
            <v/>
          </cell>
          <cell r="V550" t="str">
            <v>N52</v>
          </cell>
          <cell r="W550" t="str">
            <v/>
          </cell>
          <cell r="X550" t="str">
            <v/>
          </cell>
          <cell r="Y550" t="str">
            <v/>
          </cell>
          <cell r="Z550" t="str">
            <v/>
          </cell>
          <cell r="AA550" t="str">
            <v/>
          </cell>
          <cell r="AB550" t="str">
            <v>PA_4610691-UA.7004-3</v>
          </cell>
          <cell r="AC550">
            <v>1</v>
          </cell>
          <cell r="AD550" t="str">
            <v/>
          </cell>
          <cell r="AE550">
            <v>0</v>
          </cell>
          <cell r="AF550" t="str">
            <v/>
          </cell>
          <cell r="AG550" t="str">
            <v>12546271</v>
          </cell>
          <cell r="AH550">
            <v>44656.924733796295</v>
          </cell>
          <cell r="AI550" t="str">
            <v>N52</v>
          </cell>
          <cell r="AJ550" t="str">
            <v>F</v>
          </cell>
          <cell r="AK550" t="str">
            <v/>
          </cell>
        </row>
        <row r="551">
          <cell r="A551" t="str">
            <v>12546283829051</v>
          </cell>
          <cell r="B551" t="e">
            <v>#N/A</v>
          </cell>
          <cell r="C551">
            <v>12</v>
          </cell>
          <cell r="D551" t="str">
            <v>EK65</v>
          </cell>
          <cell r="E551" t="str">
            <v>541822</v>
          </cell>
          <cell r="F551" t="str">
            <v>E</v>
          </cell>
          <cell r="G551" t="str">
            <v>12546283</v>
          </cell>
          <cell r="H551" t="str">
            <v>Unterlagscheibe</v>
          </cell>
          <cell r="I551">
            <v>358</v>
          </cell>
          <cell r="J551" t="str">
            <v>Stk</v>
          </cell>
          <cell r="K551">
            <v>45322</v>
          </cell>
          <cell r="L551" t="str">
            <v>829051</v>
          </cell>
          <cell r="M551" t="str">
            <v/>
          </cell>
          <cell r="N551" t="str">
            <v/>
          </cell>
          <cell r="O551" t="str">
            <v/>
          </cell>
          <cell r="P551" t="str">
            <v/>
          </cell>
          <cell r="Q551" t="str">
            <v/>
          </cell>
          <cell r="R551" t="str">
            <v/>
          </cell>
          <cell r="S551" t="str">
            <v/>
          </cell>
          <cell r="T551" t="str">
            <v/>
          </cell>
          <cell r="U551" t="str">
            <v/>
          </cell>
          <cell r="V551" t="str">
            <v>N52</v>
          </cell>
          <cell r="W551" t="str">
            <v/>
          </cell>
          <cell r="X551" t="str">
            <v/>
          </cell>
          <cell r="Y551" t="str">
            <v/>
          </cell>
          <cell r="Z551" t="str">
            <v/>
          </cell>
          <cell r="AA551" t="str">
            <v/>
          </cell>
          <cell r="AB551" t="str">
            <v>PA_4611508-UA.7004-4</v>
          </cell>
          <cell r="AC551">
            <v>1</v>
          </cell>
          <cell r="AD551" t="str">
            <v/>
          </cell>
          <cell r="AE551">
            <v>0</v>
          </cell>
          <cell r="AF551" t="str">
            <v/>
          </cell>
          <cell r="AG551" t="str">
            <v>12546283</v>
          </cell>
          <cell r="AH551">
            <v>44656.924768518518</v>
          </cell>
          <cell r="AI551" t="str">
            <v>N52</v>
          </cell>
          <cell r="AJ551" t="str">
            <v>F</v>
          </cell>
          <cell r="AK551" t="str">
            <v/>
          </cell>
        </row>
        <row r="552">
          <cell r="A552" t="str">
            <v>12546283829052</v>
          </cell>
          <cell r="B552" t="str">
            <v>BL20230413-2</v>
          </cell>
          <cell r="C552">
            <v>12</v>
          </cell>
          <cell r="D552" t="str">
            <v>EK65</v>
          </cell>
          <cell r="E552" t="str">
            <v>541823</v>
          </cell>
          <cell r="F552" t="str">
            <v>E</v>
          </cell>
          <cell r="G552" t="str">
            <v>12546283</v>
          </cell>
          <cell r="H552" t="str">
            <v>Unterlagscheibe</v>
          </cell>
          <cell r="I552">
            <v>124</v>
          </cell>
          <cell r="J552" t="str">
            <v>Stk</v>
          </cell>
          <cell r="K552">
            <v>45345</v>
          </cell>
          <cell r="L552" t="str">
            <v>829052</v>
          </cell>
          <cell r="M552" t="str">
            <v/>
          </cell>
          <cell r="N552" t="str">
            <v/>
          </cell>
          <cell r="O552" t="str">
            <v/>
          </cell>
          <cell r="P552" t="str">
            <v/>
          </cell>
          <cell r="Q552" t="str">
            <v/>
          </cell>
          <cell r="R552" t="str">
            <v/>
          </cell>
          <cell r="S552" t="str">
            <v/>
          </cell>
          <cell r="T552" t="str">
            <v/>
          </cell>
          <cell r="U552" t="str">
            <v/>
          </cell>
          <cell r="V552" t="str">
            <v>N52</v>
          </cell>
          <cell r="W552" t="str">
            <v/>
          </cell>
          <cell r="X552" t="str">
            <v/>
          </cell>
          <cell r="Y552" t="str">
            <v/>
          </cell>
          <cell r="Z552" t="str">
            <v/>
          </cell>
          <cell r="AA552" t="str">
            <v/>
          </cell>
          <cell r="AB552" t="str">
            <v>PA_4611508-UA.7004-4</v>
          </cell>
          <cell r="AC552">
            <v>1</v>
          </cell>
          <cell r="AD552" t="str">
            <v/>
          </cell>
          <cell r="AE552">
            <v>0</v>
          </cell>
          <cell r="AF552" t="str">
            <v/>
          </cell>
          <cell r="AG552" t="str">
            <v>12546283</v>
          </cell>
          <cell r="AH552">
            <v>44656.924768518518</v>
          </cell>
          <cell r="AI552" t="str">
            <v>N52</v>
          </cell>
          <cell r="AJ552" t="str">
            <v>F</v>
          </cell>
          <cell r="AK552" t="str">
            <v/>
          </cell>
        </row>
        <row r="553">
          <cell r="A553" t="str">
            <v>12548032829051</v>
          </cell>
          <cell r="B553" t="e">
            <v>#N/A</v>
          </cell>
          <cell r="C553">
            <v>10</v>
          </cell>
          <cell r="D553" t="str">
            <v>EK65</v>
          </cell>
          <cell r="E553" t="str">
            <v>541824</v>
          </cell>
          <cell r="F553" t="str">
            <v>E</v>
          </cell>
          <cell r="G553" t="str">
            <v>12548032</v>
          </cell>
          <cell r="H553" t="str">
            <v>Halter</v>
          </cell>
          <cell r="I553">
            <v>91</v>
          </cell>
          <cell r="J553" t="str">
            <v>Stk</v>
          </cell>
          <cell r="K553">
            <v>45315</v>
          </cell>
          <cell r="L553" t="str">
            <v>829051</v>
          </cell>
          <cell r="M553" t="str">
            <v/>
          </cell>
          <cell r="N553" t="str">
            <v/>
          </cell>
          <cell r="O553" t="str">
            <v/>
          </cell>
          <cell r="P553" t="str">
            <v/>
          </cell>
          <cell r="Q553" t="str">
            <v/>
          </cell>
          <cell r="R553" t="str">
            <v/>
          </cell>
          <cell r="S553" t="str">
            <v/>
          </cell>
          <cell r="T553" t="str">
            <v/>
          </cell>
          <cell r="U553" t="str">
            <v/>
          </cell>
          <cell r="V553" t="str">
            <v>N52</v>
          </cell>
          <cell r="W553" t="str">
            <v/>
          </cell>
          <cell r="X553" t="str">
            <v/>
          </cell>
          <cell r="Y553" t="str">
            <v/>
          </cell>
          <cell r="Z553" t="str">
            <v/>
          </cell>
          <cell r="AA553" t="str">
            <v/>
          </cell>
          <cell r="AB553" t="str">
            <v>PA_4695186-UA.7004-1</v>
          </cell>
          <cell r="AC553">
            <v>1</v>
          </cell>
          <cell r="AD553" t="str">
            <v/>
          </cell>
          <cell r="AE553">
            <v>0</v>
          </cell>
          <cell r="AF553" t="str">
            <v/>
          </cell>
          <cell r="AG553" t="str">
            <v>12548032</v>
          </cell>
          <cell r="AH553">
            <v>44656.924814814818</v>
          </cell>
          <cell r="AI553" t="str">
            <v>N52</v>
          </cell>
          <cell r="AJ553" t="str">
            <v>F</v>
          </cell>
          <cell r="AK553" t="str">
            <v/>
          </cell>
        </row>
        <row r="554">
          <cell r="A554" t="str">
            <v>12548032829052</v>
          </cell>
          <cell r="B554" t="str">
            <v>BL20230413-2</v>
          </cell>
          <cell r="C554">
            <v>10</v>
          </cell>
          <cell r="D554" t="str">
            <v>EK65</v>
          </cell>
          <cell r="E554" t="str">
            <v>541825</v>
          </cell>
          <cell r="F554" t="str">
            <v>E</v>
          </cell>
          <cell r="G554" t="str">
            <v>12548032</v>
          </cell>
          <cell r="H554" t="str">
            <v>Halter</v>
          </cell>
          <cell r="I554">
            <v>31</v>
          </cell>
          <cell r="J554" t="str">
            <v>Stk</v>
          </cell>
          <cell r="K554">
            <v>45345</v>
          </cell>
          <cell r="L554" t="str">
            <v>829052</v>
          </cell>
          <cell r="M554" t="str">
            <v/>
          </cell>
          <cell r="N554" t="str">
            <v/>
          </cell>
          <cell r="O554" t="str">
            <v/>
          </cell>
          <cell r="P554" t="str">
            <v/>
          </cell>
          <cell r="Q554" t="str">
            <v/>
          </cell>
          <cell r="R554" t="str">
            <v/>
          </cell>
          <cell r="S554" t="str">
            <v/>
          </cell>
          <cell r="T554" t="str">
            <v/>
          </cell>
          <cell r="U554" t="str">
            <v/>
          </cell>
          <cell r="V554" t="str">
            <v>N52</v>
          </cell>
          <cell r="W554" t="str">
            <v/>
          </cell>
          <cell r="X554" t="str">
            <v/>
          </cell>
          <cell r="Y554" t="str">
            <v/>
          </cell>
          <cell r="Z554" t="str">
            <v/>
          </cell>
          <cell r="AA554" t="str">
            <v/>
          </cell>
          <cell r="AB554" t="str">
            <v>PA_4695186-UA.7004-1</v>
          </cell>
          <cell r="AC554">
            <v>1</v>
          </cell>
          <cell r="AD554" t="str">
            <v/>
          </cell>
          <cell r="AE554">
            <v>0</v>
          </cell>
          <cell r="AF554" t="str">
            <v/>
          </cell>
          <cell r="AG554" t="str">
            <v>12548032</v>
          </cell>
          <cell r="AH554">
            <v>44656.924814814818</v>
          </cell>
          <cell r="AI554" t="str">
            <v>N52</v>
          </cell>
          <cell r="AJ554" t="str">
            <v>F</v>
          </cell>
          <cell r="AK554" t="str">
            <v/>
          </cell>
        </row>
        <row r="555">
          <cell r="A555" t="str">
            <v>12508738829051</v>
          </cell>
          <cell r="B555" t="e">
            <v>#N/A</v>
          </cell>
          <cell r="C555">
            <v>28</v>
          </cell>
          <cell r="D555" t="str">
            <v>EK65</v>
          </cell>
          <cell r="E555" t="str">
            <v>541878</v>
          </cell>
          <cell r="F555" t="str">
            <v>E</v>
          </cell>
          <cell r="G555" t="str">
            <v>12508738</v>
          </cell>
          <cell r="H555" t="str">
            <v>Halter Ueberstroemventil</v>
          </cell>
          <cell r="I555">
            <v>89</v>
          </cell>
          <cell r="J555" t="str">
            <v>Stk</v>
          </cell>
          <cell r="K555">
            <v>45330</v>
          </cell>
          <cell r="L555" t="str">
            <v>829051</v>
          </cell>
          <cell r="M555" t="str">
            <v/>
          </cell>
          <cell r="N555" t="str">
            <v/>
          </cell>
          <cell r="O555" t="str">
            <v/>
          </cell>
          <cell r="P555" t="str">
            <v/>
          </cell>
          <cell r="Q555" t="str">
            <v/>
          </cell>
          <cell r="R555" t="str">
            <v/>
          </cell>
          <cell r="S555" t="str">
            <v/>
          </cell>
          <cell r="T555" t="str">
            <v/>
          </cell>
          <cell r="U555" t="str">
            <v/>
          </cell>
          <cell r="V555" t="str">
            <v>N52</v>
          </cell>
          <cell r="W555" t="str">
            <v/>
          </cell>
          <cell r="X555" t="str">
            <v/>
          </cell>
          <cell r="Y555" t="str">
            <v/>
          </cell>
          <cell r="Z555" t="str">
            <v/>
          </cell>
          <cell r="AA555" t="str">
            <v/>
          </cell>
          <cell r="AB555" t="str">
            <v>PA_2343520-QE.7005-3</v>
          </cell>
          <cell r="AC555">
            <v>1</v>
          </cell>
          <cell r="AD555" t="str">
            <v/>
          </cell>
          <cell r="AE555">
            <v>0</v>
          </cell>
          <cell r="AF555" t="str">
            <v/>
          </cell>
          <cell r="AG555" t="str">
            <v>12508738</v>
          </cell>
          <cell r="AH555">
            <v>44656.943020833336</v>
          </cell>
          <cell r="AI555" t="str">
            <v>N52</v>
          </cell>
          <cell r="AJ555" t="str">
            <v>F</v>
          </cell>
          <cell r="AK555" t="str">
            <v/>
          </cell>
        </row>
        <row r="556">
          <cell r="A556" t="str">
            <v>12518621829051</v>
          </cell>
          <cell r="B556" t="e">
            <v>#N/A</v>
          </cell>
          <cell r="C556">
            <v>24</v>
          </cell>
          <cell r="D556" t="str">
            <v>EK65</v>
          </cell>
          <cell r="E556" t="str">
            <v>541924</v>
          </cell>
          <cell r="F556" t="str">
            <v>E</v>
          </cell>
          <cell r="G556" t="str">
            <v>12518621</v>
          </cell>
          <cell r="H556" t="str">
            <v>Halter fuer Rohrschelle</v>
          </cell>
          <cell r="I556">
            <v>271</v>
          </cell>
          <cell r="J556" t="str">
            <v>Stk</v>
          </cell>
          <cell r="K556">
            <v>45317</v>
          </cell>
          <cell r="L556" t="str">
            <v>829051</v>
          </cell>
          <cell r="M556" t="str">
            <v/>
          </cell>
          <cell r="N556" t="str">
            <v/>
          </cell>
          <cell r="O556" t="str">
            <v/>
          </cell>
          <cell r="P556" t="str">
            <v/>
          </cell>
          <cell r="Q556" t="str">
            <v/>
          </cell>
          <cell r="R556" t="str">
            <v/>
          </cell>
          <cell r="S556" t="str">
            <v/>
          </cell>
          <cell r="T556" t="str">
            <v/>
          </cell>
          <cell r="U556" t="str">
            <v/>
          </cell>
          <cell r="V556" t="str">
            <v>N52</v>
          </cell>
          <cell r="W556" t="str">
            <v/>
          </cell>
          <cell r="X556" t="str">
            <v/>
          </cell>
          <cell r="Y556" t="str">
            <v/>
          </cell>
          <cell r="Z556" t="str">
            <v/>
          </cell>
          <cell r="AA556" t="str">
            <v/>
          </cell>
          <cell r="AB556" t="str">
            <v>PA_4367602-QE.7005-3</v>
          </cell>
          <cell r="AC556">
            <v>1</v>
          </cell>
          <cell r="AD556" t="str">
            <v/>
          </cell>
          <cell r="AE556">
            <v>0</v>
          </cell>
          <cell r="AF556" t="str">
            <v/>
          </cell>
          <cell r="AG556" t="str">
            <v>12518621</v>
          </cell>
          <cell r="AH556">
            <v>44656.943796296298</v>
          </cell>
          <cell r="AI556" t="str">
            <v>N52</v>
          </cell>
          <cell r="AJ556" t="str">
            <v>F</v>
          </cell>
          <cell r="AK556" t="str">
            <v/>
          </cell>
        </row>
        <row r="557">
          <cell r="A557" t="str">
            <v>12518621829052</v>
          </cell>
          <cell r="B557" t="e">
            <v>#N/A</v>
          </cell>
          <cell r="C557">
            <v>24</v>
          </cell>
          <cell r="D557" t="str">
            <v>EK65</v>
          </cell>
          <cell r="E557" t="str">
            <v>541925</v>
          </cell>
          <cell r="F557" t="str">
            <v>E</v>
          </cell>
          <cell r="G557" t="str">
            <v>12518621</v>
          </cell>
          <cell r="H557" t="str">
            <v>Halter fuer Rohrschelle</v>
          </cell>
          <cell r="I557">
            <v>185</v>
          </cell>
          <cell r="J557" t="str">
            <v>Stk</v>
          </cell>
          <cell r="K557">
            <v>45350</v>
          </cell>
          <cell r="L557" t="str">
            <v>829052</v>
          </cell>
          <cell r="M557" t="str">
            <v/>
          </cell>
          <cell r="N557" t="str">
            <v/>
          </cell>
          <cell r="O557" t="str">
            <v/>
          </cell>
          <cell r="P557" t="str">
            <v/>
          </cell>
          <cell r="Q557" t="str">
            <v/>
          </cell>
          <cell r="R557" t="str">
            <v/>
          </cell>
          <cell r="S557" t="str">
            <v/>
          </cell>
          <cell r="T557" t="str">
            <v/>
          </cell>
          <cell r="U557" t="str">
            <v/>
          </cell>
          <cell r="V557" t="str">
            <v>N52</v>
          </cell>
          <cell r="W557" t="str">
            <v/>
          </cell>
          <cell r="X557" t="str">
            <v/>
          </cell>
          <cell r="Y557" t="str">
            <v/>
          </cell>
          <cell r="Z557" t="str">
            <v/>
          </cell>
          <cell r="AA557" t="str">
            <v/>
          </cell>
          <cell r="AB557" t="str">
            <v>PA_4367602-QE.7005-3</v>
          </cell>
          <cell r="AC557">
            <v>1</v>
          </cell>
          <cell r="AD557" t="str">
            <v/>
          </cell>
          <cell r="AE557">
            <v>0</v>
          </cell>
          <cell r="AF557" t="str">
            <v/>
          </cell>
          <cell r="AG557" t="str">
            <v>12518621</v>
          </cell>
          <cell r="AH557">
            <v>44656.943796296298</v>
          </cell>
          <cell r="AI557" t="str">
            <v>N52</v>
          </cell>
          <cell r="AJ557" t="str">
            <v>F</v>
          </cell>
          <cell r="AK557" t="str">
            <v/>
          </cell>
        </row>
        <row r="558">
          <cell r="A558" t="str">
            <v>12531151829054</v>
          </cell>
          <cell r="B558" t="e">
            <v>#N/A</v>
          </cell>
          <cell r="C558">
            <v>16</v>
          </cell>
          <cell r="D558" t="str">
            <v>EK65</v>
          </cell>
          <cell r="E558" t="str">
            <v>541945</v>
          </cell>
          <cell r="F558" t="str">
            <v>E</v>
          </cell>
          <cell r="G558" t="str">
            <v>12531151</v>
          </cell>
          <cell r="H558" t="str">
            <v>Dehnhuelse M8</v>
          </cell>
          <cell r="I558">
            <v>275</v>
          </cell>
          <cell r="J558" t="str">
            <v>Stk</v>
          </cell>
          <cell r="K558">
            <v>45155</v>
          </cell>
          <cell r="L558" t="str">
            <v>829054</v>
          </cell>
          <cell r="M558" t="str">
            <v/>
          </cell>
          <cell r="N558" t="str">
            <v/>
          </cell>
          <cell r="O558" t="str">
            <v/>
          </cell>
          <cell r="P558" t="str">
            <v/>
          </cell>
          <cell r="Q558" t="str">
            <v/>
          </cell>
          <cell r="R558" t="str">
            <v/>
          </cell>
          <cell r="S558" t="str">
            <v/>
          </cell>
          <cell r="T558" t="str">
            <v/>
          </cell>
          <cell r="U558" t="str">
            <v>AD22, ID9, L24</v>
          </cell>
          <cell r="V558" t="str">
            <v>N52</v>
          </cell>
          <cell r="W558" t="str">
            <v/>
          </cell>
          <cell r="X558" t="str">
            <v/>
          </cell>
          <cell r="Y558" t="str">
            <v/>
          </cell>
          <cell r="Z558" t="str">
            <v/>
          </cell>
          <cell r="AA558" t="str">
            <v/>
          </cell>
          <cell r="AB558" t="str">
            <v>PA_4601876-QE.7005-4</v>
          </cell>
          <cell r="AC558">
            <v>1</v>
          </cell>
          <cell r="AD558" t="str">
            <v/>
          </cell>
          <cell r="AE558">
            <v>0</v>
          </cell>
          <cell r="AF558" t="str">
            <v/>
          </cell>
          <cell r="AG558" t="str">
            <v>12531151</v>
          </cell>
          <cell r="AH558">
            <v>44656.94458333333</v>
          </cell>
          <cell r="AI558" t="str">
            <v>N52</v>
          </cell>
          <cell r="AJ558" t="str">
            <v>F</v>
          </cell>
          <cell r="AK558" t="str">
            <v/>
          </cell>
        </row>
        <row r="559">
          <cell r="A559" t="str">
            <v>12531151829052</v>
          </cell>
          <cell r="B559" t="e">
            <v>#N/A</v>
          </cell>
          <cell r="C559">
            <v>16</v>
          </cell>
          <cell r="D559" t="str">
            <v>EK65</v>
          </cell>
          <cell r="E559" t="str">
            <v>541946</v>
          </cell>
          <cell r="F559" t="str">
            <v>E</v>
          </cell>
          <cell r="G559" t="str">
            <v>12531151</v>
          </cell>
          <cell r="H559" t="str">
            <v>Dehnhuelse M8</v>
          </cell>
          <cell r="I559">
            <v>713</v>
          </cell>
          <cell r="J559" t="str">
            <v>Stk</v>
          </cell>
          <cell r="K559">
            <v>45162</v>
          </cell>
          <cell r="L559" t="str">
            <v>829052</v>
          </cell>
          <cell r="M559" t="str">
            <v/>
          </cell>
          <cell r="N559" t="str">
            <v/>
          </cell>
          <cell r="O559" t="str">
            <v/>
          </cell>
          <cell r="P559" t="str">
            <v/>
          </cell>
          <cell r="Q559" t="str">
            <v/>
          </cell>
          <cell r="R559" t="str">
            <v/>
          </cell>
          <cell r="S559" t="str">
            <v/>
          </cell>
          <cell r="T559" t="str">
            <v/>
          </cell>
          <cell r="U559" t="str">
            <v>AD22, ID9, L24</v>
          </cell>
          <cell r="V559" t="str">
            <v>N52</v>
          </cell>
          <cell r="W559" t="str">
            <v/>
          </cell>
          <cell r="X559" t="str">
            <v/>
          </cell>
          <cell r="Y559" t="str">
            <v/>
          </cell>
          <cell r="Z559" t="str">
            <v/>
          </cell>
          <cell r="AA559" t="str">
            <v/>
          </cell>
          <cell r="AB559" t="str">
            <v>PA_4601876-QE.7005-4</v>
          </cell>
          <cell r="AC559">
            <v>1</v>
          </cell>
          <cell r="AD559" t="str">
            <v/>
          </cell>
          <cell r="AE559">
            <v>0</v>
          </cell>
          <cell r="AF559" t="str">
            <v/>
          </cell>
          <cell r="AG559" t="str">
            <v>12531151</v>
          </cell>
          <cell r="AH559">
            <v>44656.94458333333</v>
          </cell>
          <cell r="AI559" t="str">
            <v>N52</v>
          </cell>
          <cell r="AJ559" t="str">
            <v>F</v>
          </cell>
          <cell r="AK559" t="str">
            <v/>
          </cell>
        </row>
        <row r="560">
          <cell r="A560" t="str">
            <v>12560960829051</v>
          </cell>
          <cell r="B560" t="e">
            <v>#N/A</v>
          </cell>
          <cell r="C560">
            <v>7</v>
          </cell>
          <cell r="D560" t="str">
            <v>EK65</v>
          </cell>
          <cell r="E560" t="str">
            <v>542016</v>
          </cell>
          <cell r="F560" t="str">
            <v>E</v>
          </cell>
          <cell r="G560" t="str">
            <v>12560960</v>
          </cell>
          <cell r="H560" t="str">
            <v>Halteblech vollst.</v>
          </cell>
          <cell r="I560">
            <v>90</v>
          </cell>
          <cell r="J560" t="str">
            <v>Stk</v>
          </cell>
          <cell r="K560">
            <v>45322</v>
          </cell>
          <cell r="L560" t="str">
            <v>829051</v>
          </cell>
          <cell r="M560" t="str">
            <v/>
          </cell>
          <cell r="N560" t="str">
            <v/>
          </cell>
          <cell r="O560" t="str">
            <v/>
          </cell>
          <cell r="P560" t="str">
            <v/>
          </cell>
          <cell r="Q560" t="str">
            <v/>
          </cell>
          <cell r="R560" t="str">
            <v/>
          </cell>
          <cell r="S560" t="str">
            <v/>
          </cell>
          <cell r="T560" t="str">
            <v/>
          </cell>
          <cell r="U560" t="str">
            <v/>
          </cell>
          <cell r="V560" t="str">
            <v>N38</v>
          </cell>
          <cell r="W560" t="str">
            <v/>
          </cell>
          <cell r="X560" t="str">
            <v/>
          </cell>
          <cell r="Y560" t="str">
            <v/>
          </cell>
          <cell r="Z560" t="str">
            <v/>
          </cell>
          <cell r="AA560" t="str">
            <v/>
          </cell>
          <cell r="AB560" t="str">
            <v>PA_4535870-TA.7004-3</v>
          </cell>
          <cell r="AC560">
            <v>1</v>
          </cell>
          <cell r="AD560" t="str">
            <v/>
          </cell>
          <cell r="AE560">
            <v>0</v>
          </cell>
          <cell r="AF560" t="str">
            <v/>
          </cell>
          <cell r="AG560" t="str">
            <v>12560960</v>
          </cell>
          <cell r="AH560">
            <v>44656.945960648147</v>
          </cell>
          <cell r="AI560" t="str">
            <v>N38</v>
          </cell>
          <cell r="AJ560" t="str">
            <v>F</v>
          </cell>
          <cell r="AK560" t="str">
            <v/>
          </cell>
        </row>
        <row r="561">
          <cell r="A561" t="str">
            <v>12518475829053</v>
          </cell>
          <cell r="B561" t="str">
            <v>Übergabe Task Force</v>
          </cell>
          <cell r="C561">
            <v>24</v>
          </cell>
          <cell r="D561" t="str">
            <v>EK65</v>
          </cell>
          <cell r="E561" t="str">
            <v>544122</v>
          </cell>
          <cell r="F561" t="str">
            <v>E</v>
          </cell>
          <cell r="G561" t="str">
            <v>12518475</v>
          </cell>
          <cell r="H561" t="str">
            <v>Griffblech E24 kurz</v>
          </cell>
          <cell r="I561">
            <v>2929</v>
          </cell>
          <cell r="J561" t="str">
            <v>Stk</v>
          </cell>
          <cell r="K561">
            <v>45101</v>
          </cell>
          <cell r="L561" t="str">
            <v>829053</v>
          </cell>
          <cell r="M561" t="str">
            <v/>
          </cell>
          <cell r="N561" t="str">
            <v/>
          </cell>
          <cell r="O561" t="str">
            <v/>
          </cell>
          <cell r="P561" t="str">
            <v/>
          </cell>
          <cell r="Q561" t="str">
            <v/>
          </cell>
          <cell r="R561" t="str">
            <v/>
          </cell>
          <cell r="S561" t="str">
            <v/>
          </cell>
          <cell r="T561" t="str">
            <v/>
          </cell>
          <cell r="U561" t="str">
            <v/>
          </cell>
          <cell r="V561" t="str">
            <v>E19</v>
          </cell>
          <cell r="W561" t="str">
            <v/>
          </cell>
          <cell r="X561" t="str">
            <v/>
          </cell>
          <cell r="Y561" t="str">
            <v/>
          </cell>
          <cell r="Z561" t="str">
            <v/>
          </cell>
          <cell r="AA561" t="str">
            <v/>
          </cell>
          <cell r="AB561" t="str">
            <v>PA_4565119-UA.7005-1</v>
          </cell>
          <cell r="AC561">
            <v>1</v>
          </cell>
          <cell r="AD561" t="str">
            <v/>
          </cell>
          <cell r="AE561">
            <v>0</v>
          </cell>
          <cell r="AF561" t="str">
            <v/>
          </cell>
          <cell r="AG561" t="str">
            <v>12518475</v>
          </cell>
          <cell r="AH561">
            <v>44657.916631944441</v>
          </cell>
          <cell r="AI561" t="str">
            <v>E19</v>
          </cell>
          <cell r="AJ561" t="str">
            <v>F</v>
          </cell>
          <cell r="AK561" t="str">
            <v/>
          </cell>
        </row>
        <row r="562">
          <cell r="A562" t="str">
            <v>12505923829054</v>
          </cell>
          <cell r="B562" t="e">
            <v>#N/A</v>
          </cell>
          <cell r="C562">
            <v>6</v>
          </cell>
          <cell r="D562" t="str">
            <v>EK65</v>
          </cell>
          <cell r="E562" t="str">
            <v>544737</v>
          </cell>
          <cell r="F562" t="str">
            <v>E</v>
          </cell>
          <cell r="G562" t="str">
            <v>12505923</v>
          </cell>
          <cell r="H562" t="str">
            <v>Halter</v>
          </cell>
          <cell r="I562">
            <v>17</v>
          </cell>
          <cell r="J562" t="str">
            <v>Stk</v>
          </cell>
          <cell r="K562">
            <v>45224</v>
          </cell>
          <cell r="L562" t="str">
            <v>829054</v>
          </cell>
          <cell r="M562" t="str">
            <v/>
          </cell>
          <cell r="N562" t="str">
            <v/>
          </cell>
          <cell r="O562" t="str">
            <v/>
          </cell>
          <cell r="P562" t="str">
            <v/>
          </cell>
          <cell r="Q562" t="str">
            <v/>
          </cell>
          <cell r="R562" t="str">
            <v/>
          </cell>
          <cell r="S562" t="str">
            <v/>
          </cell>
          <cell r="T562" t="str">
            <v/>
          </cell>
          <cell r="U562" t="str">
            <v/>
          </cell>
          <cell r="V562" t="str">
            <v>N52</v>
          </cell>
          <cell r="W562" t="str">
            <v/>
          </cell>
          <cell r="X562" t="str">
            <v/>
          </cell>
          <cell r="Y562" t="str">
            <v/>
          </cell>
          <cell r="Z562" t="str">
            <v/>
          </cell>
          <cell r="AA562" t="str">
            <v/>
          </cell>
          <cell r="AB562" t="str">
            <v>PA_4504063-LD.7005-4</v>
          </cell>
          <cell r="AC562">
            <v>1</v>
          </cell>
          <cell r="AD562" t="str">
            <v/>
          </cell>
          <cell r="AE562">
            <v>0</v>
          </cell>
          <cell r="AF562" t="str">
            <v/>
          </cell>
          <cell r="AG562" t="str">
            <v>12505923</v>
          </cell>
          <cell r="AH562">
            <v>44658.927141203705</v>
          </cell>
          <cell r="AI562" t="str">
            <v>N52</v>
          </cell>
          <cell r="AJ562" t="str">
            <v>F</v>
          </cell>
          <cell r="AK562" t="str">
            <v/>
          </cell>
        </row>
        <row r="563">
          <cell r="A563" t="str">
            <v>12506972829054</v>
          </cell>
          <cell r="B563" t="e">
            <v>#N/A</v>
          </cell>
          <cell r="C563">
            <v>6</v>
          </cell>
          <cell r="D563" t="str">
            <v>EK65</v>
          </cell>
          <cell r="E563" t="str">
            <v>544738</v>
          </cell>
          <cell r="F563" t="str">
            <v>E</v>
          </cell>
          <cell r="G563" t="str">
            <v>12506972</v>
          </cell>
          <cell r="H563" t="str">
            <v>Halter w.g</v>
          </cell>
          <cell r="I563">
            <v>17</v>
          </cell>
          <cell r="J563" t="str">
            <v>Stk</v>
          </cell>
          <cell r="K563">
            <v>45223</v>
          </cell>
          <cell r="L563" t="str">
            <v>829054</v>
          </cell>
          <cell r="M563" t="str">
            <v/>
          </cell>
          <cell r="N563" t="str">
            <v/>
          </cell>
          <cell r="O563" t="str">
            <v/>
          </cell>
          <cell r="P563" t="str">
            <v/>
          </cell>
          <cell r="Q563" t="str">
            <v/>
          </cell>
          <cell r="R563" t="str">
            <v/>
          </cell>
          <cell r="S563" t="str">
            <v/>
          </cell>
          <cell r="T563" t="str">
            <v/>
          </cell>
          <cell r="U563" t="str">
            <v/>
          </cell>
          <cell r="V563" t="str">
            <v>N52</v>
          </cell>
          <cell r="W563" t="str">
            <v/>
          </cell>
          <cell r="X563" t="str">
            <v/>
          </cell>
          <cell r="Y563" t="str">
            <v/>
          </cell>
          <cell r="Z563" t="str">
            <v/>
          </cell>
          <cell r="AA563" t="str">
            <v/>
          </cell>
          <cell r="AB563" t="str">
            <v>PA_4345628-DC.7005-3</v>
          </cell>
          <cell r="AC563">
            <v>1</v>
          </cell>
          <cell r="AD563" t="str">
            <v/>
          </cell>
          <cell r="AE563">
            <v>0</v>
          </cell>
          <cell r="AF563" t="str">
            <v/>
          </cell>
          <cell r="AG563" t="str">
            <v>12506972</v>
          </cell>
          <cell r="AH563">
            <v>44658.92759259259</v>
          </cell>
          <cell r="AI563" t="str">
            <v>N52</v>
          </cell>
          <cell r="AJ563" t="str">
            <v>F</v>
          </cell>
          <cell r="AK563" t="str">
            <v/>
          </cell>
        </row>
        <row r="564">
          <cell r="A564" t="str">
            <v>12506986829054</v>
          </cell>
          <cell r="B564" t="e">
            <v>#N/A</v>
          </cell>
          <cell r="C564">
            <v>6</v>
          </cell>
          <cell r="D564" t="str">
            <v>EK65</v>
          </cell>
          <cell r="E564" t="str">
            <v>544739</v>
          </cell>
          <cell r="F564" t="str">
            <v>E</v>
          </cell>
          <cell r="G564" t="str">
            <v>12506986</v>
          </cell>
          <cell r="H564" t="str">
            <v>Halter sp.g</v>
          </cell>
          <cell r="I564">
            <v>17</v>
          </cell>
          <cell r="J564" t="str">
            <v>Stk</v>
          </cell>
          <cell r="K564">
            <v>45223</v>
          </cell>
          <cell r="L564" t="str">
            <v>829054</v>
          </cell>
          <cell r="M564" t="str">
            <v/>
          </cell>
          <cell r="N564" t="str">
            <v/>
          </cell>
          <cell r="O564" t="str">
            <v/>
          </cell>
          <cell r="P564" t="str">
            <v/>
          </cell>
          <cell r="Q564" t="str">
            <v/>
          </cell>
          <cell r="R564" t="str">
            <v/>
          </cell>
          <cell r="S564" t="str">
            <v/>
          </cell>
          <cell r="T564" t="str">
            <v/>
          </cell>
          <cell r="U564" t="str">
            <v/>
          </cell>
          <cell r="V564" t="str">
            <v>N52</v>
          </cell>
          <cell r="W564" t="str">
            <v/>
          </cell>
          <cell r="X564" t="str">
            <v/>
          </cell>
          <cell r="Y564" t="str">
            <v/>
          </cell>
          <cell r="Z564" t="str">
            <v/>
          </cell>
          <cell r="AA564" t="str">
            <v/>
          </cell>
          <cell r="AB564" t="str">
            <v>PA_4345628-DC.7005-3</v>
          </cell>
          <cell r="AC564">
            <v>1</v>
          </cell>
          <cell r="AD564" t="str">
            <v/>
          </cell>
          <cell r="AE564">
            <v>0</v>
          </cell>
          <cell r="AF564" t="str">
            <v/>
          </cell>
          <cell r="AG564" t="str">
            <v>12506986</v>
          </cell>
          <cell r="AH564">
            <v>44658.927604166667</v>
          </cell>
          <cell r="AI564" t="str">
            <v>N52</v>
          </cell>
          <cell r="AJ564" t="str">
            <v>F</v>
          </cell>
          <cell r="AK564" t="str">
            <v/>
          </cell>
        </row>
        <row r="565">
          <cell r="A565" t="str">
            <v>12506996829054</v>
          </cell>
          <cell r="B565" t="e">
            <v>#N/A</v>
          </cell>
          <cell r="C565">
            <v>6</v>
          </cell>
          <cell r="D565" t="str">
            <v>EK65</v>
          </cell>
          <cell r="E565" t="str">
            <v>544740</v>
          </cell>
          <cell r="F565" t="str">
            <v>E</v>
          </cell>
          <cell r="G565" t="str">
            <v>12506996</v>
          </cell>
          <cell r="H565" t="str">
            <v>Winkel</v>
          </cell>
          <cell r="I565">
            <v>35</v>
          </cell>
          <cell r="J565" t="str">
            <v>Stk</v>
          </cell>
          <cell r="K565">
            <v>45220</v>
          </cell>
          <cell r="L565" t="str">
            <v>829054</v>
          </cell>
          <cell r="M565" t="str">
            <v/>
          </cell>
          <cell r="N565" t="str">
            <v/>
          </cell>
          <cell r="O565" t="str">
            <v/>
          </cell>
          <cell r="P565" t="str">
            <v/>
          </cell>
          <cell r="Q565" t="str">
            <v/>
          </cell>
          <cell r="R565" t="str">
            <v/>
          </cell>
          <cell r="S565" t="str">
            <v/>
          </cell>
          <cell r="T565" t="str">
            <v/>
          </cell>
          <cell r="U565" t="str">
            <v/>
          </cell>
          <cell r="V565" t="str">
            <v>N52</v>
          </cell>
          <cell r="W565" t="str">
            <v/>
          </cell>
          <cell r="X565" t="str">
            <v/>
          </cell>
          <cell r="Y565" t="str">
            <v/>
          </cell>
          <cell r="Z565" t="str">
            <v/>
          </cell>
          <cell r="AA565" t="str">
            <v/>
          </cell>
          <cell r="AB565" t="str">
            <v>PA_4292075-DC.7005-4</v>
          </cell>
          <cell r="AC565">
            <v>1</v>
          </cell>
          <cell r="AD565" t="str">
            <v/>
          </cell>
          <cell r="AE565">
            <v>0</v>
          </cell>
          <cell r="AF565" t="str">
            <v/>
          </cell>
          <cell r="AG565" t="str">
            <v>12506996</v>
          </cell>
          <cell r="AH565">
            <v>44658.927604166667</v>
          </cell>
          <cell r="AI565" t="str">
            <v>N52</v>
          </cell>
          <cell r="AJ565" t="str">
            <v>F</v>
          </cell>
          <cell r="AK565" t="str">
            <v/>
          </cell>
        </row>
        <row r="566">
          <cell r="A566" t="str">
            <v>12562411829051</v>
          </cell>
          <cell r="B566" t="str">
            <v>BL20230413-2</v>
          </cell>
          <cell r="C566">
            <v>12</v>
          </cell>
          <cell r="D566" t="str">
            <v>EK65</v>
          </cell>
          <cell r="E566" t="str">
            <v>547937</v>
          </cell>
          <cell r="F566" t="str">
            <v>E</v>
          </cell>
          <cell r="G566" t="str">
            <v>12562411</v>
          </cell>
          <cell r="H566" t="str">
            <v>Distanzscheibe M8</v>
          </cell>
          <cell r="I566">
            <v>263</v>
          </cell>
          <cell r="J566" t="str">
            <v>Stk</v>
          </cell>
          <cell r="K566">
            <v>45337</v>
          </cell>
          <cell r="L566" t="str">
            <v>829051</v>
          </cell>
          <cell r="M566" t="str">
            <v/>
          </cell>
          <cell r="N566" t="str">
            <v/>
          </cell>
          <cell r="O566" t="str">
            <v/>
          </cell>
          <cell r="P566" t="str">
            <v/>
          </cell>
          <cell r="Q566" t="str">
            <v/>
          </cell>
          <cell r="R566" t="str">
            <v/>
          </cell>
          <cell r="S566" t="str">
            <v/>
          </cell>
          <cell r="T566" t="str">
            <v/>
          </cell>
          <cell r="U566" t="str">
            <v/>
          </cell>
          <cell r="V566" t="str">
            <v>N52</v>
          </cell>
          <cell r="W566" t="str">
            <v/>
          </cell>
          <cell r="X566" t="str">
            <v/>
          </cell>
          <cell r="Y566" t="str">
            <v/>
          </cell>
          <cell r="Z566" t="str">
            <v/>
          </cell>
          <cell r="AA566" t="str">
            <v/>
          </cell>
          <cell r="AB566" t="str">
            <v>PA_4670237-QE.7004-4</v>
          </cell>
          <cell r="AC566">
            <v>1</v>
          </cell>
          <cell r="AD566" t="str">
            <v/>
          </cell>
          <cell r="AE566">
            <v>0</v>
          </cell>
          <cell r="AF566" t="str">
            <v/>
          </cell>
          <cell r="AG566" t="str">
            <v>12562411</v>
          </cell>
          <cell r="AH566">
            <v>44659.91646990741</v>
          </cell>
          <cell r="AI566" t="str">
            <v>N52</v>
          </cell>
          <cell r="AJ566" t="str">
            <v>F</v>
          </cell>
          <cell r="AK566" t="str">
            <v/>
          </cell>
        </row>
        <row r="567">
          <cell r="A567" t="str">
            <v>12562411829052</v>
          </cell>
          <cell r="B567" t="e">
            <v>#N/A</v>
          </cell>
          <cell r="C567">
            <v>12</v>
          </cell>
          <cell r="D567" t="str">
            <v>EK65</v>
          </cell>
          <cell r="E567" t="str">
            <v>547938</v>
          </cell>
          <cell r="F567" t="str">
            <v>E</v>
          </cell>
          <cell r="G567" t="str">
            <v>12562411</v>
          </cell>
          <cell r="H567" t="str">
            <v>Distanzscheibe M8</v>
          </cell>
          <cell r="I567">
            <v>182</v>
          </cell>
          <cell r="J567" t="str">
            <v>Stk</v>
          </cell>
          <cell r="K567">
            <v>45351</v>
          </cell>
          <cell r="L567" t="str">
            <v>829052</v>
          </cell>
          <cell r="M567" t="str">
            <v/>
          </cell>
          <cell r="N567" t="str">
            <v/>
          </cell>
          <cell r="O567" t="str">
            <v/>
          </cell>
          <cell r="P567" t="str">
            <v/>
          </cell>
          <cell r="Q567" t="str">
            <v/>
          </cell>
          <cell r="R567" t="str">
            <v/>
          </cell>
          <cell r="S567" t="str">
            <v/>
          </cell>
          <cell r="T567" t="str">
            <v/>
          </cell>
          <cell r="U567" t="str">
            <v/>
          </cell>
          <cell r="V567" t="str">
            <v>N52</v>
          </cell>
          <cell r="W567" t="str">
            <v/>
          </cell>
          <cell r="X567" t="str">
            <v/>
          </cell>
          <cell r="Y567" t="str">
            <v/>
          </cell>
          <cell r="Z567" t="str">
            <v/>
          </cell>
          <cell r="AA567" t="str">
            <v/>
          </cell>
          <cell r="AB567" t="str">
            <v>PA_4670237-QE.7004-4</v>
          </cell>
          <cell r="AC567">
            <v>1</v>
          </cell>
          <cell r="AD567" t="str">
            <v/>
          </cell>
          <cell r="AE567">
            <v>0</v>
          </cell>
          <cell r="AF567" t="str">
            <v/>
          </cell>
          <cell r="AG567" t="str">
            <v>12562411</v>
          </cell>
          <cell r="AH567">
            <v>44659.91646990741</v>
          </cell>
          <cell r="AI567" t="str">
            <v>N52</v>
          </cell>
          <cell r="AJ567" t="str">
            <v>F</v>
          </cell>
          <cell r="AK567" t="str">
            <v/>
          </cell>
        </row>
        <row r="568">
          <cell r="A568" t="str">
            <v>12562499829051</v>
          </cell>
          <cell r="B568" t="e">
            <v>#N/A</v>
          </cell>
          <cell r="C568">
            <v>14</v>
          </cell>
          <cell r="D568" t="str">
            <v>EK65</v>
          </cell>
          <cell r="E568" t="str">
            <v>547939</v>
          </cell>
          <cell r="F568" t="str">
            <v>E</v>
          </cell>
          <cell r="G568" t="str">
            <v>12562499</v>
          </cell>
          <cell r="H568" t="str">
            <v>Halter Sandungsanschluss rechts</v>
          </cell>
          <cell r="I568">
            <v>90</v>
          </cell>
          <cell r="J568" t="str">
            <v>Stk</v>
          </cell>
          <cell r="K568">
            <v>45324</v>
          </cell>
          <cell r="L568" t="str">
            <v>829051</v>
          </cell>
          <cell r="M568" t="str">
            <v/>
          </cell>
          <cell r="N568" t="str">
            <v/>
          </cell>
          <cell r="O568" t="str">
            <v/>
          </cell>
          <cell r="P568" t="str">
            <v/>
          </cell>
          <cell r="Q568" t="str">
            <v/>
          </cell>
          <cell r="R568" t="str">
            <v/>
          </cell>
          <cell r="S568" t="str">
            <v/>
          </cell>
          <cell r="T568" t="str">
            <v/>
          </cell>
          <cell r="U568" t="str">
            <v/>
          </cell>
          <cell r="V568" t="str">
            <v>N52</v>
          </cell>
          <cell r="W568" t="str">
            <v/>
          </cell>
          <cell r="X568" t="str">
            <v/>
          </cell>
          <cell r="Y568" t="str">
            <v/>
          </cell>
          <cell r="Z568" t="str">
            <v/>
          </cell>
          <cell r="AA568" t="str">
            <v/>
          </cell>
          <cell r="AB568" t="str">
            <v>PA_4641595-QE.7004-2</v>
          </cell>
          <cell r="AC568">
            <v>1</v>
          </cell>
          <cell r="AD568" t="str">
            <v/>
          </cell>
          <cell r="AE568">
            <v>0</v>
          </cell>
          <cell r="AF568" t="str">
            <v/>
          </cell>
          <cell r="AG568" t="str">
            <v>12562499</v>
          </cell>
          <cell r="AH568">
            <v>44659.916504629633</v>
          </cell>
          <cell r="AI568" t="str">
            <v>N52</v>
          </cell>
          <cell r="AJ568" t="str">
            <v>F</v>
          </cell>
          <cell r="AK568" t="str">
            <v/>
          </cell>
        </row>
        <row r="569">
          <cell r="A569" t="str">
            <v>12562499829052</v>
          </cell>
          <cell r="B569" t="e">
            <v>#N/A</v>
          </cell>
          <cell r="C569">
            <v>14</v>
          </cell>
          <cell r="D569" t="str">
            <v>EK65</v>
          </cell>
          <cell r="E569" t="str">
            <v>547940</v>
          </cell>
          <cell r="F569" t="str">
            <v>E</v>
          </cell>
          <cell r="G569" t="str">
            <v>12562499</v>
          </cell>
          <cell r="H569" t="str">
            <v>Halter Sandungsanschluss rechts</v>
          </cell>
          <cell r="I569">
            <v>62</v>
          </cell>
          <cell r="J569" t="str">
            <v>Stk</v>
          </cell>
          <cell r="K569">
            <v>45350</v>
          </cell>
          <cell r="L569" t="str">
            <v>829052</v>
          </cell>
          <cell r="M569" t="str">
            <v/>
          </cell>
          <cell r="N569" t="str">
            <v/>
          </cell>
          <cell r="O569" t="str">
            <v/>
          </cell>
          <cell r="P569" t="str">
            <v/>
          </cell>
          <cell r="Q569" t="str">
            <v/>
          </cell>
          <cell r="R569" t="str">
            <v/>
          </cell>
          <cell r="S569" t="str">
            <v/>
          </cell>
          <cell r="T569" t="str">
            <v/>
          </cell>
          <cell r="U569" t="str">
            <v/>
          </cell>
          <cell r="V569" t="str">
            <v>N52</v>
          </cell>
          <cell r="W569" t="str">
            <v/>
          </cell>
          <cell r="X569" t="str">
            <v/>
          </cell>
          <cell r="Y569" t="str">
            <v/>
          </cell>
          <cell r="Z569" t="str">
            <v/>
          </cell>
          <cell r="AA569" t="str">
            <v/>
          </cell>
          <cell r="AB569" t="str">
            <v>PA_4641595-QE.7004-2</v>
          </cell>
          <cell r="AC569">
            <v>1</v>
          </cell>
          <cell r="AD569" t="str">
            <v/>
          </cell>
          <cell r="AE569">
            <v>0</v>
          </cell>
          <cell r="AF569" t="str">
            <v/>
          </cell>
          <cell r="AG569" t="str">
            <v>12562499</v>
          </cell>
          <cell r="AH569">
            <v>44659.916504629633</v>
          </cell>
          <cell r="AI569" t="str">
            <v>N52</v>
          </cell>
          <cell r="AJ569" t="str">
            <v>F</v>
          </cell>
          <cell r="AK569" t="str">
            <v/>
          </cell>
        </row>
        <row r="570">
          <cell r="A570" t="str">
            <v>12562527829051</v>
          </cell>
          <cell r="B570" t="e">
            <v>#N/A</v>
          </cell>
          <cell r="C570">
            <v>14</v>
          </cell>
          <cell r="D570" t="str">
            <v>EK65</v>
          </cell>
          <cell r="E570" t="str">
            <v>547941</v>
          </cell>
          <cell r="F570" t="str">
            <v>E</v>
          </cell>
          <cell r="G570" t="str">
            <v>12562527</v>
          </cell>
          <cell r="H570" t="str">
            <v>Halter Sandungsanschluss links</v>
          </cell>
          <cell r="I570">
            <v>90</v>
          </cell>
          <cell r="J570" t="str">
            <v>Stk</v>
          </cell>
          <cell r="K570">
            <v>45324</v>
          </cell>
          <cell r="L570" t="str">
            <v>829051</v>
          </cell>
          <cell r="M570" t="str">
            <v/>
          </cell>
          <cell r="N570" t="str">
            <v/>
          </cell>
          <cell r="O570" t="str">
            <v/>
          </cell>
          <cell r="P570" t="str">
            <v/>
          </cell>
          <cell r="Q570" t="str">
            <v/>
          </cell>
          <cell r="R570" t="str">
            <v/>
          </cell>
          <cell r="S570" t="str">
            <v/>
          </cell>
          <cell r="T570" t="str">
            <v/>
          </cell>
          <cell r="U570" t="str">
            <v/>
          </cell>
          <cell r="V570" t="str">
            <v>N52</v>
          </cell>
          <cell r="W570" t="str">
            <v/>
          </cell>
          <cell r="X570" t="str">
            <v/>
          </cell>
          <cell r="Y570" t="str">
            <v/>
          </cell>
          <cell r="Z570" t="str">
            <v/>
          </cell>
          <cell r="AA570" t="str">
            <v/>
          </cell>
          <cell r="AB570" t="str">
            <v>PA_4641470-QE.7004-2</v>
          </cell>
          <cell r="AC570">
            <v>1</v>
          </cell>
          <cell r="AD570" t="str">
            <v/>
          </cell>
          <cell r="AE570">
            <v>0</v>
          </cell>
          <cell r="AF570" t="str">
            <v/>
          </cell>
          <cell r="AG570" t="str">
            <v>12562527</v>
          </cell>
          <cell r="AH570">
            <v>44659.916539351849</v>
          </cell>
          <cell r="AI570" t="str">
            <v>N52</v>
          </cell>
          <cell r="AJ570" t="str">
            <v>F</v>
          </cell>
          <cell r="AK570" t="str">
            <v/>
          </cell>
        </row>
        <row r="571">
          <cell r="A571" t="str">
            <v>12562527829052</v>
          </cell>
          <cell r="B571" t="e">
            <v>#N/A</v>
          </cell>
          <cell r="C571">
            <v>14</v>
          </cell>
          <cell r="D571" t="str">
            <v>EK65</v>
          </cell>
          <cell r="E571" t="str">
            <v>547942</v>
          </cell>
          <cell r="F571" t="str">
            <v>E</v>
          </cell>
          <cell r="G571" t="str">
            <v>12562527</v>
          </cell>
          <cell r="H571" t="str">
            <v>Halter Sandungsanschluss links</v>
          </cell>
          <cell r="I571">
            <v>62</v>
          </cell>
          <cell r="J571" t="str">
            <v>Stk</v>
          </cell>
          <cell r="K571">
            <v>45350</v>
          </cell>
          <cell r="L571" t="str">
            <v>829052</v>
          </cell>
          <cell r="M571" t="str">
            <v/>
          </cell>
          <cell r="N571" t="str">
            <v/>
          </cell>
          <cell r="O571" t="str">
            <v/>
          </cell>
          <cell r="P571" t="str">
            <v/>
          </cell>
          <cell r="Q571" t="str">
            <v/>
          </cell>
          <cell r="R571" t="str">
            <v/>
          </cell>
          <cell r="S571" t="str">
            <v/>
          </cell>
          <cell r="T571" t="str">
            <v/>
          </cell>
          <cell r="U571" t="str">
            <v/>
          </cell>
          <cell r="V571" t="str">
            <v>N52</v>
          </cell>
          <cell r="W571" t="str">
            <v/>
          </cell>
          <cell r="X571" t="str">
            <v/>
          </cell>
          <cell r="Y571" t="str">
            <v/>
          </cell>
          <cell r="Z571" t="str">
            <v/>
          </cell>
          <cell r="AA571" t="str">
            <v/>
          </cell>
          <cell r="AB571" t="str">
            <v>PA_4641470-QE.7004-2</v>
          </cell>
          <cell r="AC571">
            <v>1</v>
          </cell>
          <cell r="AD571" t="str">
            <v/>
          </cell>
          <cell r="AE571">
            <v>0</v>
          </cell>
          <cell r="AF571" t="str">
            <v/>
          </cell>
          <cell r="AG571" t="str">
            <v>12562527</v>
          </cell>
          <cell r="AH571">
            <v>44659.916539351849</v>
          </cell>
          <cell r="AI571" t="str">
            <v>N52</v>
          </cell>
          <cell r="AJ571" t="str">
            <v>F</v>
          </cell>
          <cell r="AK571" t="str">
            <v/>
          </cell>
        </row>
        <row r="572">
          <cell r="A572" t="str">
            <v>12566007829051</v>
          </cell>
          <cell r="B572" t="e">
            <v>#N/A</v>
          </cell>
          <cell r="C572">
            <v>8</v>
          </cell>
          <cell r="D572" t="str">
            <v>EK65</v>
          </cell>
          <cell r="E572" t="str">
            <v>547952</v>
          </cell>
          <cell r="F572" t="str">
            <v>E</v>
          </cell>
          <cell r="G572" t="str">
            <v>12566007</v>
          </cell>
          <cell r="H572" t="str">
            <v>SMSE WSH U1MT eingekuerzt*</v>
          </cell>
          <cell r="I572">
            <v>179</v>
          </cell>
          <cell r="J572" t="str">
            <v>Stk</v>
          </cell>
          <cell r="K572">
            <v>45219</v>
          </cell>
          <cell r="L572" t="str">
            <v>829051</v>
          </cell>
          <cell r="M572" t="str">
            <v/>
          </cell>
          <cell r="N572" t="str">
            <v/>
          </cell>
          <cell r="O572" t="str">
            <v/>
          </cell>
          <cell r="P572" t="str">
            <v/>
          </cell>
          <cell r="Q572" t="str">
            <v/>
          </cell>
          <cell r="R572" t="str">
            <v/>
          </cell>
          <cell r="S572" t="str">
            <v/>
          </cell>
          <cell r="T572" t="str">
            <v/>
          </cell>
          <cell r="U572" t="str">
            <v/>
          </cell>
          <cell r="V572" t="str">
            <v>N52</v>
          </cell>
          <cell r="W572" t="str">
            <v/>
          </cell>
          <cell r="X572" t="str">
            <v/>
          </cell>
          <cell r="Y572" t="str">
            <v/>
          </cell>
          <cell r="Z572" t="str">
            <v/>
          </cell>
          <cell r="AA572" t="str">
            <v/>
          </cell>
          <cell r="AB572" t="str">
            <v>PA_4769044-UA.7004-4</v>
          </cell>
          <cell r="AC572">
            <v>1</v>
          </cell>
          <cell r="AD572" t="str">
            <v/>
          </cell>
          <cell r="AE572">
            <v>0</v>
          </cell>
          <cell r="AF572" t="str">
            <v/>
          </cell>
          <cell r="AG572" t="str">
            <v>12566007</v>
          </cell>
          <cell r="AH572">
            <v>44659.916944444441</v>
          </cell>
          <cell r="AI572" t="str">
            <v>N52</v>
          </cell>
          <cell r="AJ572" t="str">
            <v>F</v>
          </cell>
          <cell r="AK572" t="str">
            <v/>
          </cell>
        </row>
        <row r="573">
          <cell r="A573" t="str">
            <v>12508738829052</v>
          </cell>
          <cell r="B573" t="e">
            <v>#N/A</v>
          </cell>
          <cell r="C573">
            <v>28</v>
          </cell>
          <cell r="D573" t="str">
            <v>EK65</v>
          </cell>
          <cell r="E573" t="str">
            <v>548184</v>
          </cell>
          <cell r="F573" t="str">
            <v>E</v>
          </cell>
          <cell r="G573" t="str">
            <v>12508738</v>
          </cell>
          <cell r="H573" t="str">
            <v>Halter Ueberstroemventil</v>
          </cell>
          <cell r="I573">
            <v>31</v>
          </cell>
          <cell r="J573" t="str">
            <v>Stk</v>
          </cell>
          <cell r="K573">
            <v>45351</v>
          </cell>
          <cell r="L573" t="str">
            <v>829052</v>
          </cell>
          <cell r="M573" t="str">
            <v/>
          </cell>
          <cell r="N573" t="str">
            <v/>
          </cell>
          <cell r="O573" t="str">
            <v/>
          </cell>
          <cell r="P573" t="str">
            <v/>
          </cell>
          <cell r="Q573" t="str">
            <v/>
          </cell>
          <cell r="R573" t="str">
            <v/>
          </cell>
          <cell r="S573" t="str">
            <v/>
          </cell>
          <cell r="T573" t="str">
            <v/>
          </cell>
          <cell r="U573" t="str">
            <v/>
          </cell>
          <cell r="V573" t="str">
            <v>N52</v>
          </cell>
          <cell r="W573" t="str">
            <v/>
          </cell>
          <cell r="X573" t="str">
            <v/>
          </cell>
          <cell r="Y573" t="str">
            <v/>
          </cell>
          <cell r="Z573" t="str">
            <v/>
          </cell>
          <cell r="AA573" t="str">
            <v/>
          </cell>
          <cell r="AB573" t="str">
            <v>PA_2343520-QE.7005-3</v>
          </cell>
          <cell r="AC573">
            <v>1</v>
          </cell>
          <cell r="AD573" t="str">
            <v/>
          </cell>
          <cell r="AE573">
            <v>0</v>
          </cell>
          <cell r="AF573" t="str">
            <v/>
          </cell>
          <cell r="AG573" t="str">
            <v>12508738</v>
          </cell>
          <cell r="AH573">
            <v>44659.951249999998</v>
          </cell>
          <cell r="AI573" t="str">
            <v>N52</v>
          </cell>
          <cell r="AJ573" t="str">
            <v>F</v>
          </cell>
          <cell r="AK573" t="str">
            <v/>
          </cell>
        </row>
        <row r="574">
          <cell r="A574" t="str">
            <v>12556708829051</v>
          </cell>
          <cell r="B574" t="e">
            <v>#N/A</v>
          </cell>
          <cell r="C574">
            <v>14</v>
          </cell>
          <cell r="D574" t="str">
            <v>EK65</v>
          </cell>
          <cell r="E574" t="str">
            <v>550851</v>
          </cell>
          <cell r="F574" t="str">
            <v>E</v>
          </cell>
          <cell r="G574" t="str">
            <v>12556708</v>
          </cell>
          <cell r="H574" t="str">
            <v>Halter, vollst.</v>
          </cell>
          <cell r="I574">
            <v>363</v>
          </cell>
          <cell r="J574" t="str">
            <v>Stk</v>
          </cell>
          <cell r="K574">
            <v>45316</v>
          </cell>
          <cell r="L574" t="str">
            <v>829051</v>
          </cell>
          <cell r="M574" t="str">
            <v/>
          </cell>
          <cell r="N574" t="str">
            <v/>
          </cell>
          <cell r="O574" t="str">
            <v/>
          </cell>
          <cell r="P574" t="str">
            <v/>
          </cell>
          <cell r="Q574" t="str">
            <v/>
          </cell>
          <cell r="R574" t="str">
            <v/>
          </cell>
          <cell r="S574" t="str">
            <v/>
          </cell>
          <cell r="T574" t="str">
            <v/>
          </cell>
          <cell r="U574" t="str">
            <v/>
          </cell>
          <cell r="V574" t="str">
            <v>N38</v>
          </cell>
          <cell r="W574" t="str">
            <v/>
          </cell>
          <cell r="X574" t="str">
            <v/>
          </cell>
          <cell r="Y574" t="str">
            <v/>
          </cell>
          <cell r="Z574" t="str">
            <v/>
          </cell>
          <cell r="AA574" t="str">
            <v/>
          </cell>
          <cell r="AB574" t="str">
            <v>PA_4473706-QE.7004-4</v>
          </cell>
          <cell r="AC574">
            <v>1</v>
          </cell>
          <cell r="AD574" t="str">
            <v/>
          </cell>
          <cell r="AE574">
            <v>0</v>
          </cell>
          <cell r="AF574" t="str">
            <v/>
          </cell>
          <cell r="AG574" t="str">
            <v>12556708</v>
          </cell>
          <cell r="AH574">
            <v>44662.944594907407</v>
          </cell>
          <cell r="AI574" t="str">
            <v>N38</v>
          </cell>
          <cell r="AJ574" t="str">
            <v>F</v>
          </cell>
          <cell r="AK574" t="str">
            <v/>
          </cell>
        </row>
        <row r="575">
          <cell r="A575" t="str">
            <v>12556708829052</v>
          </cell>
          <cell r="B575" t="str">
            <v>BL20230413-2</v>
          </cell>
          <cell r="C575">
            <v>14</v>
          </cell>
          <cell r="D575" t="str">
            <v>EK65</v>
          </cell>
          <cell r="E575" t="str">
            <v>550852</v>
          </cell>
          <cell r="F575" t="str">
            <v>E</v>
          </cell>
          <cell r="G575" t="str">
            <v>12556708</v>
          </cell>
          <cell r="H575" t="str">
            <v>Halter, vollst.</v>
          </cell>
          <cell r="I575">
            <v>125</v>
          </cell>
          <cell r="J575" t="str">
            <v>Stk</v>
          </cell>
          <cell r="K575">
            <v>45345</v>
          </cell>
          <cell r="L575" t="str">
            <v>829052</v>
          </cell>
          <cell r="M575" t="str">
            <v/>
          </cell>
          <cell r="N575" t="str">
            <v/>
          </cell>
          <cell r="O575" t="str">
            <v/>
          </cell>
          <cell r="P575" t="str">
            <v/>
          </cell>
          <cell r="Q575" t="str">
            <v/>
          </cell>
          <cell r="R575" t="str">
            <v/>
          </cell>
          <cell r="S575" t="str">
            <v/>
          </cell>
          <cell r="T575" t="str">
            <v/>
          </cell>
          <cell r="U575" t="str">
            <v/>
          </cell>
          <cell r="V575" t="str">
            <v>N38</v>
          </cell>
          <cell r="W575" t="str">
            <v/>
          </cell>
          <cell r="X575" t="str">
            <v/>
          </cell>
          <cell r="Y575" t="str">
            <v/>
          </cell>
          <cell r="Z575" t="str">
            <v/>
          </cell>
          <cell r="AA575" t="str">
            <v/>
          </cell>
          <cell r="AB575" t="str">
            <v>PA_4473706-QE.7004-4</v>
          </cell>
          <cell r="AC575">
            <v>1</v>
          </cell>
          <cell r="AD575" t="str">
            <v/>
          </cell>
          <cell r="AE575">
            <v>0</v>
          </cell>
          <cell r="AF575" t="str">
            <v/>
          </cell>
          <cell r="AG575" t="str">
            <v>12556708</v>
          </cell>
          <cell r="AH575">
            <v>44662.944594907407</v>
          </cell>
          <cell r="AI575" t="str">
            <v>N38</v>
          </cell>
          <cell r="AJ575" t="str">
            <v>F</v>
          </cell>
          <cell r="AK575" t="str">
            <v/>
          </cell>
        </row>
        <row r="576">
          <cell r="A576" t="str">
            <v>12558791829051</v>
          </cell>
          <cell r="B576" t="e">
            <v>#N/A</v>
          </cell>
          <cell r="C576">
            <v>14</v>
          </cell>
          <cell r="D576" t="str">
            <v>EK65</v>
          </cell>
          <cell r="E576" t="str">
            <v>550853</v>
          </cell>
          <cell r="F576" t="str">
            <v>E</v>
          </cell>
          <cell r="G576" t="str">
            <v>12558791</v>
          </cell>
          <cell r="H576" t="str">
            <v>Halter, vollst.</v>
          </cell>
          <cell r="I576">
            <v>271</v>
          </cell>
          <cell r="J576" t="str">
            <v>Stk</v>
          </cell>
          <cell r="K576">
            <v>45316</v>
          </cell>
          <cell r="L576" t="str">
            <v>829051</v>
          </cell>
          <cell r="M576" t="str">
            <v/>
          </cell>
          <cell r="N576" t="str">
            <v/>
          </cell>
          <cell r="O576" t="str">
            <v/>
          </cell>
          <cell r="P576" t="str">
            <v/>
          </cell>
          <cell r="Q576" t="str">
            <v/>
          </cell>
          <cell r="R576" t="str">
            <v/>
          </cell>
          <cell r="S576" t="str">
            <v/>
          </cell>
          <cell r="T576" t="str">
            <v/>
          </cell>
          <cell r="U576" t="str">
            <v/>
          </cell>
          <cell r="V576" t="str">
            <v>N38</v>
          </cell>
          <cell r="W576" t="str">
            <v/>
          </cell>
          <cell r="X576" t="str">
            <v/>
          </cell>
          <cell r="Y576" t="str">
            <v/>
          </cell>
          <cell r="Z576" t="str">
            <v/>
          </cell>
          <cell r="AA576" t="str">
            <v/>
          </cell>
          <cell r="AB576" t="str">
            <v>PA_4555955-QE.7004-3</v>
          </cell>
          <cell r="AC576">
            <v>1</v>
          </cell>
          <cell r="AD576" t="str">
            <v/>
          </cell>
          <cell r="AE576">
            <v>0</v>
          </cell>
          <cell r="AF576" t="str">
            <v/>
          </cell>
          <cell r="AG576" t="str">
            <v>12558791</v>
          </cell>
          <cell r="AH576">
            <v>44662.945023148146</v>
          </cell>
          <cell r="AI576" t="str">
            <v>N38</v>
          </cell>
          <cell r="AJ576" t="str">
            <v>F</v>
          </cell>
          <cell r="AK576" t="str">
            <v/>
          </cell>
        </row>
        <row r="577">
          <cell r="A577" t="str">
            <v>12558791829052</v>
          </cell>
          <cell r="B577" t="str">
            <v>BL20230413-2</v>
          </cell>
          <cell r="C577">
            <v>14</v>
          </cell>
          <cell r="D577" t="str">
            <v>EK65</v>
          </cell>
          <cell r="E577" t="str">
            <v>550854</v>
          </cell>
          <cell r="F577" t="str">
            <v>E</v>
          </cell>
          <cell r="G577" t="str">
            <v>12558791</v>
          </cell>
          <cell r="H577" t="str">
            <v>Halter, vollst.</v>
          </cell>
          <cell r="I577">
            <v>94</v>
          </cell>
          <cell r="J577" t="str">
            <v>Stk</v>
          </cell>
          <cell r="K577">
            <v>45345</v>
          </cell>
          <cell r="L577" t="str">
            <v>829052</v>
          </cell>
          <cell r="M577" t="str">
            <v/>
          </cell>
          <cell r="N577" t="str">
            <v/>
          </cell>
          <cell r="O577" t="str">
            <v/>
          </cell>
          <cell r="P577" t="str">
            <v/>
          </cell>
          <cell r="Q577" t="str">
            <v/>
          </cell>
          <cell r="R577" t="str">
            <v/>
          </cell>
          <cell r="S577" t="str">
            <v/>
          </cell>
          <cell r="T577" t="str">
            <v/>
          </cell>
          <cell r="U577" t="str">
            <v/>
          </cell>
          <cell r="V577" t="str">
            <v>N38</v>
          </cell>
          <cell r="W577" t="str">
            <v/>
          </cell>
          <cell r="X577" t="str">
            <v/>
          </cell>
          <cell r="Y577" t="str">
            <v/>
          </cell>
          <cell r="Z577" t="str">
            <v/>
          </cell>
          <cell r="AA577" t="str">
            <v/>
          </cell>
          <cell r="AB577" t="str">
            <v>PA_4555955-QE.7004-3</v>
          </cell>
          <cell r="AC577">
            <v>1</v>
          </cell>
          <cell r="AD577" t="str">
            <v/>
          </cell>
          <cell r="AE577">
            <v>0</v>
          </cell>
          <cell r="AF577" t="str">
            <v/>
          </cell>
          <cell r="AG577" t="str">
            <v>12558791</v>
          </cell>
          <cell r="AH577">
            <v>44662.945023148146</v>
          </cell>
          <cell r="AI577" t="str">
            <v>N38</v>
          </cell>
          <cell r="AJ577" t="str">
            <v>F</v>
          </cell>
          <cell r="AK577" t="str">
            <v/>
          </cell>
        </row>
        <row r="578">
          <cell r="A578" t="str">
            <v>12560938829052</v>
          </cell>
          <cell r="B578" t="e">
            <v>#N/A</v>
          </cell>
          <cell r="C578">
            <v>7</v>
          </cell>
          <cell r="D578" t="str">
            <v>EK65</v>
          </cell>
          <cell r="E578" t="str">
            <v>550857</v>
          </cell>
          <cell r="F578" t="str">
            <v>E</v>
          </cell>
          <cell r="G578" t="str">
            <v>12560938</v>
          </cell>
          <cell r="H578" t="str">
            <v>Halter, vollst.</v>
          </cell>
          <cell r="I578">
            <v>31</v>
          </cell>
          <cell r="J578" t="str">
            <v>Stk</v>
          </cell>
          <cell r="K578">
            <v>45349</v>
          </cell>
          <cell r="L578" t="str">
            <v>829052</v>
          </cell>
          <cell r="M578" t="str">
            <v/>
          </cell>
          <cell r="N578" t="str">
            <v/>
          </cell>
          <cell r="O578" t="str">
            <v/>
          </cell>
          <cell r="P578" t="str">
            <v/>
          </cell>
          <cell r="Q578" t="str">
            <v/>
          </cell>
          <cell r="R578" t="str">
            <v/>
          </cell>
          <cell r="S578" t="str">
            <v/>
          </cell>
          <cell r="T578" t="str">
            <v/>
          </cell>
          <cell r="U578" t="str">
            <v/>
          </cell>
          <cell r="V578" t="str">
            <v>N38</v>
          </cell>
          <cell r="W578" t="str">
            <v/>
          </cell>
          <cell r="X578" t="str">
            <v/>
          </cell>
          <cell r="Y578" t="str">
            <v/>
          </cell>
          <cell r="Z578" t="str">
            <v/>
          </cell>
          <cell r="AA578" t="str">
            <v/>
          </cell>
          <cell r="AB578" t="str">
            <v>PA_4691569-QE.7004-3</v>
          </cell>
          <cell r="AC578">
            <v>1</v>
          </cell>
          <cell r="AD578" t="str">
            <v/>
          </cell>
          <cell r="AE578">
            <v>0</v>
          </cell>
          <cell r="AF578" t="str">
            <v/>
          </cell>
          <cell r="AG578" t="str">
            <v>12560938</v>
          </cell>
          <cell r="AH578">
            <v>44662.945115740738</v>
          </cell>
          <cell r="AI578" t="str">
            <v>N38</v>
          </cell>
          <cell r="AJ578" t="str">
            <v>F</v>
          </cell>
          <cell r="AK578" t="str">
            <v/>
          </cell>
        </row>
        <row r="579">
          <cell r="A579" t="str">
            <v>12560950829052</v>
          </cell>
          <cell r="B579" t="e">
            <v>#N/A</v>
          </cell>
          <cell r="C579">
            <v>7</v>
          </cell>
          <cell r="D579" t="str">
            <v>EK65</v>
          </cell>
          <cell r="E579" t="str">
            <v>550858</v>
          </cell>
          <cell r="F579" t="str">
            <v>E</v>
          </cell>
          <cell r="G579" t="str">
            <v>12560950</v>
          </cell>
          <cell r="H579" t="str">
            <v>Halter, vollst.</v>
          </cell>
          <cell r="I579">
            <v>31</v>
          </cell>
          <cell r="J579" t="str">
            <v>Stk</v>
          </cell>
          <cell r="K579">
            <v>45349</v>
          </cell>
          <cell r="L579" t="str">
            <v>829052</v>
          </cell>
          <cell r="M579" t="str">
            <v/>
          </cell>
          <cell r="N579" t="str">
            <v/>
          </cell>
          <cell r="O579" t="str">
            <v/>
          </cell>
          <cell r="P579" t="str">
            <v/>
          </cell>
          <cell r="Q579" t="str">
            <v/>
          </cell>
          <cell r="R579" t="str">
            <v/>
          </cell>
          <cell r="S579" t="str">
            <v/>
          </cell>
          <cell r="T579" t="str">
            <v/>
          </cell>
          <cell r="U579" t="str">
            <v/>
          </cell>
          <cell r="V579" t="str">
            <v>N38</v>
          </cell>
          <cell r="W579" t="str">
            <v/>
          </cell>
          <cell r="X579" t="str">
            <v/>
          </cell>
          <cell r="Y579" t="str">
            <v/>
          </cell>
          <cell r="Z579" t="str">
            <v/>
          </cell>
          <cell r="AA579" t="str">
            <v/>
          </cell>
          <cell r="AB579" t="str">
            <v>PA_4583518-QE.7004-4</v>
          </cell>
          <cell r="AC579">
            <v>1</v>
          </cell>
          <cell r="AD579" t="str">
            <v/>
          </cell>
          <cell r="AE579">
            <v>0</v>
          </cell>
          <cell r="AF579" t="str">
            <v/>
          </cell>
          <cell r="AG579" t="str">
            <v>12560950</v>
          </cell>
          <cell r="AH579">
            <v>44662.945115740738</v>
          </cell>
          <cell r="AI579" t="str">
            <v>N38</v>
          </cell>
          <cell r="AJ579" t="str">
            <v>F</v>
          </cell>
          <cell r="AK579" t="str">
            <v/>
          </cell>
        </row>
        <row r="580">
          <cell r="A580" t="str">
            <v>12560962829052</v>
          </cell>
          <cell r="B580" t="e">
            <v>#N/A</v>
          </cell>
          <cell r="C580" t="e">
            <v>#N/A</v>
          </cell>
          <cell r="D580" t="str">
            <v>EK65</v>
          </cell>
          <cell r="E580" t="str">
            <v>550859</v>
          </cell>
          <cell r="F580" t="str">
            <v>E</v>
          </cell>
          <cell r="G580" t="str">
            <v>12560962</v>
          </cell>
          <cell r="H580" t="str">
            <v>Schottplatte vollst.</v>
          </cell>
          <cell r="I580">
            <v>31</v>
          </cell>
          <cell r="J580" t="str">
            <v>Stk</v>
          </cell>
          <cell r="K580">
            <v>45349</v>
          </cell>
          <cell r="L580" t="str">
            <v>829052</v>
          </cell>
          <cell r="M580" t="str">
            <v/>
          </cell>
          <cell r="N580" t="str">
            <v/>
          </cell>
          <cell r="O580" t="str">
            <v/>
          </cell>
          <cell r="P580" t="str">
            <v/>
          </cell>
          <cell r="Q580" t="str">
            <v/>
          </cell>
          <cell r="R580" t="str">
            <v/>
          </cell>
          <cell r="S580" t="str">
            <v/>
          </cell>
          <cell r="T580" t="str">
            <v/>
          </cell>
          <cell r="U580" t="str">
            <v/>
          </cell>
          <cell r="V580" t="str">
            <v>N38</v>
          </cell>
          <cell r="W580" t="str">
            <v/>
          </cell>
          <cell r="X580" t="str">
            <v/>
          </cell>
          <cell r="Y580" t="str">
            <v/>
          </cell>
          <cell r="Z580" t="str">
            <v/>
          </cell>
          <cell r="AA580" t="str">
            <v/>
          </cell>
          <cell r="AB580" t="str">
            <v>PA_4554038-QE.7004-3</v>
          </cell>
          <cell r="AC580">
            <v>1</v>
          </cell>
          <cell r="AD580" t="str">
            <v/>
          </cell>
          <cell r="AE580">
            <v>0</v>
          </cell>
          <cell r="AF580" t="str">
            <v/>
          </cell>
          <cell r="AG580" t="str">
            <v>12560962</v>
          </cell>
          <cell r="AH580">
            <v>44662.945127314815</v>
          </cell>
          <cell r="AI580" t="str">
            <v>N38</v>
          </cell>
          <cell r="AJ580" t="str">
            <v>F</v>
          </cell>
          <cell r="AK580" t="str">
            <v/>
          </cell>
        </row>
        <row r="581">
          <cell r="A581" t="str">
            <v>12570309829052</v>
          </cell>
          <cell r="B581" t="e">
            <v>#N/A</v>
          </cell>
          <cell r="C581">
            <v>6</v>
          </cell>
          <cell r="D581" t="str">
            <v>EK65</v>
          </cell>
          <cell r="E581" t="str">
            <v>550862</v>
          </cell>
          <cell r="F581" t="str">
            <v>E</v>
          </cell>
          <cell r="G581" t="str">
            <v>12570309</v>
          </cell>
          <cell r="H581" t="str">
            <v>Halter fuer Schottverschraubungen</v>
          </cell>
          <cell r="I581">
            <v>60</v>
          </cell>
          <cell r="J581" t="str">
            <v>Stk</v>
          </cell>
          <cell r="K581">
            <v>45363</v>
          </cell>
          <cell r="L581" t="str">
            <v>829052</v>
          </cell>
          <cell r="M581" t="str">
            <v/>
          </cell>
          <cell r="N581" t="str">
            <v/>
          </cell>
          <cell r="O581" t="str">
            <v/>
          </cell>
          <cell r="P581" t="str">
            <v/>
          </cell>
          <cell r="Q581" t="str">
            <v/>
          </cell>
          <cell r="R581" t="str">
            <v/>
          </cell>
          <cell r="S581" t="str">
            <v/>
          </cell>
          <cell r="T581" t="str">
            <v/>
          </cell>
          <cell r="U581" t="str">
            <v/>
          </cell>
          <cell r="V581" t="str">
            <v>N52</v>
          </cell>
          <cell r="W581" t="str">
            <v/>
          </cell>
          <cell r="X581" t="str">
            <v/>
          </cell>
          <cell r="Y581" t="str">
            <v/>
          </cell>
          <cell r="Z581" t="str">
            <v/>
          </cell>
          <cell r="AA581" t="str">
            <v/>
          </cell>
          <cell r="AB581" t="str">
            <v>PA_4710961-QE.7004-2</v>
          </cell>
          <cell r="AC581">
            <v>1</v>
          </cell>
          <cell r="AD581" t="str">
            <v/>
          </cell>
          <cell r="AE581">
            <v>0</v>
          </cell>
          <cell r="AF581" t="str">
            <v/>
          </cell>
          <cell r="AG581" t="str">
            <v>12570309</v>
          </cell>
          <cell r="AH581">
            <v>44662.945393518516</v>
          </cell>
          <cell r="AI581" t="str">
            <v>N52</v>
          </cell>
          <cell r="AJ581" t="str">
            <v>F</v>
          </cell>
          <cell r="AK581" t="str">
            <v>A</v>
          </cell>
        </row>
        <row r="582">
          <cell r="A582" t="str">
            <v>12570318829052</v>
          </cell>
          <cell r="B582" t="e">
            <v>#N/A</v>
          </cell>
          <cell r="C582">
            <v>6</v>
          </cell>
          <cell r="D582" t="str">
            <v>EK65</v>
          </cell>
          <cell r="E582" t="str">
            <v>550863</v>
          </cell>
          <cell r="F582" t="str">
            <v>E</v>
          </cell>
          <cell r="G582" t="str">
            <v>12570318</v>
          </cell>
          <cell r="H582" t="str">
            <v>Zwischenlage</v>
          </cell>
          <cell r="I582">
            <v>62</v>
          </cell>
          <cell r="J582" t="str">
            <v>Stk</v>
          </cell>
          <cell r="K582">
            <v>45351</v>
          </cell>
          <cell r="L582" t="str">
            <v>829052</v>
          </cell>
          <cell r="M582" t="str">
            <v/>
          </cell>
          <cell r="N582" t="str">
            <v/>
          </cell>
          <cell r="O582" t="str">
            <v/>
          </cell>
          <cell r="P582" t="str">
            <v/>
          </cell>
          <cell r="Q582" t="str">
            <v/>
          </cell>
          <cell r="R582" t="str">
            <v/>
          </cell>
          <cell r="S582" t="str">
            <v/>
          </cell>
          <cell r="T582" t="str">
            <v/>
          </cell>
          <cell r="U582" t="str">
            <v/>
          </cell>
          <cell r="V582" t="str">
            <v>N52</v>
          </cell>
          <cell r="W582" t="str">
            <v/>
          </cell>
          <cell r="X582" t="str">
            <v/>
          </cell>
          <cell r="Y582" t="str">
            <v/>
          </cell>
          <cell r="Z582" t="str">
            <v/>
          </cell>
          <cell r="AA582" t="str">
            <v/>
          </cell>
          <cell r="AB582" t="str">
            <v>PA_4595876-QE.7004-4</v>
          </cell>
          <cell r="AC582">
            <v>1</v>
          </cell>
          <cell r="AD582" t="str">
            <v/>
          </cell>
          <cell r="AE582">
            <v>0</v>
          </cell>
          <cell r="AF582" t="str">
            <v/>
          </cell>
          <cell r="AG582" t="str">
            <v>12570318</v>
          </cell>
          <cell r="AH582">
            <v>44662.945405092592</v>
          </cell>
          <cell r="AI582" t="str">
            <v>N52</v>
          </cell>
          <cell r="AJ582" t="str">
            <v>F</v>
          </cell>
          <cell r="AK582" t="str">
            <v/>
          </cell>
        </row>
        <row r="583">
          <cell r="A583" t="str">
            <v>12535640829053</v>
          </cell>
          <cell r="B583" t="e">
            <v>#N/A</v>
          </cell>
          <cell r="C583">
            <v>24</v>
          </cell>
          <cell r="D583" t="str">
            <v>EK65</v>
          </cell>
          <cell r="E583" t="str">
            <v>551342</v>
          </cell>
          <cell r="F583" t="str">
            <v>E</v>
          </cell>
          <cell r="G583" t="str">
            <v>12535640</v>
          </cell>
          <cell r="H583" t="str">
            <v>Blech</v>
          </cell>
          <cell r="I583">
            <v>59</v>
          </cell>
          <cell r="J583" t="str">
            <v>Stk</v>
          </cell>
          <cell r="K583">
            <v>45064</v>
          </cell>
          <cell r="L583" t="str">
            <v>829053</v>
          </cell>
          <cell r="M583" t="str">
            <v/>
          </cell>
          <cell r="N583" t="str">
            <v/>
          </cell>
          <cell r="O583" t="str">
            <v/>
          </cell>
          <cell r="P583" t="str">
            <v/>
          </cell>
          <cell r="Q583" t="str">
            <v/>
          </cell>
          <cell r="R583" t="str">
            <v/>
          </cell>
          <cell r="S583" t="str">
            <v/>
          </cell>
          <cell r="T583" t="str">
            <v/>
          </cell>
          <cell r="U583" t="str">
            <v/>
          </cell>
          <cell r="V583" t="str">
            <v>H06</v>
          </cell>
          <cell r="W583" t="str">
            <v/>
          </cell>
          <cell r="X583" t="str">
            <v/>
          </cell>
          <cell r="Y583" t="str">
            <v/>
          </cell>
          <cell r="Z583" t="str">
            <v/>
          </cell>
          <cell r="AA583" t="str">
            <v/>
          </cell>
          <cell r="AB583" t="str">
            <v>PA_4591520-TB.7005-3</v>
          </cell>
          <cell r="AC583">
            <v>1</v>
          </cell>
          <cell r="AD583" t="str">
            <v/>
          </cell>
          <cell r="AE583">
            <v>0</v>
          </cell>
          <cell r="AF583" t="str">
            <v/>
          </cell>
          <cell r="AG583" t="str">
            <v>12535640</v>
          </cell>
          <cell r="AH583">
            <v>44663.891030092593</v>
          </cell>
          <cell r="AI583" t="str">
            <v>H06</v>
          </cell>
          <cell r="AJ583" t="str">
            <v>F</v>
          </cell>
          <cell r="AK583" t="str">
            <v/>
          </cell>
        </row>
        <row r="584">
          <cell r="A584" t="str">
            <v>12538378829054</v>
          </cell>
          <cell r="B584" t="e">
            <v>#N/A</v>
          </cell>
          <cell r="C584">
            <v>12</v>
          </cell>
          <cell r="D584" t="str">
            <v>EK65</v>
          </cell>
          <cell r="E584" t="str">
            <v>551346</v>
          </cell>
          <cell r="F584" t="str">
            <v>E</v>
          </cell>
          <cell r="G584" t="str">
            <v>12538378</v>
          </cell>
          <cell r="H584" t="str">
            <v>Sammelschiene SSch 10 x 3 x 461</v>
          </cell>
          <cell r="I584">
            <v>18</v>
          </cell>
          <cell r="J584" t="str">
            <v>Stk</v>
          </cell>
          <cell r="K584">
            <v>45100</v>
          </cell>
          <cell r="L584" t="str">
            <v>829054</v>
          </cell>
          <cell r="M584" t="str">
            <v/>
          </cell>
          <cell r="N584" t="str">
            <v/>
          </cell>
          <cell r="O584" t="str">
            <v/>
          </cell>
          <cell r="P584" t="str">
            <v/>
          </cell>
          <cell r="Q584" t="str">
            <v/>
          </cell>
          <cell r="R584" t="str">
            <v/>
          </cell>
          <cell r="S584" t="str">
            <v/>
          </cell>
          <cell r="T584" t="str">
            <v/>
          </cell>
          <cell r="U584" t="str">
            <v/>
          </cell>
          <cell r="V584" t="str">
            <v>N38</v>
          </cell>
          <cell r="W584" t="str">
            <v/>
          </cell>
          <cell r="X584" t="str">
            <v/>
          </cell>
          <cell r="Y584" t="str">
            <v/>
          </cell>
          <cell r="Z584" t="str">
            <v/>
          </cell>
          <cell r="AA584" t="str">
            <v/>
          </cell>
          <cell r="AB584" t="str">
            <v>PA_4634480-UA.7005-3</v>
          </cell>
          <cell r="AC584">
            <v>1</v>
          </cell>
          <cell r="AD584" t="str">
            <v/>
          </cell>
          <cell r="AE584">
            <v>0</v>
          </cell>
          <cell r="AF584" t="str">
            <v/>
          </cell>
          <cell r="AG584" t="str">
            <v>12538378</v>
          </cell>
          <cell r="AH584">
            <v>44663.891365740739</v>
          </cell>
          <cell r="AI584" t="str">
            <v>N38</v>
          </cell>
          <cell r="AJ584" t="str">
            <v>F</v>
          </cell>
          <cell r="AK584" t="str">
            <v/>
          </cell>
        </row>
        <row r="585">
          <cell r="A585" t="str">
            <v>12539937829052</v>
          </cell>
          <cell r="B585" t="e">
            <v>#N/A</v>
          </cell>
          <cell r="C585">
            <v>6</v>
          </cell>
          <cell r="D585" t="str">
            <v>EK65</v>
          </cell>
          <cell r="E585" t="str">
            <v>551350</v>
          </cell>
          <cell r="F585" t="str">
            <v>E</v>
          </cell>
          <cell r="G585" t="str">
            <v>12539937</v>
          </cell>
          <cell r="H585" t="str">
            <v>Tafel vollst.</v>
          </cell>
          <cell r="I585">
            <v>30</v>
          </cell>
          <cell r="J585" t="str">
            <v>Stk</v>
          </cell>
          <cell r="K585">
            <v>45247</v>
          </cell>
          <cell r="L585" t="str">
            <v>829052</v>
          </cell>
          <cell r="M585" t="str">
            <v/>
          </cell>
          <cell r="N585" t="str">
            <v/>
          </cell>
          <cell r="O585" t="str">
            <v/>
          </cell>
          <cell r="P585" t="str">
            <v/>
          </cell>
          <cell r="Q585" t="str">
            <v/>
          </cell>
          <cell r="R585" t="str">
            <v/>
          </cell>
          <cell r="S585" t="str">
            <v/>
          </cell>
          <cell r="T585" t="str">
            <v/>
          </cell>
          <cell r="U585" t="str">
            <v/>
          </cell>
          <cell r="V585" t="str">
            <v>N38</v>
          </cell>
          <cell r="W585" t="str">
            <v/>
          </cell>
          <cell r="X585" t="str">
            <v/>
          </cell>
          <cell r="Y585" t="str">
            <v/>
          </cell>
          <cell r="Z585" t="str">
            <v/>
          </cell>
          <cell r="AA585" t="str">
            <v/>
          </cell>
          <cell r="AB585" t="str">
            <v>PA_4300541-TC.7004-2</v>
          </cell>
          <cell r="AC585">
            <v>1</v>
          </cell>
          <cell r="AD585" t="str">
            <v/>
          </cell>
          <cell r="AE585">
            <v>0</v>
          </cell>
          <cell r="AF585" t="str">
            <v/>
          </cell>
          <cell r="AG585" t="str">
            <v>12539937</v>
          </cell>
          <cell r="AH585">
            <v>44663.891400462962</v>
          </cell>
          <cell r="AI585" t="str">
            <v>N38</v>
          </cell>
          <cell r="AJ585" t="str">
            <v>F</v>
          </cell>
          <cell r="AK585" t="str">
            <v/>
          </cell>
        </row>
        <row r="586">
          <cell r="A586" t="str">
            <v>12520504829051</v>
          </cell>
          <cell r="B586" t="e">
            <v>#N/A</v>
          </cell>
          <cell r="C586">
            <v>24</v>
          </cell>
          <cell r="D586" t="str">
            <v>EK65</v>
          </cell>
          <cell r="E586" t="str">
            <v>551515</v>
          </cell>
          <cell r="F586" t="str">
            <v>E</v>
          </cell>
          <cell r="G586" t="str">
            <v>12520504</v>
          </cell>
          <cell r="H586" t="str">
            <v>Steckerblech</v>
          </cell>
          <cell r="I586">
            <v>179</v>
          </cell>
          <cell r="J586" t="str">
            <v>Stk</v>
          </cell>
          <cell r="K586">
            <v>45324</v>
          </cell>
          <cell r="L586" t="str">
            <v>829051</v>
          </cell>
          <cell r="M586" t="str">
            <v/>
          </cell>
          <cell r="N586" t="str">
            <v/>
          </cell>
          <cell r="O586" t="str">
            <v/>
          </cell>
          <cell r="P586" t="str">
            <v/>
          </cell>
          <cell r="Q586" t="str">
            <v/>
          </cell>
          <cell r="R586" t="str">
            <v/>
          </cell>
          <cell r="S586" t="str">
            <v/>
          </cell>
          <cell r="T586" t="str">
            <v/>
          </cell>
          <cell r="U586" t="str">
            <v/>
          </cell>
          <cell r="V586" t="str">
            <v>N52</v>
          </cell>
          <cell r="W586" t="str">
            <v/>
          </cell>
          <cell r="X586" t="str">
            <v/>
          </cell>
          <cell r="Y586" t="str">
            <v/>
          </cell>
          <cell r="Z586" t="str">
            <v/>
          </cell>
          <cell r="AA586" t="str">
            <v/>
          </cell>
          <cell r="AB586" t="str">
            <v>PA_4522108-UA.7005-3</v>
          </cell>
          <cell r="AC586">
            <v>1</v>
          </cell>
          <cell r="AD586" t="str">
            <v/>
          </cell>
          <cell r="AE586">
            <v>0</v>
          </cell>
          <cell r="AF586" t="str">
            <v/>
          </cell>
          <cell r="AG586" t="str">
            <v>12520504</v>
          </cell>
          <cell r="AH586">
            <v>44663.931851851848</v>
          </cell>
          <cell r="AI586" t="str">
            <v>N52</v>
          </cell>
          <cell r="AJ586" t="str">
            <v>F</v>
          </cell>
          <cell r="AK586" t="str">
            <v/>
          </cell>
        </row>
        <row r="587">
          <cell r="A587" t="str">
            <v>12528102829051</v>
          </cell>
          <cell r="B587" t="e">
            <v>#N/A</v>
          </cell>
          <cell r="C587">
            <v>20</v>
          </cell>
          <cell r="D587" t="str">
            <v>EK65</v>
          </cell>
          <cell r="E587" t="str">
            <v>551519</v>
          </cell>
          <cell r="F587" t="str">
            <v>E</v>
          </cell>
          <cell r="G587" t="str">
            <v>12528102</v>
          </cell>
          <cell r="H587" t="str">
            <v>Blech</v>
          </cell>
          <cell r="I587">
            <v>5804</v>
          </cell>
          <cell r="J587" t="str">
            <v>Stk</v>
          </cell>
          <cell r="K587">
            <v>45317</v>
          </cell>
          <cell r="L587" t="str">
            <v>829051</v>
          </cell>
          <cell r="M587" t="str">
            <v/>
          </cell>
          <cell r="N587" t="str">
            <v/>
          </cell>
          <cell r="O587" t="str">
            <v/>
          </cell>
          <cell r="P587" t="str">
            <v/>
          </cell>
          <cell r="Q587" t="str">
            <v/>
          </cell>
          <cell r="R587" t="str">
            <v/>
          </cell>
          <cell r="S587" t="str">
            <v/>
          </cell>
          <cell r="T587" t="str">
            <v/>
          </cell>
          <cell r="U587" t="str">
            <v/>
          </cell>
          <cell r="V587" t="str">
            <v>N52</v>
          </cell>
          <cell r="W587" t="str">
            <v/>
          </cell>
          <cell r="X587" t="str">
            <v/>
          </cell>
          <cell r="Y587" t="str">
            <v/>
          </cell>
          <cell r="Z587" t="str">
            <v/>
          </cell>
          <cell r="AA587" t="str">
            <v/>
          </cell>
          <cell r="AB587" t="str">
            <v>PA_4512493-UA.7005-4</v>
          </cell>
          <cell r="AC587">
            <v>4</v>
          </cell>
          <cell r="AD587" t="str">
            <v/>
          </cell>
          <cell r="AE587">
            <v>0</v>
          </cell>
          <cell r="AF587" t="str">
            <v/>
          </cell>
          <cell r="AG587" t="str">
            <v>12528102</v>
          </cell>
          <cell r="AH587">
            <v>44663.93209490741</v>
          </cell>
          <cell r="AI587" t="str">
            <v>N52</v>
          </cell>
          <cell r="AJ587" t="str">
            <v>F</v>
          </cell>
          <cell r="AK587" t="str">
            <v/>
          </cell>
        </row>
        <row r="588">
          <cell r="A588" t="str">
            <v>12558768829051</v>
          </cell>
          <cell r="B588" t="e">
            <v>#N/A</v>
          </cell>
          <cell r="C588">
            <v>7</v>
          </cell>
          <cell r="D588" t="str">
            <v>EK65</v>
          </cell>
          <cell r="E588" t="str">
            <v>551845</v>
          </cell>
          <cell r="F588" t="str">
            <v>E</v>
          </cell>
          <cell r="G588" t="str">
            <v>12558768</v>
          </cell>
          <cell r="H588" t="str">
            <v>LSS Halter vollst.</v>
          </cell>
          <cell r="I588">
            <v>90</v>
          </cell>
          <cell r="J588" t="str">
            <v>Stk</v>
          </cell>
          <cell r="K588">
            <v>45219</v>
          </cell>
          <cell r="L588" t="str">
            <v>829051</v>
          </cell>
          <cell r="M588" t="str">
            <v/>
          </cell>
          <cell r="N588" t="str">
            <v/>
          </cell>
          <cell r="O588" t="str">
            <v/>
          </cell>
          <cell r="P588" t="str">
            <v/>
          </cell>
          <cell r="Q588" t="str">
            <v/>
          </cell>
          <cell r="R588" t="str">
            <v/>
          </cell>
          <cell r="S588" t="str">
            <v/>
          </cell>
          <cell r="T588" t="str">
            <v/>
          </cell>
          <cell r="U588" t="str">
            <v/>
          </cell>
          <cell r="V588" t="str">
            <v>N38</v>
          </cell>
          <cell r="W588" t="str">
            <v/>
          </cell>
          <cell r="X588" t="str">
            <v/>
          </cell>
          <cell r="Y588" t="str">
            <v/>
          </cell>
          <cell r="Z588" t="str">
            <v/>
          </cell>
          <cell r="AA588" t="str">
            <v/>
          </cell>
          <cell r="AB588" t="str">
            <v>PA_4508456-TC.7004-3</v>
          </cell>
          <cell r="AC588">
            <v>1</v>
          </cell>
          <cell r="AD588" t="str">
            <v/>
          </cell>
          <cell r="AE588">
            <v>0</v>
          </cell>
          <cell r="AF588" t="str">
            <v/>
          </cell>
          <cell r="AG588" t="str">
            <v>12558768</v>
          </cell>
          <cell r="AH588">
            <v>44664.891516203701</v>
          </cell>
          <cell r="AI588" t="str">
            <v>N38</v>
          </cell>
          <cell r="AJ588" t="str">
            <v>F</v>
          </cell>
          <cell r="AK588" t="str">
            <v/>
          </cell>
        </row>
        <row r="589">
          <cell r="A589" t="str">
            <v>12520750829053</v>
          </cell>
          <cell r="B589" t="str">
            <v>BL20230418-1</v>
          </cell>
          <cell r="C589">
            <v>12</v>
          </cell>
          <cell r="D589" t="str">
            <v>EK65</v>
          </cell>
          <cell r="E589" t="str">
            <v>553443</v>
          </cell>
          <cell r="F589" t="str">
            <v>E</v>
          </cell>
          <cell r="G589" t="str">
            <v>12520750</v>
          </cell>
          <cell r="H589" t="str">
            <v>Abstandshalter vollst.</v>
          </cell>
          <cell r="I589">
            <v>502</v>
          </cell>
          <cell r="J589" t="str">
            <v>Stk</v>
          </cell>
          <cell r="K589">
            <v>45093</v>
          </cell>
          <cell r="L589" t="str">
            <v>829053</v>
          </cell>
          <cell r="M589" t="str">
            <v/>
          </cell>
          <cell r="N589" t="str">
            <v/>
          </cell>
          <cell r="O589" t="str">
            <v/>
          </cell>
          <cell r="P589" t="str">
            <v/>
          </cell>
          <cell r="Q589" t="str">
            <v/>
          </cell>
          <cell r="R589" t="str">
            <v/>
          </cell>
          <cell r="S589" t="str">
            <v/>
          </cell>
          <cell r="T589" t="str">
            <v/>
          </cell>
          <cell r="U589" t="str">
            <v/>
          </cell>
          <cell r="V589" t="str">
            <v>N38</v>
          </cell>
          <cell r="W589" t="str">
            <v/>
          </cell>
          <cell r="X589" t="str">
            <v/>
          </cell>
          <cell r="Y589" t="str">
            <v/>
          </cell>
          <cell r="Z589" t="str">
            <v/>
          </cell>
          <cell r="AA589" t="str">
            <v/>
          </cell>
          <cell r="AB589" t="str">
            <v>PA_2342258-TC.7005-3</v>
          </cell>
          <cell r="AC589">
            <v>1</v>
          </cell>
          <cell r="AD589" t="str">
            <v/>
          </cell>
          <cell r="AE589">
            <v>0</v>
          </cell>
          <cell r="AF589" t="str">
            <v/>
          </cell>
          <cell r="AG589" t="str">
            <v>12520750</v>
          </cell>
          <cell r="AH589">
            <v>44664.934074074074</v>
          </cell>
          <cell r="AI589" t="str">
            <v>N38</v>
          </cell>
          <cell r="AJ589" t="str">
            <v>F</v>
          </cell>
          <cell r="AK589" t="str">
            <v/>
          </cell>
        </row>
        <row r="590">
          <cell r="A590" t="str">
            <v>12520771829053</v>
          </cell>
          <cell r="B590" t="e">
            <v>#N/A</v>
          </cell>
          <cell r="C590">
            <v>10</v>
          </cell>
          <cell r="D590" t="str">
            <v>EK65</v>
          </cell>
          <cell r="E590" t="str">
            <v>553445</v>
          </cell>
          <cell r="F590" t="str">
            <v>E</v>
          </cell>
          <cell r="G590" t="str">
            <v>12520771</v>
          </cell>
          <cell r="H590" t="str">
            <v>Halteblech vollst.</v>
          </cell>
          <cell r="I590">
            <v>48</v>
          </cell>
          <cell r="J590" t="str">
            <v>Stk</v>
          </cell>
          <cell r="K590">
            <v>45114</v>
          </cell>
          <cell r="L590" t="str">
            <v>829053</v>
          </cell>
          <cell r="M590" t="str">
            <v/>
          </cell>
          <cell r="N590" t="str">
            <v/>
          </cell>
          <cell r="O590" t="str">
            <v/>
          </cell>
          <cell r="P590" t="str">
            <v/>
          </cell>
          <cell r="Q590" t="str">
            <v/>
          </cell>
          <cell r="R590" t="str">
            <v/>
          </cell>
          <cell r="S590" t="str">
            <v/>
          </cell>
          <cell r="T590" t="str">
            <v/>
          </cell>
          <cell r="U590" t="str">
            <v/>
          </cell>
          <cell r="V590" t="str">
            <v>N38</v>
          </cell>
          <cell r="W590" t="str">
            <v/>
          </cell>
          <cell r="X590" t="str">
            <v/>
          </cell>
          <cell r="Y590" t="str">
            <v/>
          </cell>
          <cell r="Z590" t="str">
            <v/>
          </cell>
          <cell r="AA590" t="str">
            <v/>
          </cell>
          <cell r="AB590" t="str">
            <v>PA_4505212-TC.7005-3</v>
          </cell>
          <cell r="AC590">
            <v>1</v>
          </cell>
          <cell r="AD590" t="str">
            <v/>
          </cell>
          <cell r="AE590">
            <v>0</v>
          </cell>
          <cell r="AF590" t="str">
            <v/>
          </cell>
          <cell r="AG590" t="str">
            <v>12520771</v>
          </cell>
          <cell r="AH590">
            <v>44664.93414351852</v>
          </cell>
          <cell r="AI590" t="str">
            <v>N38</v>
          </cell>
          <cell r="AJ590" t="str">
            <v>F</v>
          </cell>
          <cell r="AK590" t="str">
            <v/>
          </cell>
        </row>
        <row r="591">
          <cell r="A591" t="str">
            <v>12505393829051</v>
          </cell>
          <cell r="B591" t="str">
            <v>BL20230418-1</v>
          </cell>
          <cell r="C591">
            <v>12</v>
          </cell>
          <cell r="D591" t="str">
            <v>EK65</v>
          </cell>
          <cell r="E591" t="str">
            <v>554236</v>
          </cell>
          <cell r="F591" t="str">
            <v>E</v>
          </cell>
          <cell r="G591" t="str">
            <v>12505393</v>
          </cell>
          <cell r="H591" t="str">
            <v>Halter Steckdose</v>
          </cell>
          <cell r="I591">
            <v>58</v>
          </cell>
          <cell r="J591" t="str">
            <v>Stk</v>
          </cell>
          <cell r="K591">
            <v>45093</v>
          </cell>
          <cell r="L591" t="str">
            <v>829051</v>
          </cell>
          <cell r="M591" t="str">
            <v/>
          </cell>
          <cell r="N591" t="str">
            <v/>
          </cell>
          <cell r="O591" t="str">
            <v/>
          </cell>
          <cell r="P591" t="str">
            <v/>
          </cell>
          <cell r="Q591" t="str">
            <v/>
          </cell>
          <cell r="R591" t="str">
            <v/>
          </cell>
          <cell r="S591" t="str">
            <v/>
          </cell>
          <cell r="T591" t="str">
            <v/>
          </cell>
          <cell r="U591" t="str">
            <v/>
          </cell>
          <cell r="V591" t="str">
            <v>N38</v>
          </cell>
          <cell r="W591" t="str">
            <v/>
          </cell>
          <cell r="X591" t="str">
            <v/>
          </cell>
          <cell r="Y591" t="str">
            <v/>
          </cell>
          <cell r="Z591" t="str">
            <v/>
          </cell>
          <cell r="AA591" t="str">
            <v/>
          </cell>
          <cell r="AB591" t="str">
            <v>PA_4398990-TA.7005-3</v>
          </cell>
          <cell r="AC591">
            <v>1</v>
          </cell>
          <cell r="AD591" t="str">
            <v/>
          </cell>
          <cell r="AE591">
            <v>0</v>
          </cell>
          <cell r="AF591" t="str">
            <v/>
          </cell>
          <cell r="AG591" t="str">
            <v>12505393</v>
          </cell>
          <cell r="AH591">
            <v>44665.884664351855</v>
          </cell>
          <cell r="AI591" t="str">
            <v>N38</v>
          </cell>
          <cell r="AJ591" t="str">
            <v>F</v>
          </cell>
          <cell r="AK591" t="str">
            <v/>
          </cell>
        </row>
        <row r="592">
          <cell r="A592" t="str">
            <v>12558663829051</v>
          </cell>
          <cell r="B592" t="e">
            <v>#N/A</v>
          </cell>
          <cell r="C592">
            <v>4</v>
          </cell>
          <cell r="D592" t="str">
            <v>EK65</v>
          </cell>
          <cell r="E592" t="str">
            <v>554259</v>
          </cell>
          <cell r="F592" t="str">
            <v>E</v>
          </cell>
          <cell r="G592" t="str">
            <v>12558663</v>
          </cell>
          <cell r="H592" t="str">
            <v>Adapterblech vollst.</v>
          </cell>
          <cell r="I592">
            <v>90</v>
          </cell>
          <cell r="J592" t="str">
            <v>Stk</v>
          </cell>
          <cell r="K592">
            <v>45226</v>
          </cell>
          <cell r="L592" t="str">
            <v>829051</v>
          </cell>
          <cell r="M592" t="str">
            <v/>
          </cell>
          <cell r="N592" t="str">
            <v/>
          </cell>
          <cell r="O592" t="str">
            <v/>
          </cell>
          <cell r="P592" t="str">
            <v/>
          </cell>
          <cell r="Q592" t="str">
            <v/>
          </cell>
          <cell r="R592" t="str">
            <v/>
          </cell>
          <cell r="S592" t="str">
            <v/>
          </cell>
          <cell r="T592" t="str">
            <v/>
          </cell>
          <cell r="U592" t="str">
            <v/>
          </cell>
          <cell r="V592" t="str">
            <v>N38</v>
          </cell>
          <cell r="W592" t="str">
            <v/>
          </cell>
          <cell r="X592" t="str">
            <v/>
          </cell>
          <cell r="Y592" t="str">
            <v/>
          </cell>
          <cell r="Z592" t="str">
            <v/>
          </cell>
          <cell r="AA592" t="str">
            <v/>
          </cell>
          <cell r="AB592" t="str">
            <v>PA_4673465-TC.7004-4</v>
          </cell>
          <cell r="AC592">
            <v>1</v>
          </cell>
          <cell r="AD592" t="str">
            <v/>
          </cell>
          <cell r="AE592">
            <v>0</v>
          </cell>
          <cell r="AF592" t="str">
            <v/>
          </cell>
          <cell r="AG592" t="str">
            <v>12558663</v>
          </cell>
          <cell r="AH592">
            <v>44665.88925925926</v>
          </cell>
          <cell r="AI592" t="str">
            <v>N38</v>
          </cell>
          <cell r="AJ592" t="str">
            <v>F</v>
          </cell>
          <cell r="AK592" t="str">
            <v/>
          </cell>
        </row>
        <row r="593">
          <cell r="A593" t="str">
            <v>12517251829051</v>
          </cell>
          <cell r="B593" t="e">
            <v>#N/A</v>
          </cell>
          <cell r="C593">
            <v>12</v>
          </cell>
          <cell r="D593" t="str">
            <v>EK65</v>
          </cell>
          <cell r="E593" t="str">
            <v>555102</v>
          </cell>
          <cell r="F593" t="str">
            <v>E</v>
          </cell>
          <cell r="G593" t="str">
            <v>12517251</v>
          </cell>
          <cell r="H593" t="str">
            <v>Abdeckung</v>
          </cell>
          <cell r="I593">
            <v>90</v>
          </cell>
          <cell r="J593" t="str">
            <v>Stk</v>
          </cell>
          <cell r="K593">
            <v>45328</v>
          </cell>
          <cell r="L593" t="str">
            <v>829051</v>
          </cell>
          <cell r="M593" t="str">
            <v/>
          </cell>
          <cell r="N593" t="str">
            <v/>
          </cell>
          <cell r="O593" t="str">
            <v/>
          </cell>
          <cell r="P593" t="str">
            <v/>
          </cell>
          <cell r="Q593" t="str">
            <v/>
          </cell>
          <cell r="R593" t="str">
            <v/>
          </cell>
          <cell r="S593" t="str">
            <v/>
          </cell>
          <cell r="T593" t="str">
            <v/>
          </cell>
          <cell r="U593" t="str">
            <v/>
          </cell>
          <cell r="V593" t="str">
            <v>N52</v>
          </cell>
          <cell r="W593" t="str">
            <v/>
          </cell>
          <cell r="X593" t="str">
            <v/>
          </cell>
          <cell r="Y593" t="str">
            <v/>
          </cell>
          <cell r="Z593" t="str">
            <v/>
          </cell>
          <cell r="AA593" t="str">
            <v/>
          </cell>
          <cell r="AB593" t="str">
            <v>PA_4368268-UA.7005-3</v>
          </cell>
          <cell r="AC593">
            <v>1</v>
          </cell>
          <cell r="AD593" t="str">
            <v/>
          </cell>
          <cell r="AE593">
            <v>0</v>
          </cell>
          <cell r="AF593" t="str">
            <v/>
          </cell>
          <cell r="AG593" t="str">
            <v>12517251</v>
          </cell>
          <cell r="AH593">
            <v>44671.999745370369</v>
          </cell>
          <cell r="AI593" t="str">
            <v>N52</v>
          </cell>
          <cell r="AJ593" t="str">
            <v>F</v>
          </cell>
          <cell r="AK593" t="str">
            <v/>
          </cell>
        </row>
        <row r="594">
          <cell r="A594" t="str">
            <v>12517893829051</v>
          </cell>
          <cell r="B594" t="str">
            <v>BL20230413-2</v>
          </cell>
          <cell r="C594">
            <v>28</v>
          </cell>
          <cell r="D594" t="str">
            <v>EK65</v>
          </cell>
          <cell r="E594" t="str">
            <v>555104</v>
          </cell>
          <cell r="F594" t="str">
            <v>E</v>
          </cell>
          <cell r="G594" t="str">
            <v>12517893</v>
          </cell>
          <cell r="H594" t="str">
            <v>Klemmbuchse ID10,5 AD25 H6</v>
          </cell>
          <cell r="I594">
            <v>90</v>
          </cell>
          <cell r="J594" t="str">
            <v>Stk</v>
          </cell>
          <cell r="K594">
            <v>45331</v>
          </cell>
          <cell r="L594" t="str">
            <v>829051</v>
          </cell>
          <cell r="M594" t="str">
            <v/>
          </cell>
          <cell r="N594" t="str">
            <v/>
          </cell>
          <cell r="O594" t="str">
            <v/>
          </cell>
          <cell r="P594" t="str">
            <v/>
          </cell>
          <cell r="Q594" t="str">
            <v/>
          </cell>
          <cell r="R594" t="str">
            <v/>
          </cell>
          <cell r="S594" t="str">
            <v/>
          </cell>
          <cell r="T594" t="str">
            <v/>
          </cell>
          <cell r="U594" t="str">
            <v/>
          </cell>
          <cell r="V594" t="str">
            <v>N52</v>
          </cell>
          <cell r="W594" t="str">
            <v/>
          </cell>
          <cell r="X594" t="str">
            <v/>
          </cell>
          <cell r="Y594" t="str">
            <v/>
          </cell>
          <cell r="Z594" t="str">
            <v/>
          </cell>
          <cell r="AA594" t="str">
            <v/>
          </cell>
          <cell r="AB594" t="str">
            <v>PA_4363432-UA.7005-4</v>
          </cell>
          <cell r="AC594">
            <v>1</v>
          </cell>
          <cell r="AD594" t="str">
            <v/>
          </cell>
          <cell r="AE594">
            <v>0</v>
          </cell>
          <cell r="AF594" t="str">
            <v/>
          </cell>
          <cell r="AG594" t="str">
            <v>12517893</v>
          </cell>
          <cell r="AH594">
            <v>44671.999791666669</v>
          </cell>
          <cell r="AI594" t="str">
            <v>N52</v>
          </cell>
          <cell r="AJ594" t="str">
            <v>F</v>
          </cell>
          <cell r="AK594" t="str">
            <v/>
          </cell>
        </row>
        <row r="595">
          <cell r="A595" t="str">
            <v>12517894829051</v>
          </cell>
          <cell r="B595" t="str">
            <v>BL20230413-2</v>
          </cell>
          <cell r="C595">
            <v>24</v>
          </cell>
          <cell r="D595" t="str">
            <v>EK65</v>
          </cell>
          <cell r="E595" t="str">
            <v>555105</v>
          </cell>
          <cell r="F595" t="str">
            <v>E</v>
          </cell>
          <cell r="G595" t="str">
            <v>12517894</v>
          </cell>
          <cell r="H595" t="str">
            <v>Klemmbuchse ID8,5 AD20 H5</v>
          </cell>
          <cell r="I595">
            <v>176</v>
          </cell>
          <cell r="J595" t="str">
            <v>Stk</v>
          </cell>
          <cell r="K595">
            <v>45338</v>
          </cell>
          <cell r="L595" t="str">
            <v>829051</v>
          </cell>
          <cell r="M595" t="str">
            <v/>
          </cell>
          <cell r="N595" t="str">
            <v/>
          </cell>
          <cell r="O595" t="str">
            <v/>
          </cell>
          <cell r="P595" t="str">
            <v/>
          </cell>
          <cell r="Q595" t="str">
            <v/>
          </cell>
          <cell r="R595" t="str">
            <v/>
          </cell>
          <cell r="S595" t="str">
            <v/>
          </cell>
          <cell r="T595" t="str">
            <v/>
          </cell>
          <cell r="U595" t="str">
            <v/>
          </cell>
          <cell r="V595" t="str">
            <v>N52</v>
          </cell>
          <cell r="W595" t="str">
            <v/>
          </cell>
          <cell r="X595" t="str">
            <v/>
          </cell>
          <cell r="Y595" t="str">
            <v/>
          </cell>
          <cell r="Z595" t="str">
            <v/>
          </cell>
          <cell r="AA595" t="str">
            <v/>
          </cell>
          <cell r="AB595" t="str">
            <v>PA_4364933-UA.7005-4</v>
          </cell>
          <cell r="AC595">
            <v>1</v>
          </cell>
          <cell r="AD595" t="str">
            <v/>
          </cell>
          <cell r="AE595">
            <v>0</v>
          </cell>
          <cell r="AF595" t="str">
            <v/>
          </cell>
          <cell r="AG595" t="str">
            <v>12517894</v>
          </cell>
          <cell r="AH595">
            <v>44671.999814814815</v>
          </cell>
          <cell r="AI595" t="str">
            <v>N52</v>
          </cell>
          <cell r="AJ595" t="str">
            <v>F</v>
          </cell>
          <cell r="AK595" t="str">
            <v/>
          </cell>
        </row>
        <row r="596">
          <cell r="A596" t="str">
            <v>12517895829051</v>
          </cell>
          <cell r="B596" t="str">
            <v>BL20230413-2</v>
          </cell>
          <cell r="C596">
            <v>20</v>
          </cell>
          <cell r="D596" t="str">
            <v>EK65</v>
          </cell>
          <cell r="E596" t="str">
            <v>555106</v>
          </cell>
          <cell r="F596" t="str">
            <v>E</v>
          </cell>
          <cell r="G596" t="str">
            <v>12517895</v>
          </cell>
          <cell r="H596" t="str">
            <v>Schellenhalter</v>
          </cell>
          <cell r="I596">
            <v>89</v>
          </cell>
          <cell r="J596" t="str">
            <v>Stk</v>
          </cell>
          <cell r="K596">
            <v>45331</v>
          </cell>
          <cell r="L596" t="str">
            <v>829051</v>
          </cell>
          <cell r="M596" t="str">
            <v/>
          </cell>
          <cell r="N596" t="str">
            <v/>
          </cell>
          <cell r="O596" t="str">
            <v/>
          </cell>
          <cell r="P596" t="str">
            <v/>
          </cell>
          <cell r="Q596" t="str">
            <v/>
          </cell>
          <cell r="R596" t="str">
            <v/>
          </cell>
          <cell r="S596" t="str">
            <v/>
          </cell>
          <cell r="T596" t="str">
            <v/>
          </cell>
          <cell r="U596" t="str">
            <v/>
          </cell>
          <cell r="V596" t="str">
            <v>N52</v>
          </cell>
          <cell r="W596" t="str">
            <v/>
          </cell>
          <cell r="X596" t="str">
            <v/>
          </cell>
          <cell r="Y596" t="str">
            <v/>
          </cell>
          <cell r="Z596" t="str">
            <v/>
          </cell>
          <cell r="AA596" t="str">
            <v/>
          </cell>
          <cell r="AB596" t="str">
            <v>PA_4369642-UA.7005-3</v>
          </cell>
          <cell r="AC596">
            <v>1</v>
          </cell>
          <cell r="AD596" t="str">
            <v/>
          </cell>
          <cell r="AE596">
            <v>0</v>
          </cell>
          <cell r="AF596" t="str">
            <v/>
          </cell>
          <cell r="AG596" t="str">
            <v>12517895</v>
          </cell>
          <cell r="AH596">
            <v>44671.999849537038</v>
          </cell>
          <cell r="AI596" t="str">
            <v>N52</v>
          </cell>
          <cell r="AJ596" t="str">
            <v>F</v>
          </cell>
          <cell r="AK596" t="str">
            <v/>
          </cell>
        </row>
        <row r="597">
          <cell r="A597" t="str">
            <v>12517896829051</v>
          </cell>
          <cell r="B597" t="str">
            <v>BL20230413-2</v>
          </cell>
          <cell r="C597">
            <v>20</v>
          </cell>
          <cell r="D597" t="str">
            <v>EK65</v>
          </cell>
          <cell r="E597" t="str">
            <v>555107</v>
          </cell>
          <cell r="F597" t="str">
            <v>E</v>
          </cell>
          <cell r="G597" t="str">
            <v>12517896</v>
          </cell>
          <cell r="H597" t="str">
            <v>Schellenhalter</v>
          </cell>
          <cell r="I597">
            <v>89</v>
          </cell>
          <cell r="J597" t="str">
            <v>Stk</v>
          </cell>
          <cell r="K597">
            <v>45331</v>
          </cell>
          <cell r="L597" t="str">
            <v>829051</v>
          </cell>
          <cell r="M597" t="str">
            <v/>
          </cell>
          <cell r="N597" t="str">
            <v/>
          </cell>
          <cell r="O597" t="str">
            <v/>
          </cell>
          <cell r="P597" t="str">
            <v/>
          </cell>
          <cell r="Q597" t="str">
            <v/>
          </cell>
          <cell r="R597" t="str">
            <v/>
          </cell>
          <cell r="S597" t="str">
            <v/>
          </cell>
          <cell r="T597" t="str">
            <v/>
          </cell>
          <cell r="U597" t="str">
            <v/>
          </cell>
          <cell r="V597" t="str">
            <v>N52</v>
          </cell>
          <cell r="W597" t="str">
            <v/>
          </cell>
          <cell r="X597" t="str">
            <v/>
          </cell>
          <cell r="Y597" t="str">
            <v/>
          </cell>
          <cell r="Z597" t="str">
            <v/>
          </cell>
          <cell r="AA597" t="str">
            <v/>
          </cell>
          <cell r="AB597" t="str">
            <v>PA_4364629-UA.7005-3</v>
          </cell>
          <cell r="AC597">
            <v>1</v>
          </cell>
          <cell r="AD597" t="str">
            <v/>
          </cell>
          <cell r="AE597">
            <v>0</v>
          </cell>
          <cell r="AF597" t="str">
            <v/>
          </cell>
          <cell r="AG597" t="str">
            <v>12517896</v>
          </cell>
          <cell r="AH597">
            <v>44671.999872685185</v>
          </cell>
          <cell r="AI597" t="str">
            <v>N52</v>
          </cell>
          <cell r="AJ597" t="str">
            <v>F</v>
          </cell>
          <cell r="AK597" t="str">
            <v/>
          </cell>
        </row>
        <row r="598">
          <cell r="A598" t="str">
            <v>12517897829051</v>
          </cell>
          <cell r="B598" t="str">
            <v>BL20230413-2</v>
          </cell>
          <cell r="C598">
            <v>24</v>
          </cell>
          <cell r="D598" t="str">
            <v>EK65</v>
          </cell>
          <cell r="E598" t="str">
            <v>555108</v>
          </cell>
          <cell r="F598" t="str">
            <v>E</v>
          </cell>
          <cell r="G598" t="str">
            <v>12517897</v>
          </cell>
          <cell r="H598" t="str">
            <v>Halter</v>
          </cell>
          <cell r="I598">
            <v>89</v>
          </cell>
          <cell r="J598" t="str">
            <v>Stk</v>
          </cell>
          <cell r="K598">
            <v>45331</v>
          </cell>
          <cell r="L598" t="str">
            <v>829051</v>
          </cell>
          <cell r="M598" t="str">
            <v/>
          </cell>
          <cell r="N598" t="str">
            <v/>
          </cell>
          <cell r="O598" t="str">
            <v/>
          </cell>
          <cell r="P598" t="str">
            <v/>
          </cell>
          <cell r="Q598" t="str">
            <v/>
          </cell>
          <cell r="R598" t="str">
            <v/>
          </cell>
          <cell r="S598" t="str">
            <v/>
          </cell>
          <cell r="T598" t="str">
            <v/>
          </cell>
          <cell r="U598" t="str">
            <v/>
          </cell>
          <cell r="V598" t="str">
            <v>N52</v>
          </cell>
          <cell r="W598" t="str">
            <v/>
          </cell>
          <cell r="X598" t="str">
            <v/>
          </cell>
          <cell r="Y598" t="str">
            <v/>
          </cell>
          <cell r="Z598" t="str">
            <v/>
          </cell>
          <cell r="AA598" t="str">
            <v/>
          </cell>
          <cell r="AB598" t="str">
            <v>PA_4341737-UA.7005-2</v>
          </cell>
          <cell r="AC598">
            <v>1</v>
          </cell>
          <cell r="AD598" t="str">
            <v/>
          </cell>
          <cell r="AE598">
            <v>0</v>
          </cell>
          <cell r="AF598" t="str">
            <v/>
          </cell>
          <cell r="AG598" t="str">
            <v>12517897</v>
          </cell>
          <cell r="AH598">
            <v>44671.999895833331</v>
          </cell>
          <cell r="AI598" t="str">
            <v>N52</v>
          </cell>
          <cell r="AJ598" t="str">
            <v>F</v>
          </cell>
          <cell r="AK598" t="str">
            <v/>
          </cell>
        </row>
        <row r="599">
          <cell r="A599" t="str">
            <v>12517901829051</v>
          </cell>
          <cell r="B599" t="str">
            <v>BL20230413-2</v>
          </cell>
          <cell r="C599">
            <v>24</v>
          </cell>
          <cell r="D599" t="str">
            <v>EK65</v>
          </cell>
          <cell r="E599" t="str">
            <v>555109</v>
          </cell>
          <cell r="F599" t="str">
            <v>E</v>
          </cell>
          <cell r="G599" t="str">
            <v>12517901</v>
          </cell>
          <cell r="H599" t="str">
            <v>Abdeckung</v>
          </cell>
          <cell r="I599">
            <v>89</v>
          </cell>
          <cell r="J599" t="str">
            <v>Stk</v>
          </cell>
          <cell r="K599">
            <v>45331</v>
          </cell>
          <cell r="L599" t="str">
            <v>829051</v>
          </cell>
          <cell r="M599" t="str">
            <v/>
          </cell>
          <cell r="N599" t="str">
            <v/>
          </cell>
          <cell r="O599" t="str">
            <v/>
          </cell>
          <cell r="P599" t="str">
            <v/>
          </cell>
          <cell r="Q599" t="str">
            <v/>
          </cell>
          <cell r="R599" t="str">
            <v/>
          </cell>
          <cell r="S599" t="str">
            <v/>
          </cell>
          <cell r="T599" t="str">
            <v/>
          </cell>
          <cell r="U599" t="str">
            <v/>
          </cell>
          <cell r="V599" t="str">
            <v>N52</v>
          </cell>
          <cell r="W599" t="str">
            <v/>
          </cell>
          <cell r="X599" t="str">
            <v/>
          </cell>
          <cell r="Y599" t="str">
            <v/>
          </cell>
          <cell r="Z599" t="str">
            <v/>
          </cell>
          <cell r="AA599" t="str">
            <v/>
          </cell>
          <cell r="AB599" t="str">
            <v>PA_4369621-UA.7005-4</v>
          </cell>
          <cell r="AC599">
            <v>1</v>
          </cell>
          <cell r="AD599" t="str">
            <v/>
          </cell>
          <cell r="AE599">
            <v>0</v>
          </cell>
          <cell r="AF599" t="str">
            <v/>
          </cell>
          <cell r="AG599" t="str">
            <v>12517901</v>
          </cell>
          <cell r="AH599">
            <v>44671.999930555554</v>
          </cell>
          <cell r="AI599" t="str">
            <v>N52</v>
          </cell>
          <cell r="AJ599" t="str">
            <v>F</v>
          </cell>
          <cell r="AK599" t="str">
            <v/>
          </cell>
        </row>
        <row r="600">
          <cell r="A600" t="str">
            <v>12517902829051</v>
          </cell>
          <cell r="B600" t="e">
            <v>#N/A</v>
          </cell>
          <cell r="C600">
            <v>12</v>
          </cell>
          <cell r="D600" t="str">
            <v>EK65</v>
          </cell>
          <cell r="E600" t="str">
            <v>555110</v>
          </cell>
          <cell r="F600" t="str">
            <v>E</v>
          </cell>
          <cell r="G600" t="str">
            <v>12517902</v>
          </cell>
          <cell r="H600" t="str">
            <v>Halter</v>
          </cell>
          <cell r="I600">
            <v>179</v>
          </cell>
          <cell r="J600" t="str">
            <v>Stk</v>
          </cell>
          <cell r="K600">
            <v>45328</v>
          </cell>
          <cell r="L600" t="str">
            <v>829051</v>
          </cell>
          <cell r="M600" t="str">
            <v/>
          </cell>
          <cell r="N600" t="str">
            <v/>
          </cell>
          <cell r="O600" t="str">
            <v/>
          </cell>
          <cell r="P600" t="str">
            <v/>
          </cell>
          <cell r="Q600" t="str">
            <v/>
          </cell>
          <cell r="R600" t="str">
            <v/>
          </cell>
          <cell r="S600" t="str">
            <v/>
          </cell>
          <cell r="T600" t="str">
            <v/>
          </cell>
          <cell r="U600" t="str">
            <v/>
          </cell>
          <cell r="V600" t="str">
            <v>N52</v>
          </cell>
          <cell r="W600" t="str">
            <v/>
          </cell>
          <cell r="X600" t="str">
            <v/>
          </cell>
          <cell r="Y600" t="str">
            <v/>
          </cell>
          <cell r="Z600" t="str">
            <v/>
          </cell>
          <cell r="AA600" t="str">
            <v/>
          </cell>
          <cell r="AB600" t="str">
            <v>PA_4369352-UA.7005-3</v>
          </cell>
          <cell r="AC600">
            <v>1</v>
          </cell>
          <cell r="AD600" t="str">
            <v/>
          </cell>
          <cell r="AE600">
            <v>0</v>
          </cell>
          <cell r="AF600" t="str">
            <v/>
          </cell>
          <cell r="AG600" t="str">
            <v>12517902</v>
          </cell>
          <cell r="AH600">
            <v>44671.9999537037</v>
          </cell>
          <cell r="AI600" t="str">
            <v>N52</v>
          </cell>
          <cell r="AJ600" t="str">
            <v>F</v>
          </cell>
          <cell r="AK600" t="str">
            <v/>
          </cell>
        </row>
        <row r="601">
          <cell r="A601" t="str">
            <v>12509652829051</v>
          </cell>
          <cell r="B601" t="e">
            <v>#N/A</v>
          </cell>
          <cell r="C601">
            <v>14</v>
          </cell>
          <cell r="D601" t="str">
            <v>EK65</v>
          </cell>
          <cell r="E601" t="str">
            <v>555148</v>
          </cell>
          <cell r="F601" t="str">
            <v>E</v>
          </cell>
          <cell r="G601" t="str">
            <v>12509652</v>
          </cell>
          <cell r="H601" t="str">
            <v>Unterlage breit</v>
          </cell>
          <cell r="I601">
            <v>722</v>
          </cell>
          <cell r="J601" t="str">
            <v>Stk</v>
          </cell>
          <cell r="K601">
            <v>45324</v>
          </cell>
          <cell r="L601" t="str">
            <v>829051</v>
          </cell>
          <cell r="M601" t="str">
            <v/>
          </cell>
          <cell r="N601" t="str">
            <v/>
          </cell>
          <cell r="O601" t="str">
            <v/>
          </cell>
          <cell r="P601" t="str">
            <v/>
          </cell>
          <cell r="Q601" t="str">
            <v/>
          </cell>
          <cell r="R601" t="str">
            <v/>
          </cell>
          <cell r="S601" t="str">
            <v/>
          </cell>
          <cell r="T601" t="str">
            <v/>
          </cell>
          <cell r="U601" t="str">
            <v/>
          </cell>
          <cell r="V601" t="str">
            <v>N52</v>
          </cell>
          <cell r="W601" t="str">
            <v/>
          </cell>
          <cell r="X601" t="str">
            <v/>
          </cell>
          <cell r="Y601" t="str">
            <v/>
          </cell>
          <cell r="Z601" t="str">
            <v/>
          </cell>
          <cell r="AA601" t="str">
            <v/>
          </cell>
          <cell r="AB601" t="str">
            <v>PA_4344754-CF.7004-4</v>
          </cell>
          <cell r="AC601">
            <v>1</v>
          </cell>
          <cell r="AD601" t="str">
            <v/>
          </cell>
          <cell r="AE601">
            <v>0</v>
          </cell>
          <cell r="AF601" t="str">
            <v/>
          </cell>
          <cell r="AG601" t="str">
            <v>12509652</v>
          </cell>
          <cell r="AH601">
            <v>44672.029699074075</v>
          </cell>
          <cell r="AI601" t="str">
            <v>N52</v>
          </cell>
          <cell r="AJ601" t="str">
            <v>F</v>
          </cell>
          <cell r="AK601" t="str">
            <v/>
          </cell>
        </row>
        <row r="602">
          <cell r="A602" t="str">
            <v>12509652829052</v>
          </cell>
          <cell r="B602" t="e">
            <v>#N/A</v>
          </cell>
          <cell r="C602">
            <v>14</v>
          </cell>
          <cell r="D602" t="str">
            <v>EK65</v>
          </cell>
          <cell r="E602" t="str">
            <v>555149</v>
          </cell>
          <cell r="F602" t="str">
            <v>E</v>
          </cell>
          <cell r="G602" t="str">
            <v>12509652</v>
          </cell>
          <cell r="H602" t="str">
            <v>Unterlage breit</v>
          </cell>
          <cell r="I602">
            <v>125</v>
          </cell>
          <cell r="J602" t="str">
            <v>Stk</v>
          </cell>
          <cell r="K602">
            <v>45352</v>
          </cell>
          <cell r="L602" t="str">
            <v>829052</v>
          </cell>
          <cell r="M602" t="str">
            <v/>
          </cell>
          <cell r="N602" t="str">
            <v/>
          </cell>
          <cell r="O602" t="str">
            <v/>
          </cell>
          <cell r="P602" t="str">
            <v/>
          </cell>
          <cell r="Q602" t="str">
            <v/>
          </cell>
          <cell r="R602" t="str">
            <v/>
          </cell>
          <cell r="S602" t="str">
            <v/>
          </cell>
          <cell r="T602" t="str">
            <v/>
          </cell>
          <cell r="U602" t="str">
            <v/>
          </cell>
          <cell r="V602" t="str">
            <v>N52</v>
          </cell>
          <cell r="W602" t="str">
            <v/>
          </cell>
          <cell r="X602" t="str">
            <v/>
          </cell>
          <cell r="Y602" t="str">
            <v/>
          </cell>
          <cell r="Z602" t="str">
            <v/>
          </cell>
          <cell r="AA602" t="str">
            <v/>
          </cell>
          <cell r="AB602" t="str">
            <v>PA_4344754-CF.7004-4</v>
          </cell>
          <cell r="AC602">
            <v>1</v>
          </cell>
          <cell r="AD602" t="str">
            <v/>
          </cell>
          <cell r="AE602">
            <v>0</v>
          </cell>
          <cell r="AF602" t="str">
            <v/>
          </cell>
          <cell r="AG602" t="str">
            <v>12509652</v>
          </cell>
          <cell r="AH602">
            <v>44672.029699074075</v>
          </cell>
          <cell r="AI602" t="str">
            <v>N52</v>
          </cell>
          <cell r="AJ602" t="str">
            <v>F</v>
          </cell>
          <cell r="AK602" t="str">
            <v/>
          </cell>
        </row>
        <row r="603">
          <cell r="A603" t="str">
            <v>12515434829051</v>
          </cell>
          <cell r="B603" t="e">
            <v>#N/A</v>
          </cell>
          <cell r="C603">
            <v>6</v>
          </cell>
          <cell r="D603" t="str">
            <v>EK65</v>
          </cell>
          <cell r="E603" t="str">
            <v>555159</v>
          </cell>
          <cell r="F603" t="str">
            <v>E</v>
          </cell>
          <cell r="G603" t="str">
            <v>12515434</v>
          </cell>
          <cell r="H603" t="str">
            <v>Halter vollst.</v>
          </cell>
          <cell r="I603">
            <v>45</v>
          </cell>
          <cell r="J603" t="str">
            <v>Stk</v>
          </cell>
          <cell r="K603">
            <v>45329</v>
          </cell>
          <cell r="L603" t="str">
            <v>829051</v>
          </cell>
          <cell r="M603" t="str">
            <v/>
          </cell>
          <cell r="N603" t="str">
            <v/>
          </cell>
          <cell r="O603" t="str">
            <v/>
          </cell>
          <cell r="P603" t="str">
            <v/>
          </cell>
          <cell r="Q603" t="str">
            <v/>
          </cell>
          <cell r="R603" t="str">
            <v/>
          </cell>
          <cell r="S603" t="str">
            <v/>
          </cell>
          <cell r="T603" t="str">
            <v/>
          </cell>
          <cell r="U603" t="str">
            <v/>
          </cell>
          <cell r="V603" t="str">
            <v>N38</v>
          </cell>
          <cell r="W603" t="str">
            <v/>
          </cell>
          <cell r="X603" t="str">
            <v/>
          </cell>
          <cell r="Y603" t="str">
            <v/>
          </cell>
          <cell r="Z603" t="str">
            <v/>
          </cell>
          <cell r="AA603" t="str">
            <v/>
          </cell>
          <cell r="AB603" t="str">
            <v>PA_4452778-LA.7004-3</v>
          </cell>
          <cell r="AC603">
            <v>1</v>
          </cell>
          <cell r="AD603" t="str">
            <v/>
          </cell>
          <cell r="AE603">
            <v>0</v>
          </cell>
          <cell r="AF603" t="str">
            <v/>
          </cell>
          <cell r="AG603" t="str">
            <v>12515434</v>
          </cell>
          <cell r="AH603">
            <v>44672.033599537041</v>
          </cell>
          <cell r="AI603" t="str">
            <v>N38</v>
          </cell>
          <cell r="AJ603" t="str">
            <v>F</v>
          </cell>
          <cell r="AK603" t="str">
            <v/>
          </cell>
        </row>
        <row r="604">
          <cell r="A604" t="str">
            <v>12515446829051</v>
          </cell>
          <cell r="B604" t="e">
            <v>#N/A</v>
          </cell>
          <cell r="C604">
            <v>7</v>
          </cell>
          <cell r="D604" t="str">
            <v>EK65</v>
          </cell>
          <cell r="E604" t="str">
            <v>555160</v>
          </cell>
          <cell r="F604" t="str">
            <v>E</v>
          </cell>
          <cell r="G604" t="str">
            <v>12515446</v>
          </cell>
          <cell r="H604" t="str">
            <v>Halter vollst.</v>
          </cell>
          <cell r="I604">
            <v>45</v>
          </cell>
          <cell r="J604" t="str">
            <v>Stk</v>
          </cell>
          <cell r="K604">
            <v>45324</v>
          </cell>
          <cell r="L604" t="str">
            <v>829051</v>
          </cell>
          <cell r="M604" t="str">
            <v/>
          </cell>
          <cell r="N604" t="str">
            <v/>
          </cell>
          <cell r="O604" t="str">
            <v/>
          </cell>
          <cell r="P604" t="str">
            <v/>
          </cell>
          <cell r="Q604" t="str">
            <v/>
          </cell>
          <cell r="R604" t="str">
            <v/>
          </cell>
          <cell r="S604" t="str">
            <v/>
          </cell>
          <cell r="T604" t="str">
            <v/>
          </cell>
          <cell r="U604" t="str">
            <v/>
          </cell>
          <cell r="V604" t="str">
            <v>N38</v>
          </cell>
          <cell r="W604" t="str">
            <v/>
          </cell>
          <cell r="X604" t="str">
            <v/>
          </cell>
          <cell r="Y604" t="str">
            <v/>
          </cell>
          <cell r="Z604" t="str">
            <v/>
          </cell>
          <cell r="AA604" t="str">
            <v/>
          </cell>
          <cell r="AB604" t="str">
            <v>PA_4458378-LA.7004-3</v>
          </cell>
          <cell r="AC604">
            <v>1</v>
          </cell>
          <cell r="AD604" t="str">
            <v/>
          </cell>
          <cell r="AE604">
            <v>0</v>
          </cell>
          <cell r="AF604" t="str">
            <v/>
          </cell>
          <cell r="AG604" t="str">
            <v>12515446</v>
          </cell>
          <cell r="AH604">
            <v>44672.033622685187</v>
          </cell>
          <cell r="AI604" t="str">
            <v>N38</v>
          </cell>
          <cell r="AJ604" t="str">
            <v>F</v>
          </cell>
          <cell r="AK604" t="str">
            <v/>
          </cell>
        </row>
        <row r="605">
          <cell r="A605" t="str">
            <v>12517250829052</v>
          </cell>
          <cell r="B605" t="e">
            <v>#N/A</v>
          </cell>
          <cell r="C605">
            <v>24</v>
          </cell>
          <cell r="D605" t="str">
            <v>EK65</v>
          </cell>
          <cell r="E605" t="str">
            <v>555161</v>
          </cell>
          <cell r="F605" t="str">
            <v>E</v>
          </cell>
          <cell r="G605" t="str">
            <v>12517250</v>
          </cell>
          <cell r="H605" t="str">
            <v>Unterlagsblech</v>
          </cell>
          <cell r="I605">
            <v>309</v>
          </cell>
          <cell r="J605" t="str">
            <v>Stk</v>
          </cell>
          <cell r="K605">
            <v>45350</v>
          </cell>
          <cell r="L605" t="str">
            <v>829052</v>
          </cell>
          <cell r="M605" t="str">
            <v/>
          </cell>
          <cell r="N605" t="str">
            <v/>
          </cell>
          <cell r="O605" t="str">
            <v/>
          </cell>
          <cell r="P605" t="str">
            <v/>
          </cell>
          <cell r="Q605" t="str">
            <v/>
          </cell>
          <cell r="R605" t="str">
            <v/>
          </cell>
          <cell r="S605" t="str">
            <v/>
          </cell>
          <cell r="T605" t="str">
            <v/>
          </cell>
          <cell r="U605" t="str">
            <v/>
          </cell>
          <cell r="V605" t="str">
            <v>N52</v>
          </cell>
          <cell r="W605" t="str">
            <v/>
          </cell>
          <cell r="X605" t="str">
            <v/>
          </cell>
          <cell r="Y605" t="str">
            <v/>
          </cell>
          <cell r="Z605" t="str">
            <v/>
          </cell>
          <cell r="AA605" t="str">
            <v/>
          </cell>
          <cell r="AB605" t="str">
            <v>PA_4353250-UA.7005-4</v>
          </cell>
          <cell r="AC605">
            <v>1</v>
          </cell>
          <cell r="AD605" t="str">
            <v/>
          </cell>
          <cell r="AE605">
            <v>0</v>
          </cell>
          <cell r="AF605" t="str">
            <v/>
          </cell>
          <cell r="AG605" t="str">
            <v>12517250</v>
          </cell>
          <cell r="AH605">
            <v>44672.034143518518</v>
          </cell>
          <cell r="AI605" t="str">
            <v>N52</v>
          </cell>
          <cell r="AJ605" t="str">
            <v>F</v>
          </cell>
          <cell r="AK605" t="str">
            <v/>
          </cell>
        </row>
        <row r="606">
          <cell r="A606" t="str">
            <v>12520339829051</v>
          </cell>
          <cell r="B606" t="e">
            <v>#N/A</v>
          </cell>
          <cell r="C606">
            <v>8</v>
          </cell>
          <cell r="D606" t="str">
            <v>EK65</v>
          </cell>
          <cell r="E606" t="str">
            <v>555166</v>
          </cell>
          <cell r="F606" t="str">
            <v>E</v>
          </cell>
          <cell r="G606" t="str">
            <v>12520339</v>
          </cell>
          <cell r="H606" t="str">
            <v>Dehnhuelse</v>
          </cell>
          <cell r="I606">
            <v>4719</v>
          </cell>
          <cell r="J606" t="str">
            <v>Stk</v>
          </cell>
          <cell r="K606">
            <v>45323</v>
          </cell>
          <cell r="L606" t="str">
            <v>829051</v>
          </cell>
          <cell r="M606" t="str">
            <v/>
          </cell>
          <cell r="N606" t="str">
            <v/>
          </cell>
          <cell r="O606" t="str">
            <v/>
          </cell>
          <cell r="P606" t="str">
            <v/>
          </cell>
          <cell r="Q606" t="str">
            <v/>
          </cell>
          <cell r="R606" t="str">
            <v/>
          </cell>
          <cell r="S606" t="str">
            <v/>
          </cell>
          <cell r="T606" t="str">
            <v/>
          </cell>
          <cell r="U606" t="str">
            <v/>
          </cell>
          <cell r="V606" t="str">
            <v>N52</v>
          </cell>
          <cell r="W606" t="str">
            <v/>
          </cell>
          <cell r="X606" t="str">
            <v/>
          </cell>
          <cell r="Y606" t="str">
            <v/>
          </cell>
          <cell r="Z606" t="str">
            <v/>
          </cell>
          <cell r="AA606" t="str">
            <v/>
          </cell>
          <cell r="AB606" t="str">
            <v>PA_4576663-CF.7004-4</v>
          </cell>
          <cell r="AC606">
            <v>4</v>
          </cell>
          <cell r="AD606" t="str">
            <v/>
          </cell>
          <cell r="AE606">
            <v>0</v>
          </cell>
          <cell r="AF606" t="str">
            <v/>
          </cell>
          <cell r="AG606" t="str">
            <v>12520339</v>
          </cell>
          <cell r="AH606">
            <v>44672.038611111115</v>
          </cell>
          <cell r="AI606" t="str">
            <v>N52</v>
          </cell>
          <cell r="AJ606" t="str">
            <v>F</v>
          </cell>
          <cell r="AK606" t="str">
            <v/>
          </cell>
        </row>
        <row r="607">
          <cell r="A607" t="str">
            <v>12520339829052</v>
          </cell>
          <cell r="B607" t="e">
            <v>#N/A</v>
          </cell>
          <cell r="C607">
            <v>8</v>
          </cell>
          <cell r="D607" t="str">
            <v>EK65</v>
          </cell>
          <cell r="E607" t="str">
            <v>555167</v>
          </cell>
          <cell r="F607" t="str">
            <v>E</v>
          </cell>
          <cell r="G607" t="str">
            <v>12520339</v>
          </cell>
          <cell r="H607" t="str">
            <v>Dehnhuelse</v>
          </cell>
          <cell r="I607">
            <v>1620</v>
          </cell>
          <cell r="J607" t="str">
            <v>Stk</v>
          </cell>
          <cell r="K607">
            <v>45352</v>
          </cell>
          <cell r="L607" t="str">
            <v>829052</v>
          </cell>
          <cell r="M607" t="str">
            <v/>
          </cell>
          <cell r="N607" t="str">
            <v/>
          </cell>
          <cell r="O607" t="str">
            <v/>
          </cell>
          <cell r="P607" t="str">
            <v/>
          </cell>
          <cell r="Q607" t="str">
            <v/>
          </cell>
          <cell r="R607" t="str">
            <v/>
          </cell>
          <cell r="S607" t="str">
            <v/>
          </cell>
          <cell r="T607" t="str">
            <v/>
          </cell>
          <cell r="U607" t="str">
            <v/>
          </cell>
          <cell r="V607" t="str">
            <v>N52</v>
          </cell>
          <cell r="W607" t="str">
            <v/>
          </cell>
          <cell r="X607" t="str">
            <v/>
          </cell>
          <cell r="Y607" t="str">
            <v/>
          </cell>
          <cell r="Z607" t="str">
            <v/>
          </cell>
          <cell r="AA607" t="str">
            <v/>
          </cell>
          <cell r="AB607" t="str">
            <v>PA_4576663-CF.7004-4</v>
          </cell>
          <cell r="AC607">
            <v>4</v>
          </cell>
          <cell r="AD607" t="str">
            <v/>
          </cell>
          <cell r="AE607">
            <v>0</v>
          </cell>
          <cell r="AF607" t="str">
            <v/>
          </cell>
          <cell r="AG607" t="str">
            <v>12520339</v>
          </cell>
          <cell r="AH607">
            <v>44672.038611111115</v>
          </cell>
          <cell r="AI607" t="str">
            <v>N52</v>
          </cell>
          <cell r="AJ607" t="str">
            <v>F</v>
          </cell>
          <cell r="AK607" t="str">
            <v/>
          </cell>
        </row>
        <row r="608">
          <cell r="A608" t="str">
            <v>12520504829052</v>
          </cell>
          <cell r="B608" t="e">
            <v>#N/A</v>
          </cell>
          <cell r="C608">
            <v>24</v>
          </cell>
          <cell r="D608" t="str">
            <v>EK65</v>
          </cell>
          <cell r="E608" t="str">
            <v>555168</v>
          </cell>
          <cell r="F608" t="str">
            <v>E</v>
          </cell>
          <cell r="G608" t="str">
            <v>12520504</v>
          </cell>
          <cell r="H608" t="str">
            <v>Steckerblech</v>
          </cell>
          <cell r="I608">
            <v>29</v>
          </cell>
          <cell r="J608" t="str">
            <v>Stk</v>
          </cell>
          <cell r="K608">
            <v>45364</v>
          </cell>
          <cell r="L608" t="str">
            <v>829052</v>
          </cell>
          <cell r="M608" t="str">
            <v/>
          </cell>
          <cell r="N608" t="str">
            <v/>
          </cell>
          <cell r="O608" t="str">
            <v/>
          </cell>
          <cell r="P608" t="str">
            <v/>
          </cell>
          <cell r="Q608" t="str">
            <v/>
          </cell>
          <cell r="R608" t="str">
            <v/>
          </cell>
          <cell r="S608" t="str">
            <v/>
          </cell>
          <cell r="T608" t="str">
            <v/>
          </cell>
          <cell r="U608" t="str">
            <v/>
          </cell>
          <cell r="V608" t="str">
            <v>N52</v>
          </cell>
          <cell r="W608" t="str">
            <v/>
          </cell>
          <cell r="X608" t="str">
            <v/>
          </cell>
          <cell r="Y608" t="str">
            <v/>
          </cell>
          <cell r="Z608" t="str">
            <v/>
          </cell>
          <cell r="AA608" t="str">
            <v/>
          </cell>
          <cell r="AB608" t="str">
            <v>PA_4522108-UA.7005-3</v>
          </cell>
          <cell r="AC608">
            <v>1</v>
          </cell>
          <cell r="AD608" t="str">
            <v/>
          </cell>
          <cell r="AE608">
            <v>0</v>
          </cell>
          <cell r="AF608" t="str">
            <v/>
          </cell>
          <cell r="AG608" t="str">
            <v>12520504</v>
          </cell>
          <cell r="AH608">
            <v>44672.039074074077</v>
          </cell>
          <cell r="AI608" t="str">
            <v>N52</v>
          </cell>
          <cell r="AJ608" t="str">
            <v>F</v>
          </cell>
          <cell r="AK608" t="str">
            <v/>
          </cell>
        </row>
        <row r="609">
          <cell r="A609" t="str">
            <v>12528102829052</v>
          </cell>
          <cell r="B609" t="e">
            <v>#N/A</v>
          </cell>
          <cell r="C609">
            <v>20</v>
          </cell>
          <cell r="D609" t="str">
            <v>EK65</v>
          </cell>
          <cell r="E609" t="str">
            <v>555174</v>
          </cell>
          <cell r="F609" t="str">
            <v>E</v>
          </cell>
          <cell r="G609" t="str">
            <v>12528102</v>
          </cell>
          <cell r="H609" t="str">
            <v>Blech</v>
          </cell>
          <cell r="I609">
            <v>1996</v>
          </cell>
          <cell r="J609" t="str">
            <v>Stk</v>
          </cell>
          <cell r="K609">
            <v>45350</v>
          </cell>
          <cell r="L609" t="str">
            <v>829052</v>
          </cell>
          <cell r="M609" t="str">
            <v/>
          </cell>
          <cell r="N609" t="str">
            <v/>
          </cell>
          <cell r="O609" t="str">
            <v/>
          </cell>
          <cell r="P609" t="str">
            <v/>
          </cell>
          <cell r="Q609" t="str">
            <v/>
          </cell>
          <cell r="R609" t="str">
            <v/>
          </cell>
          <cell r="S609" t="str">
            <v/>
          </cell>
          <cell r="T609" t="str">
            <v/>
          </cell>
          <cell r="U609" t="str">
            <v/>
          </cell>
          <cell r="V609" t="str">
            <v>N52</v>
          </cell>
          <cell r="W609" t="str">
            <v/>
          </cell>
          <cell r="X609" t="str">
            <v/>
          </cell>
          <cell r="Y609" t="str">
            <v/>
          </cell>
          <cell r="Z609" t="str">
            <v/>
          </cell>
          <cell r="AA609" t="str">
            <v/>
          </cell>
          <cell r="AB609" t="str">
            <v>PA_4512493-UA.7005-4</v>
          </cell>
          <cell r="AC609">
            <v>4</v>
          </cell>
          <cell r="AD609" t="str">
            <v/>
          </cell>
          <cell r="AE609">
            <v>0</v>
          </cell>
          <cell r="AF609" t="str">
            <v/>
          </cell>
          <cell r="AG609" t="str">
            <v>12528102</v>
          </cell>
          <cell r="AH609">
            <v>44672.041215277779</v>
          </cell>
          <cell r="AI609" t="str">
            <v>N52</v>
          </cell>
          <cell r="AJ609" t="str">
            <v>F</v>
          </cell>
          <cell r="AK609" t="str">
            <v/>
          </cell>
        </row>
        <row r="610">
          <cell r="A610" t="str">
            <v>12532060829051</v>
          </cell>
          <cell r="B610" t="e">
            <v>#N/A</v>
          </cell>
          <cell r="C610">
            <v>6</v>
          </cell>
          <cell r="D610" t="str">
            <v>EK65</v>
          </cell>
          <cell r="E610" t="str">
            <v>555179</v>
          </cell>
          <cell r="F610" t="str">
            <v>E</v>
          </cell>
          <cell r="G610" t="str">
            <v>12532060</v>
          </cell>
          <cell r="H610" t="str">
            <v>Dehnhuelse</v>
          </cell>
          <cell r="I610">
            <v>179</v>
          </cell>
          <cell r="J610" t="str">
            <v>Stk</v>
          </cell>
          <cell r="K610">
            <v>45330</v>
          </cell>
          <cell r="L610" t="str">
            <v>829051</v>
          </cell>
          <cell r="M610" t="str">
            <v/>
          </cell>
          <cell r="N610" t="str">
            <v/>
          </cell>
          <cell r="O610" t="str">
            <v/>
          </cell>
          <cell r="P610" t="str">
            <v/>
          </cell>
          <cell r="Q610" t="str">
            <v/>
          </cell>
          <cell r="R610" t="str">
            <v/>
          </cell>
          <cell r="S610" t="str">
            <v/>
          </cell>
          <cell r="T610" t="str">
            <v/>
          </cell>
          <cell r="U610" t="str">
            <v/>
          </cell>
          <cell r="V610" t="str">
            <v>N52</v>
          </cell>
          <cell r="W610" t="str">
            <v/>
          </cell>
          <cell r="X610" t="str">
            <v/>
          </cell>
          <cell r="Y610" t="str">
            <v/>
          </cell>
          <cell r="Z610" t="str">
            <v/>
          </cell>
          <cell r="AA610" t="str">
            <v/>
          </cell>
          <cell r="AB610" t="str">
            <v>PA_4544788-LC.7004-4</v>
          </cell>
          <cell r="AC610">
            <v>1</v>
          </cell>
          <cell r="AD610" t="str">
            <v/>
          </cell>
          <cell r="AE610">
            <v>0</v>
          </cell>
          <cell r="AF610" t="str">
            <v/>
          </cell>
          <cell r="AG610" t="str">
            <v>12532060</v>
          </cell>
          <cell r="AH610">
            <v>44672.044768518521</v>
          </cell>
          <cell r="AI610" t="str">
            <v>N52</v>
          </cell>
          <cell r="AJ610" t="str">
            <v>F</v>
          </cell>
          <cell r="AK610" t="str">
            <v/>
          </cell>
        </row>
        <row r="611">
          <cell r="A611" t="str">
            <v>12533042829051</v>
          </cell>
          <cell r="B611" t="e">
            <v>#N/A</v>
          </cell>
          <cell r="C611">
            <v>6</v>
          </cell>
          <cell r="D611" t="str">
            <v>EK65</v>
          </cell>
          <cell r="E611" t="str">
            <v>555181</v>
          </cell>
          <cell r="F611" t="str">
            <v>E</v>
          </cell>
          <cell r="G611" t="str">
            <v>12533042</v>
          </cell>
          <cell r="H611" t="str">
            <v>Distanzhuelse D=30/d=9/L=17</v>
          </cell>
          <cell r="I611">
            <v>13040</v>
          </cell>
          <cell r="J611" t="str">
            <v>Stk</v>
          </cell>
          <cell r="K611">
            <v>45324</v>
          </cell>
          <cell r="L611" t="str">
            <v>829051</v>
          </cell>
          <cell r="M611" t="str">
            <v/>
          </cell>
          <cell r="N611" t="str">
            <v/>
          </cell>
          <cell r="O611" t="str">
            <v/>
          </cell>
          <cell r="P611" t="str">
            <v/>
          </cell>
          <cell r="Q611" t="str">
            <v/>
          </cell>
          <cell r="R611" t="str">
            <v/>
          </cell>
          <cell r="S611" t="str">
            <v/>
          </cell>
          <cell r="T611" t="str">
            <v/>
          </cell>
          <cell r="U611" t="str">
            <v/>
          </cell>
          <cell r="V611" t="str">
            <v>N52</v>
          </cell>
          <cell r="W611" t="str">
            <v/>
          </cell>
          <cell r="X611" t="str">
            <v/>
          </cell>
          <cell r="Y611" t="str">
            <v/>
          </cell>
          <cell r="Z611" t="str">
            <v/>
          </cell>
          <cell r="AA611" t="str">
            <v/>
          </cell>
          <cell r="AB611" t="str">
            <v>PA_4613373-CD.7004-4</v>
          </cell>
          <cell r="AC611">
            <v>4</v>
          </cell>
          <cell r="AD611" t="str">
            <v/>
          </cell>
          <cell r="AE611">
            <v>0</v>
          </cell>
          <cell r="AF611" t="str">
            <v/>
          </cell>
          <cell r="AG611" t="str">
            <v>12533042</v>
          </cell>
          <cell r="AH611">
            <v>44672.045324074075</v>
          </cell>
          <cell r="AI611" t="str">
            <v>N52</v>
          </cell>
          <cell r="AJ611" t="str">
            <v>F</v>
          </cell>
          <cell r="AK611" t="str">
            <v/>
          </cell>
        </row>
        <row r="612">
          <cell r="A612" t="str">
            <v>12533042829052</v>
          </cell>
          <cell r="B612" t="e">
            <v>#N/A</v>
          </cell>
          <cell r="C612">
            <v>6</v>
          </cell>
          <cell r="D612" t="str">
            <v>EK65</v>
          </cell>
          <cell r="E612" t="str">
            <v>555182</v>
          </cell>
          <cell r="F612" t="str">
            <v>E</v>
          </cell>
          <cell r="G612" t="str">
            <v>12533042</v>
          </cell>
          <cell r="H612" t="str">
            <v>Distanzhuelse D=30/d=9/L=17</v>
          </cell>
          <cell r="I612">
            <v>5533</v>
          </cell>
          <cell r="J612" t="str">
            <v>Stk</v>
          </cell>
          <cell r="K612">
            <v>45356</v>
          </cell>
          <cell r="L612" t="str">
            <v>829052</v>
          </cell>
          <cell r="M612" t="str">
            <v/>
          </cell>
          <cell r="N612" t="str">
            <v/>
          </cell>
          <cell r="O612" t="str">
            <v/>
          </cell>
          <cell r="P612" t="str">
            <v/>
          </cell>
          <cell r="Q612" t="str">
            <v/>
          </cell>
          <cell r="R612" t="str">
            <v/>
          </cell>
          <cell r="S612" t="str">
            <v/>
          </cell>
          <cell r="T612" t="str">
            <v/>
          </cell>
          <cell r="U612" t="str">
            <v/>
          </cell>
          <cell r="V612" t="str">
            <v>N52</v>
          </cell>
          <cell r="W612" t="str">
            <v/>
          </cell>
          <cell r="X612" t="str">
            <v/>
          </cell>
          <cell r="Y612" t="str">
            <v/>
          </cell>
          <cell r="Z612" t="str">
            <v/>
          </cell>
          <cell r="AA612" t="str">
            <v/>
          </cell>
          <cell r="AB612" t="str">
            <v>PA_4613373-CD.7004-4</v>
          </cell>
          <cell r="AC612">
            <v>4</v>
          </cell>
          <cell r="AD612" t="str">
            <v/>
          </cell>
          <cell r="AE612">
            <v>0</v>
          </cell>
          <cell r="AF612" t="str">
            <v/>
          </cell>
          <cell r="AG612" t="str">
            <v>12533042</v>
          </cell>
          <cell r="AH612">
            <v>44672.045324074075</v>
          </cell>
          <cell r="AI612" t="str">
            <v>N52</v>
          </cell>
          <cell r="AJ612" t="str">
            <v>F</v>
          </cell>
          <cell r="AK612" t="str">
            <v/>
          </cell>
        </row>
        <row r="613">
          <cell r="A613" t="str">
            <v>12535055829051</v>
          </cell>
          <cell r="B613" t="str">
            <v>BL20230413-2</v>
          </cell>
          <cell r="C613">
            <v>12</v>
          </cell>
          <cell r="D613" t="str">
            <v>EK65</v>
          </cell>
          <cell r="E613" t="str">
            <v>555186</v>
          </cell>
          <cell r="F613" t="str">
            <v>E</v>
          </cell>
          <cell r="G613" t="str">
            <v>12535055</v>
          </cell>
          <cell r="H613" t="str">
            <v>Halter</v>
          </cell>
          <cell r="I613">
            <v>90</v>
          </cell>
          <cell r="J613" t="str">
            <v>Stk</v>
          </cell>
          <cell r="K613">
            <v>45331</v>
          </cell>
          <cell r="L613" t="str">
            <v>829051</v>
          </cell>
          <cell r="M613" t="str">
            <v/>
          </cell>
          <cell r="N613" t="str">
            <v/>
          </cell>
          <cell r="O613" t="str">
            <v/>
          </cell>
          <cell r="P613" t="str">
            <v/>
          </cell>
          <cell r="Q613" t="str">
            <v/>
          </cell>
          <cell r="R613" t="str">
            <v/>
          </cell>
          <cell r="S613" t="str">
            <v/>
          </cell>
          <cell r="T613" t="str">
            <v/>
          </cell>
          <cell r="U613" t="str">
            <v/>
          </cell>
          <cell r="V613" t="str">
            <v>N52</v>
          </cell>
          <cell r="W613" t="str">
            <v/>
          </cell>
          <cell r="X613" t="str">
            <v/>
          </cell>
          <cell r="Y613" t="str">
            <v/>
          </cell>
          <cell r="Z613" t="str">
            <v/>
          </cell>
          <cell r="AA613" t="str">
            <v/>
          </cell>
          <cell r="AB613" t="str">
            <v>PA_4614737-JC.7004-3</v>
          </cell>
          <cell r="AC613">
            <v>1</v>
          </cell>
          <cell r="AD613" t="str">
            <v/>
          </cell>
          <cell r="AE613">
            <v>0</v>
          </cell>
          <cell r="AF613" t="str">
            <v/>
          </cell>
          <cell r="AG613" t="str">
            <v>12535055</v>
          </cell>
          <cell r="AH613">
            <v>44672.047581018516</v>
          </cell>
          <cell r="AI613" t="str">
            <v>N52</v>
          </cell>
          <cell r="AJ613" t="str">
            <v>F</v>
          </cell>
          <cell r="AK613" t="str">
            <v/>
          </cell>
        </row>
        <row r="614">
          <cell r="A614" t="str">
            <v>12535055829052</v>
          </cell>
          <cell r="B614" t="e">
            <v>#N/A</v>
          </cell>
          <cell r="C614">
            <v>12</v>
          </cell>
          <cell r="D614" t="str">
            <v>EK65</v>
          </cell>
          <cell r="E614" t="str">
            <v>555187</v>
          </cell>
          <cell r="F614" t="str">
            <v>E</v>
          </cell>
          <cell r="G614" t="str">
            <v>12535055</v>
          </cell>
          <cell r="H614" t="str">
            <v>Halter</v>
          </cell>
          <cell r="I614">
            <v>31</v>
          </cell>
          <cell r="J614" t="str">
            <v>Stk</v>
          </cell>
          <cell r="K614">
            <v>45364</v>
          </cell>
          <cell r="L614" t="str">
            <v>829052</v>
          </cell>
          <cell r="M614" t="str">
            <v/>
          </cell>
          <cell r="N614" t="str">
            <v/>
          </cell>
          <cell r="O614" t="str">
            <v/>
          </cell>
          <cell r="P614" t="str">
            <v/>
          </cell>
          <cell r="Q614" t="str">
            <v/>
          </cell>
          <cell r="R614" t="str">
            <v/>
          </cell>
          <cell r="S614" t="str">
            <v/>
          </cell>
          <cell r="T614" t="str">
            <v/>
          </cell>
          <cell r="U614" t="str">
            <v/>
          </cell>
          <cell r="V614" t="str">
            <v>N52</v>
          </cell>
          <cell r="W614" t="str">
            <v/>
          </cell>
          <cell r="X614" t="str">
            <v/>
          </cell>
          <cell r="Y614" t="str">
            <v/>
          </cell>
          <cell r="Z614" t="str">
            <v/>
          </cell>
          <cell r="AA614" t="str">
            <v/>
          </cell>
          <cell r="AB614" t="str">
            <v>PA_4614737-JC.7004-3</v>
          </cell>
          <cell r="AC614">
            <v>1</v>
          </cell>
          <cell r="AD614" t="str">
            <v/>
          </cell>
          <cell r="AE614">
            <v>0</v>
          </cell>
          <cell r="AF614" t="str">
            <v/>
          </cell>
          <cell r="AG614" t="str">
            <v>12535055</v>
          </cell>
          <cell r="AH614">
            <v>44672.047581018516</v>
          </cell>
          <cell r="AI614" t="str">
            <v>N52</v>
          </cell>
          <cell r="AJ614" t="str">
            <v>F</v>
          </cell>
          <cell r="AK614" t="str">
            <v/>
          </cell>
        </row>
        <row r="615">
          <cell r="A615" t="str">
            <v>12536607829051</v>
          </cell>
          <cell r="B615" t="e">
            <v>#N/A</v>
          </cell>
          <cell r="C615">
            <v>4</v>
          </cell>
          <cell r="D615" t="str">
            <v>EK65</v>
          </cell>
          <cell r="E615" t="str">
            <v>555193</v>
          </cell>
          <cell r="F615" t="str">
            <v>E</v>
          </cell>
          <cell r="G615" t="str">
            <v>12536607</v>
          </cell>
          <cell r="H615" t="str">
            <v>Dehnhuelse M10</v>
          </cell>
          <cell r="I615">
            <v>76</v>
          </cell>
          <cell r="J615" t="str">
            <v>Stk</v>
          </cell>
          <cell r="K615">
            <v>45518</v>
          </cell>
          <cell r="L615" t="str">
            <v>829051</v>
          </cell>
          <cell r="M615" t="str">
            <v/>
          </cell>
          <cell r="N615" t="str">
            <v/>
          </cell>
          <cell r="O615" t="str">
            <v/>
          </cell>
          <cell r="P615" t="str">
            <v/>
          </cell>
          <cell r="Q615" t="str">
            <v/>
          </cell>
          <cell r="R615" t="str">
            <v/>
          </cell>
          <cell r="S615" t="str">
            <v/>
          </cell>
          <cell r="T615" t="str">
            <v/>
          </cell>
          <cell r="U615" t="str">
            <v/>
          </cell>
          <cell r="V615" t="str">
            <v>N52</v>
          </cell>
          <cell r="W615" t="str">
            <v/>
          </cell>
          <cell r="X615" t="str">
            <v/>
          </cell>
          <cell r="Y615" t="str">
            <v/>
          </cell>
          <cell r="Z615" t="str">
            <v/>
          </cell>
          <cell r="AA615" t="str">
            <v/>
          </cell>
          <cell r="AB615" t="str">
            <v>PA_4623913-CF.7004-4</v>
          </cell>
          <cell r="AC615">
            <v>1</v>
          </cell>
          <cell r="AD615" t="str">
            <v/>
          </cell>
          <cell r="AE615">
            <v>0</v>
          </cell>
          <cell r="AF615" t="str">
            <v/>
          </cell>
          <cell r="AG615" t="str">
            <v>12536607</v>
          </cell>
          <cell r="AH615">
            <v>44672.048750000002</v>
          </cell>
          <cell r="AI615" t="str">
            <v>N52</v>
          </cell>
          <cell r="AJ615" t="str">
            <v>F</v>
          </cell>
          <cell r="AK615" t="str">
            <v/>
          </cell>
        </row>
        <row r="616">
          <cell r="A616" t="str">
            <v>12537131829051</v>
          </cell>
          <cell r="B616" t="str">
            <v>BL20230413-2</v>
          </cell>
          <cell r="C616">
            <v>6</v>
          </cell>
          <cell r="D616" t="str">
            <v>EK65</v>
          </cell>
          <cell r="E616" t="str">
            <v>555198</v>
          </cell>
          <cell r="F616" t="str">
            <v>E</v>
          </cell>
          <cell r="G616" t="str">
            <v>12537131</v>
          </cell>
          <cell r="H616" t="str">
            <v>Halter</v>
          </cell>
          <cell r="I616">
            <v>90</v>
          </cell>
          <cell r="J616" t="str">
            <v>Stk</v>
          </cell>
          <cell r="K616">
            <v>45338</v>
          </cell>
          <cell r="L616" t="str">
            <v>829051</v>
          </cell>
          <cell r="M616" t="str">
            <v/>
          </cell>
          <cell r="N616" t="str">
            <v/>
          </cell>
          <cell r="O616" t="str">
            <v/>
          </cell>
          <cell r="P616" t="str">
            <v/>
          </cell>
          <cell r="Q616" t="str">
            <v/>
          </cell>
          <cell r="R616" t="str">
            <v/>
          </cell>
          <cell r="S616" t="str">
            <v/>
          </cell>
          <cell r="T616" t="str">
            <v/>
          </cell>
          <cell r="U616" t="str">
            <v/>
          </cell>
          <cell r="V616" t="str">
            <v>N52</v>
          </cell>
          <cell r="W616" t="str">
            <v/>
          </cell>
          <cell r="X616" t="str">
            <v/>
          </cell>
          <cell r="Y616" t="str">
            <v/>
          </cell>
          <cell r="Z616" t="str">
            <v/>
          </cell>
          <cell r="AA616" t="str">
            <v/>
          </cell>
          <cell r="AB616" t="str">
            <v>PA_4621589-DF.7004-3</v>
          </cell>
          <cell r="AC616">
            <v>1</v>
          </cell>
          <cell r="AD616" t="str">
            <v/>
          </cell>
          <cell r="AE616">
            <v>0</v>
          </cell>
          <cell r="AF616" t="str">
            <v/>
          </cell>
          <cell r="AG616" t="str">
            <v>12537131</v>
          </cell>
          <cell r="AH616">
            <v>44672.049027777779</v>
          </cell>
          <cell r="AI616" t="str">
            <v>N52</v>
          </cell>
          <cell r="AJ616" t="str">
            <v>F</v>
          </cell>
          <cell r="AK616" t="str">
            <v/>
          </cell>
        </row>
        <row r="617">
          <cell r="A617" t="str">
            <v>12537298829051</v>
          </cell>
          <cell r="B617" t="e">
            <v>#N/A</v>
          </cell>
          <cell r="C617">
            <v>6</v>
          </cell>
          <cell r="D617" t="str">
            <v>EK65</v>
          </cell>
          <cell r="E617" t="str">
            <v>555200</v>
          </cell>
          <cell r="F617" t="str">
            <v>E</v>
          </cell>
          <cell r="G617" t="str">
            <v>12537298</v>
          </cell>
          <cell r="H617" t="str">
            <v>Halter w.g.</v>
          </cell>
          <cell r="I617">
            <v>90</v>
          </cell>
          <cell r="J617" t="str">
            <v>Stk</v>
          </cell>
          <cell r="K617">
            <v>45330</v>
          </cell>
          <cell r="L617" t="str">
            <v>829051</v>
          </cell>
          <cell r="M617" t="str">
            <v/>
          </cell>
          <cell r="N617" t="str">
            <v/>
          </cell>
          <cell r="O617" t="str">
            <v/>
          </cell>
          <cell r="P617" t="str">
            <v/>
          </cell>
          <cell r="Q617" t="str">
            <v/>
          </cell>
          <cell r="R617" t="str">
            <v/>
          </cell>
          <cell r="S617" t="str">
            <v/>
          </cell>
          <cell r="T617" t="str">
            <v/>
          </cell>
          <cell r="U617" t="str">
            <v/>
          </cell>
          <cell r="V617" t="str">
            <v>N52</v>
          </cell>
          <cell r="W617" t="str">
            <v/>
          </cell>
          <cell r="X617" t="str">
            <v/>
          </cell>
          <cell r="Y617" t="str">
            <v/>
          </cell>
          <cell r="Z617" t="str">
            <v/>
          </cell>
          <cell r="AA617" t="str">
            <v/>
          </cell>
          <cell r="AB617" t="str">
            <v>PA_4505437-CF.7004-3</v>
          </cell>
          <cell r="AC617">
            <v>1</v>
          </cell>
          <cell r="AD617" t="str">
            <v/>
          </cell>
          <cell r="AE617">
            <v>0</v>
          </cell>
          <cell r="AF617" t="str">
            <v/>
          </cell>
          <cell r="AG617" t="str">
            <v>12537298</v>
          </cell>
          <cell r="AH617">
            <v>44672.049097222225</v>
          </cell>
          <cell r="AI617" t="str">
            <v>N52</v>
          </cell>
          <cell r="AJ617" t="str">
            <v>F</v>
          </cell>
          <cell r="AK617" t="str">
            <v/>
          </cell>
        </row>
        <row r="618">
          <cell r="A618" t="str">
            <v>12537302829051</v>
          </cell>
          <cell r="B618" t="e">
            <v>#N/A</v>
          </cell>
          <cell r="C618">
            <v>6</v>
          </cell>
          <cell r="D618" t="str">
            <v>EK65</v>
          </cell>
          <cell r="E618" t="str">
            <v>555201</v>
          </cell>
          <cell r="F618" t="str">
            <v>E</v>
          </cell>
          <cell r="G618" t="str">
            <v>12537302</v>
          </cell>
          <cell r="H618" t="str">
            <v>Halter sp.g.</v>
          </cell>
          <cell r="I618">
            <v>90</v>
          </cell>
          <cell r="J618" t="str">
            <v>Stk</v>
          </cell>
          <cell r="K618">
            <v>45330</v>
          </cell>
          <cell r="L618" t="str">
            <v>829051</v>
          </cell>
          <cell r="M618" t="str">
            <v/>
          </cell>
          <cell r="N618" t="str">
            <v/>
          </cell>
          <cell r="O618" t="str">
            <v/>
          </cell>
          <cell r="P618" t="str">
            <v/>
          </cell>
          <cell r="Q618" t="str">
            <v/>
          </cell>
          <cell r="R618" t="str">
            <v/>
          </cell>
          <cell r="S618" t="str">
            <v/>
          </cell>
          <cell r="T618" t="str">
            <v/>
          </cell>
          <cell r="U618" t="str">
            <v/>
          </cell>
          <cell r="V618" t="str">
            <v>N52</v>
          </cell>
          <cell r="W618" t="str">
            <v/>
          </cell>
          <cell r="X618" t="str">
            <v/>
          </cell>
          <cell r="Y618" t="str">
            <v/>
          </cell>
          <cell r="Z618" t="str">
            <v/>
          </cell>
          <cell r="AA618" t="str">
            <v/>
          </cell>
          <cell r="AB618" t="str">
            <v>PA_4505437-CF.7004-3</v>
          </cell>
          <cell r="AC618">
            <v>1</v>
          </cell>
          <cell r="AD618" t="str">
            <v/>
          </cell>
          <cell r="AE618">
            <v>0</v>
          </cell>
          <cell r="AF618" t="str">
            <v/>
          </cell>
          <cell r="AG618" t="str">
            <v>12537302</v>
          </cell>
          <cell r="AH618">
            <v>44672.049120370371</v>
          </cell>
          <cell r="AI618" t="str">
            <v>N52</v>
          </cell>
          <cell r="AJ618" t="str">
            <v>F</v>
          </cell>
          <cell r="AK618" t="str">
            <v/>
          </cell>
        </row>
        <row r="619">
          <cell r="A619" t="str">
            <v>12537996829051</v>
          </cell>
          <cell r="B619" t="e">
            <v>#N/A</v>
          </cell>
          <cell r="C619">
            <v>3</v>
          </cell>
          <cell r="D619" t="str">
            <v>EK65</v>
          </cell>
          <cell r="E619" t="str">
            <v>555210</v>
          </cell>
          <cell r="F619" t="str">
            <v>E</v>
          </cell>
          <cell r="G619" t="str">
            <v>12537996</v>
          </cell>
          <cell r="H619" t="str">
            <v>Distanzring</v>
          </cell>
          <cell r="I619">
            <v>160</v>
          </cell>
          <cell r="J619" t="str">
            <v>Stk</v>
          </cell>
          <cell r="K619">
            <v>45091</v>
          </cell>
          <cell r="L619" t="str">
            <v>829051</v>
          </cell>
          <cell r="M619" t="str">
            <v/>
          </cell>
          <cell r="N619" t="str">
            <v/>
          </cell>
          <cell r="O619" t="str">
            <v/>
          </cell>
          <cell r="P619" t="str">
            <v/>
          </cell>
          <cell r="Q619" t="str">
            <v/>
          </cell>
          <cell r="R619" t="str">
            <v/>
          </cell>
          <cell r="S619" t="str">
            <v/>
          </cell>
          <cell r="T619" t="str">
            <v/>
          </cell>
          <cell r="U619" t="str">
            <v/>
          </cell>
          <cell r="V619" t="str">
            <v>N52</v>
          </cell>
          <cell r="W619" t="str">
            <v/>
          </cell>
          <cell r="X619" t="str">
            <v/>
          </cell>
          <cell r="Y619" t="str">
            <v/>
          </cell>
          <cell r="Z619" t="str">
            <v/>
          </cell>
          <cell r="AA619" t="str">
            <v/>
          </cell>
          <cell r="AB619" t="str">
            <v>PA_4634112-LD.7004-4</v>
          </cell>
          <cell r="AC619">
            <v>1</v>
          </cell>
          <cell r="AD619" t="str">
            <v/>
          </cell>
          <cell r="AE619">
            <v>0</v>
          </cell>
          <cell r="AF619" t="str">
            <v/>
          </cell>
          <cell r="AG619" t="str">
            <v>12537996</v>
          </cell>
          <cell r="AH619">
            <v>44672.049467592595</v>
          </cell>
          <cell r="AI619" t="str">
            <v>N52</v>
          </cell>
          <cell r="AJ619" t="str">
            <v>F</v>
          </cell>
          <cell r="AK619" t="str">
            <v/>
          </cell>
        </row>
        <row r="620">
          <cell r="A620" t="str">
            <v>12540957829051</v>
          </cell>
          <cell r="B620" t="str">
            <v>BL20230413-2</v>
          </cell>
          <cell r="C620">
            <v>12</v>
          </cell>
          <cell r="D620" t="str">
            <v>EK65</v>
          </cell>
          <cell r="E620" t="str">
            <v>555211</v>
          </cell>
          <cell r="F620" t="str">
            <v>E</v>
          </cell>
          <cell r="G620" t="str">
            <v>12540957</v>
          </cell>
          <cell r="H620" t="str">
            <v>Winkel w.g.</v>
          </cell>
          <cell r="I620">
            <v>90</v>
          </cell>
          <cell r="J620" t="str">
            <v>Stk</v>
          </cell>
          <cell r="K620">
            <v>45335</v>
          </cell>
          <cell r="L620" t="str">
            <v>829051</v>
          </cell>
          <cell r="M620" t="str">
            <v/>
          </cell>
          <cell r="N620" t="str">
            <v/>
          </cell>
          <cell r="O620" t="str">
            <v/>
          </cell>
          <cell r="P620" t="str">
            <v/>
          </cell>
          <cell r="Q620" t="str">
            <v/>
          </cell>
          <cell r="R620" t="str">
            <v/>
          </cell>
          <cell r="S620" t="str">
            <v/>
          </cell>
          <cell r="T620" t="str">
            <v/>
          </cell>
          <cell r="U620" t="str">
            <v/>
          </cell>
          <cell r="V620" t="str">
            <v>N52</v>
          </cell>
          <cell r="W620" t="str">
            <v/>
          </cell>
          <cell r="X620" t="str">
            <v/>
          </cell>
          <cell r="Y620" t="str">
            <v/>
          </cell>
          <cell r="Z620" t="str">
            <v/>
          </cell>
          <cell r="AA620" t="str">
            <v/>
          </cell>
          <cell r="AB620" t="str">
            <v>PA_4490076-CD.7004-3</v>
          </cell>
          <cell r="AC620">
            <v>1</v>
          </cell>
          <cell r="AD620" t="str">
            <v/>
          </cell>
          <cell r="AE620">
            <v>0</v>
          </cell>
          <cell r="AF620" t="str">
            <v/>
          </cell>
          <cell r="AG620" t="str">
            <v>12540957</v>
          </cell>
          <cell r="AH620">
            <v>44672.050023148149</v>
          </cell>
          <cell r="AI620" t="str">
            <v>N52</v>
          </cell>
          <cell r="AJ620" t="str">
            <v>F</v>
          </cell>
          <cell r="AK620" t="str">
            <v/>
          </cell>
        </row>
        <row r="621">
          <cell r="A621" t="str">
            <v>12540957829052</v>
          </cell>
          <cell r="B621" t="e">
            <v>#N/A</v>
          </cell>
          <cell r="C621">
            <v>12</v>
          </cell>
          <cell r="D621" t="str">
            <v>EK65</v>
          </cell>
          <cell r="E621" t="str">
            <v>555212</v>
          </cell>
          <cell r="F621" t="str">
            <v>E</v>
          </cell>
          <cell r="G621" t="str">
            <v>12540957</v>
          </cell>
          <cell r="H621" t="str">
            <v>Winkel w.g.</v>
          </cell>
          <cell r="I621">
            <v>62</v>
          </cell>
          <cell r="J621" t="str">
            <v>Stk</v>
          </cell>
          <cell r="K621">
            <v>45363</v>
          </cell>
          <cell r="L621" t="str">
            <v>829052</v>
          </cell>
          <cell r="M621" t="str">
            <v/>
          </cell>
          <cell r="N621" t="str">
            <v/>
          </cell>
          <cell r="O621" t="str">
            <v/>
          </cell>
          <cell r="P621" t="str">
            <v/>
          </cell>
          <cell r="Q621" t="str">
            <v/>
          </cell>
          <cell r="R621" t="str">
            <v/>
          </cell>
          <cell r="S621" t="str">
            <v/>
          </cell>
          <cell r="T621" t="str">
            <v/>
          </cell>
          <cell r="U621" t="str">
            <v/>
          </cell>
          <cell r="V621" t="str">
            <v>N52</v>
          </cell>
          <cell r="W621" t="str">
            <v/>
          </cell>
          <cell r="X621" t="str">
            <v/>
          </cell>
          <cell r="Y621" t="str">
            <v/>
          </cell>
          <cell r="Z621" t="str">
            <v/>
          </cell>
          <cell r="AA621" t="str">
            <v/>
          </cell>
          <cell r="AB621" t="str">
            <v>PA_4490076-CD.7004-3</v>
          </cell>
          <cell r="AC621">
            <v>1</v>
          </cell>
          <cell r="AD621" t="str">
            <v/>
          </cell>
          <cell r="AE621">
            <v>0</v>
          </cell>
          <cell r="AF621" t="str">
            <v/>
          </cell>
          <cell r="AG621" t="str">
            <v>12540957</v>
          </cell>
          <cell r="AH621">
            <v>44672.050023148149</v>
          </cell>
          <cell r="AI621" t="str">
            <v>N52</v>
          </cell>
          <cell r="AJ621" t="str">
            <v>F</v>
          </cell>
          <cell r="AK621" t="str">
            <v/>
          </cell>
        </row>
        <row r="622">
          <cell r="A622" t="str">
            <v>12540958829051</v>
          </cell>
          <cell r="B622" t="str">
            <v>BL20230413-2</v>
          </cell>
          <cell r="C622">
            <v>6</v>
          </cell>
          <cell r="D622" t="str">
            <v>EK65</v>
          </cell>
          <cell r="E622" t="str">
            <v>555213</v>
          </cell>
          <cell r="F622" t="str">
            <v>E</v>
          </cell>
          <cell r="G622" t="str">
            <v>12540958</v>
          </cell>
          <cell r="H622" t="str">
            <v>Winkel w.g.</v>
          </cell>
          <cell r="I622">
            <v>179</v>
          </cell>
          <cell r="J622" t="str">
            <v>Stk</v>
          </cell>
          <cell r="K622">
            <v>45335</v>
          </cell>
          <cell r="L622" t="str">
            <v>829051</v>
          </cell>
          <cell r="M622" t="str">
            <v/>
          </cell>
          <cell r="N622" t="str">
            <v/>
          </cell>
          <cell r="O622" t="str">
            <v/>
          </cell>
          <cell r="P622" t="str">
            <v/>
          </cell>
          <cell r="Q622" t="str">
            <v/>
          </cell>
          <cell r="R622" t="str">
            <v/>
          </cell>
          <cell r="S622" t="str">
            <v/>
          </cell>
          <cell r="T622" t="str">
            <v/>
          </cell>
          <cell r="U622" t="str">
            <v/>
          </cell>
          <cell r="V622" t="str">
            <v>N52</v>
          </cell>
          <cell r="W622" t="str">
            <v/>
          </cell>
          <cell r="X622" t="str">
            <v/>
          </cell>
          <cell r="Y622" t="str">
            <v/>
          </cell>
          <cell r="Z622" t="str">
            <v/>
          </cell>
          <cell r="AA622" t="str">
            <v/>
          </cell>
          <cell r="AB622" t="str">
            <v>PA_4519516-CD.7004-3</v>
          </cell>
          <cell r="AC622">
            <v>1</v>
          </cell>
          <cell r="AD622" t="str">
            <v/>
          </cell>
          <cell r="AE622">
            <v>0</v>
          </cell>
          <cell r="AF622" t="str">
            <v/>
          </cell>
          <cell r="AG622" t="str">
            <v>12540958</v>
          </cell>
          <cell r="AH622">
            <v>44672.050046296295</v>
          </cell>
          <cell r="AI622" t="str">
            <v>N52</v>
          </cell>
          <cell r="AJ622" t="str">
            <v>F</v>
          </cell>
          <cell r="AK622" t="str">
            <v/>
          </cell>
        </row>
        <row r="623">
          <cell r="A623" t="str">
            <v>12540959829051</v>
          </cell>
          <cell r="B623" t="str">
            <v>BL20230413-2</v>
          </cell>
          <cell r="C623">
            <v>6</v>
          </cell>
          <cell r="D623" t="str">
            <v>EK65</v>
          </cell>
          <cell r="E623" t="str">
            <v>555214</v>
          </cell>
          <cell r="F623" t="str">
            <v>E</v>
          </cell>
          <cell r="G623" t="str">
            <v>12540959</v>
          </cell>
          <cell r="H623" t="str">
            <v>Winkel w.g.</v>
          </cell>
          <cell r="I623">
            <v>179</v>
          </cell>
          <cell r="J623" t="str">
            <v>Stk</v>
          </cell>
          <cell r="K623">
            <v>45335</v>
          </cell>
          <cell r="L623" t="str">
            <v>829051</v>
          </cell>
          <cell r="M623" t="str">
            <v/>
          </cell>
          <cell r="N623" t="str">
            <v/>
          </cell>
          <cell r="O623" t="str">
            <v/>
          </cell>
          <cell r="P623" t="str">
            <v/>
          </cell>
          <cell r="Q623" t="str">
            <v/>
          </cell>
          <cell r="R623" t="str">
            <v/>
          </cell>
          <cell r="S623" t="str">
            <v/>
          </cell>
          <cell r="T623" t="str">
            <v/>
          </cell>
          <cell r="U623" t="str">
            <v/>
          </cell>
          <cell r="V623" t="str">
            <v>N52</v>
          </cell>
          <cell r="W623" t="str">
            <v/>
          </cell>
          <cell r="X623" t="str">
            <v/>
          </cell>
          <cell r="Y623" t="str">
            <v/>
          </cell>
          <cell r="Z623" t="str">
            <v/>
          </cell>
          <cell r="AA623" t="str">
            <v/>
          </cell>
          <cell r="AB623" t="str">
            <v>PA_4522177-CD.7004-3</v>
          </cell>
          <cell r="AC623">
            <v>1</v>
          </cell>
          <cell r="AD623" t="str">
            <v/>
          </cell>
          <cell r="AE623">
            <v>0</v>
          </cell>
          <cell r="AF623" t="str">
            <v/>
          </cell>
          <cell r="AG623" t="str">
            <v>12540959</v>
          </cell>
          <cell r="AH623">
            <v>44672.050069444442</v>
          </cell>
          <cell r="AI623" t="str">
            <v>N52</v>
          </cell>
          <cell r="AJ623" t="str">
            <v>F</v>
          </cell>
          <cell r="AK623" t="str">
            <v/>
          </cell>
        </row>
        <row r="624">
          <cell r="A624" t="str">
            <v>12540961829051</v>
          </cell>
          <cell r="B624" t="e">
            <v>#N/A</v>
          </cell>
          <cell r="C624">
            <v>3</v>
          </cell>
          <cell r="D624" t="str">
            <v>EK65</v>
          </cell>
          <cell r="E624" t="str">
            <v>555215</v>
          </cell>
          <cell r="F624" t="str">
            <v>E</v>
          </cell>
          <cell r="G624" t="str">
            <v>12540961</v>
          </cell>
          <cell r="H624" t="str">
            <v>Distanzstueck</v>
          </cell>
          <cell r="I624">
            <v>361</v>
          </cell>
          <cell r="J624" t="str">
            <v>Stk</v>
          </cell>
          <cell r="K624">
            <v>45328</v>
          </cell>
          <cell r="L624" t="str">
            <v>829051</v>
          </cell>
          <cell r="M624" t="str">
            <v/>
          </cell>
          <cell r="N624" t="str">
            <v/>
          </cell>
          <cell r="O624" t="str">
            <v/>
          </cell>
          <cell r="P624" t="str">
            <v/>
          </cell>
          <cell r="Q624" t="str">
            <v/>
          </cell>
          <cell r="R624" t="str">
            <v/>
          </cell>
          <cell r="S624" t="str">
            <v/>
          </cell>
          <cell r="T624" t="str">
            <v/>
          </cell>
          <cell r="U624" t="str">
            <v/>
          </cell>
          <cell r="V624" t="str">
            <v>N52</v>
          </cell>
          <cell r="W624" t="str">
            <v/>
          </cell>
          <cell r="X624" t="str">
            <v/>
          </cell>
          <cell r="Y624" t="str">
            <v/>
          </cell>
          <cell r="Z624" t="str">
            <v/>
          </cell>
          <cell r="AA624" t="str">
            <v/>
          </cell>
          <cell r="AB624" t="str">
            <v>PA_4535746-CD.7004-4</v>
          </cell>
          <cell r="AC624">
            <v>1</v>
          </cell>
          <cell r="AD624" t="str">
            <v/>
          </cell>
          <cell r="AE624">
            <v>0</v>
          </cell>
          <cell r="AF624" t="str">
            <v/>
          </cell>
          <cell r="AG624" t="str">
            <v>12540961</v>
          </cell>
          <cell r="AH624">
            <v>44672.050104166665</v>
          </cell>
          <cell r="AI624" t="str">
            <v>N52</v>
          </cell>
          <cell r="AJ624" t="str">
            <v>F</v>
          </cell>
          <cell r="AK624" t="str">
            <v/>
          </cell>
        </row>
        <row r="625">
          <cell r="A625" t="str">
            <v>12540981829051</v>
          </cell>
          <cell r="B625" t="str">
            <v>BL20230413-2</v>
          </cell>
          <cell r="C625">
            <v>12</v>
          </cell>
          <cell r="D625" t="str">
            <v>EK65</v>
          </cell>
          <cell r="E625" t="str">
            <v>555216</v>
          </cell>
          <cell r="F625" t="str">
            <v>E</v>
          </cell>
          <cell r="G625" t="str">
            <v>12540981</v>
          </cell>
          <cell r="H625" t="str">
            <v>Winkel sp.g.</v>
          </cell>
          <cell r="I625">
            <v>90</v>
          </cell>
          <cell r="J625" t="str">
            <v>Stk</v>
          </cell>
          <cell r="K625">
            <v>45335</v>
          </cell>
          <cell r="L625" t="str">
            <v>829051</v>
          </cell>
          <cell r="M625" t="str">
            <v/>
          </cell>
          <cell r="N625" t="str">
            <v/>
          </cell>
          <cell r="O625" t="str">
            <v/>
          </cell>
          <cell r="P625" t="str">
            <v/>
          </cell>
          <cell r="Q625" t="str">
            <v/>
          </cell>
          <cell r="R625" t="str">
            <v/>
          </cell>
          <cell r="S625" t="str">
            <v/>
          </cell>
          <cell r="T625" t="str">
            <v/>
          </cell>
          <cell r="U625" t="str">
            <v/>
          </cell>
          <cell r="V625" t="str">
            <v>N52</v>
          </cell>
          <cell r="W625" t="str">
            <v/>
          </cell>
          <cell r="X625" t="str">
            <v/>
          </cell>
          <cell r="Y625" t="str">
            <v/>
          </cell>
          <cell r="Z625" t="str">
            <v/>
          </cell>
          <cell r="AA625" t="str">
            <v/>
          </cell>
          <cell r="AB625" t="str">
            <v>PA_4490076-CD.7004-3</v>
          </cell>
          <cell r="AC625">
            <v>1</v>
          </cell>
          <cell r="AD625" t="str">
            <v/>
          </cell>
          <cell r="AE625">
            <v>0</v>
          </cell>
          <cell r="AF625" t="str">
            <v/>
          </cell>
          <cell r="AG625" t="str">
            <v>12540981</v>
          </cell>
          <cell r="AH625">
            <v>44672.05027777778</v>
          </cell>
          <cell r="AI625" t="str">
            <v>N52</v>
          </cell>
          <cell r="AJ625" t="str">
            <v>F</v>
          </cell>
          <cell r="AK625" t="str">
            <v/>
          </cell>
        </row>
        <row r="626">
          <cell r="A626" t="str">
            <v>12540981829052</v>
          </cell>
          <cell r="B626" t="e">
            <v>#N/A</v>
          </cell>
          <cell r="C626">
            <v>12</v>
          </cell>
          <cell r="D626" t="str">
            <v>EK65</v>
          </cell>
          <cell r="E626" t="str">
            <v>555217</v>
          </cell>
          <cell r="F626" t="str">
            <v>E</v>
          </cell>
          <cell r="G626" t="str">
            <v>12540981</v>
          </cell>
          <cell r="H626" t="str">
            <v>Winkel sp.g.</v>
          </cell>
          <cell r="I626">
            <v>62</v>
          </cell>
          <cell r="J626" t="str">
            <v>Stk</v>
          </cell>
          <cell r="K626">
            <v>45363</v>
          </cell>
          <cell r="L626" t="str">
            <v>829052</v>
          </cell>
          <cell r="M626" t="str">
            <v/>
          </cell>
          <cell r="N626" t="str">
            <v/>
          </cell>
          <cell r="O626" t="str">
            <v/>
          </cell>
          <cell r="P626" t="str">
            <v/>
          </cell>
          <cell r="Q626" t="str">
            <v/>
          </cell>
          <cell r="R626" t="str">
            <v/>
          </cell>
          <cell r="S626" t="str">
            <v/>
          </cell>
          <cell r="T626" t="str">
            <v/>
          </cell>
          <cell r="U626" t="str">
            <v/>
          </cell>
          <cell r="V626" t="str">
            <v>N52</v>
          </cell>
          <cell r="W626" t="str">
            <v/>
          </cell>
          <cell r="X626" t="str">
            <v/>
          </cell>
          <cell r="Y626" t="str">
            <v/>
          </cell>
          <cell r="Z626" t="str">
            <v/>
          </cell>
          <cell r="AA626" t="str">
            <v/>
          </cell>
          <cell r="AB626" t="str">
            <v>PA_4490076-CD.7004-3</v>
          </cell>
          <cell r="AC626">
            <v>1</v>
          </cell>
          <cell r="AD626" t="str">
            <v/>
          </cell>
          <cell r="AE626">
            <v>0</v>
          </cell>
          <cell r="AF626" t="str">
            <v/>
          </cell>
          <cell r="AG626" t="str">
            <v>12540981</v>
          </cell>
          <cell r="AH626">
            <v>44672.05027777778</v>
          </cell>
          <cell r="AI626" t="str">
            <v>N52</v>
          </cell>
          <cell r="AJ626" t="str">
            <v>F</v>
          </cell>
          <cell r="AK626" t="str">
            <v/>
          </cell>
        </row>
        <row r="627">
          <cell r="A627" t="str">
            <v>12540982829051</v>
          </cell>
          <cell r="B627" t="str">
            <v>BL20230413-2</v>
          </cell>
          <cell r="C627">
            <v>6</v>
          </cell>
          <cell r="D627" t="str">
            <v>EK65</v>
          </cell>
          <cell r="E627" t="str">
            <v>555218</v>
          </cell>
          <cell r="F627" t="str">
            <v>E</v>
          </cell>
          <cell r="G627" t="str">
            <v>12540982</v>
          </cell>
          <cell r="H627" t="str">
            <v>Winkel sp.g.</v>
          </cell>
          <cell r="I627">
            <v>179</v>
          </cell>
          <cell r="J627" t="str">
            <v>Stk</v>
          </cell>
          <cell r="K627">
            <v>45335</v>
          </cell>
          <cell r="L627" t="str">
            <v>829051</v>
          </cell>
          <cell r="M627" t="str">
            <v/>
          </cell>
          <cell r="N627" t="str">
            <v/>
          </cell>
          <cell r="O627" t="str">
            <v/>
          </cell>
          <cell r="P627" t="str">
            <v/>
          </cell>
          <cell r="Q627" t="str">
            <v/>
          </cell>
          <cell r="R627" t="str">
            <v/>
          </cell>
          <cell r="S627" t="str">
            <v/>
          </cell>
          <cell r="T627" t="str">
            <v/>
          </cell>
          <cell r="U627" t="str">
            <v/>
          </cell>
          <cell r="V627" t="str">
            <v>N52</v>
          </cell>
          <cell r="W627" t="str">
            <v/>
          </cell>
          <cell r="X627" t="str">
            <v/>
          </cell>
          <cell r="Y627" t="str">
            <v/>
          </cell>
          <cell r="Z627" t="str">
            <v/>
          </cell>
          <cell r="AA627" t="str">
            <v/>
          </cell>
          <cell r="AB627" t="str">
            <v>PA_4519516-CD.7004-3</v>
          </cell>
          <cell r="AC627">
            <v>1</v>
          </cell>
          <cell r="AD627" t="str">
            <v/>
          </cell>
          <cell r="AE627">
            <v>0</v>
          </cell>
          <cell r="AF627" t="str">
            <v/>
          </cell>
          <cell r="AG627" t="str">
            <v>12540982</v>
          </cell>
          <cell r="AH627">
            <v>44672.050300925926</v>
          </cell>
          <cell r="AI627" t="str">
            <v>N52</v>
          </cell>
          <cell r="AJ627" t="str">
            <v>F</v>
          </cell>
          <cell r="AK627" t="str">
            <v/>
          </cell>
        </row>
        <row r="628">
          <cell r="A628" t="str">
            <v>12540983829051</v>
          </cell>
          <cell r="B628" t="str">
            <v>BL20230413-2</v>
          </cell>
          <cell r="C628">
            <v>6</v>
          </cell>
          <cell r="D628" t="str">
            <v>EK65</v>
          </cell>
          <cell r="E628" t="str">
            <v>555219</v>
          </cell>
          <cell r="F628" t="str">
            <v>E</v>
          </cell>
          <cell r="G628" t="str">
            <v>12540983</v>
          </cell>
          <cell r="H628" t="str">
            <v>Winkel sp.g.</v>
          </cell>
          <cell r="I628">
            <v>179</v>
          </cell>
          <cell r="J628" t="str">
            <v>Stk</v>
          </cell>
          <cell r="K628">
            <v>45335</v>
          </cell>
          <cell r="L628" t="str">
            <v>829051</v>
          </cell>
          <cell r="M628" t="str">
            <v/>
          </cell>
          <cell r="N628" t="str">
            <v/>
          </cell>
          <cell r="O628" t="str">
            <v/>
          </cell>
          <cell r="P628" t="str">
            <v/>
          </cell>
          <cell r="Q628" t="str">
            <v/>
          </cell>
          <cell r="R628" t="str">
            <v/>
          </cell>
          <cell r="S628" t="str">
            <v/>
          </cell>
          <cell r="T628" t="str">
            <v/>
          </cell>
          <cell r="U628" t="str">
            <v/>
          </cell>
          <cell r="V628" t="str">
            <v>N52</v>
          </cell>
          <cell r="W628" t="str">
            <v/>
          </cell>
          <cell r="X628" t="str">
            <v/>
          </cell>
          <cell r="Y628" t="str">
            <v/>
          </cell>
          <cell r="Z628" t="str">
            <v/>
          </cell>
          <cell r="AA628" t="str">
            <v/>
          </cell>
          <cell r="AB628" t="str">
            <v>PA_4522177-CD.7004-3</v>
          </cell>
          <cell r="AC628">
            <v>1</v>
          </cell>
          <cell r="AD628" t="str">
            <v/>
          </cell>
          <cell r="AE628">
            <v>0</v>
          </cell>
          <cell r="AF628" t="str">
            <v/>
          </cell>
          <cell r="AG628" t="str">
            <v>12540983</v>
          </cell>
          <cell r="AH628">
            <v>44672.050324074073</v>
          </cell>
          <cell r="AI628" t="str">
            <v>N52</v>
          </cell>
          <cell r="AJ628" t="str">
            <v>F</v>
          </cell>
          <cell r="AK628" t="str">
            <v/>
          </cell>
        </row>
        <row r="629">
          <cell r="A629" t="str">
            <v>12540989829051</v>
          </cell>
          <cell r="B629" t="e">
            <v>#N/A</v>
          </cell>
          <cell r="C629">
            <v>8</v>
          </cell>
          <cell r="D629" t="str">
            <v>EK65</v>
          </cell>
          <cell r="E629" t="str">
            <v>555220</v>
          </cell>
          <cell r="F629" t="str">
            <v>E</v>
          </cell>
          <cell r="G629" t="str">
            <v>12540989</v>
          </cell>
          <cell r="H629" t="str">
            <v>Halteblech vollst.</v>
          </cell>
          <cell r="I629">
            <v>1085</v>
          </cell>
          <cell r="J629" t="str">
            <v>Stk</v>
          </cell>
          <cell r="K629">
            <v>45329</v>
          </cell>
          <cell r="L629" t="str">
            <v>829051</v>
          </cell>
          <cell r="M629" t="str">
            <v/>
          </cell>
          <cell r="N629" t="str">
            <v/>
          </cell>
          <cell r="O629" t="str">
            <v/>
          </cell>
          <cell r="P629" t="str">
            <v/>
          </cell>
          <cell r="Q629" t="str">
            <v/>
          </cell>
          <cell r="R629" t="str">
            <v/>
          </cell>
          <cell r="S629" t="str">
            <v/>
          </cell>
          <cell r="T629" t="str">
            <v/>
          </cell>
          <cell r="U629" t="str">
            <v/>
          </cell>
          <cell r="V629" t="str">
            <v>N38</v>
          </cell>
          <cell r="W629" t="str">
            <v/>
          </cell>
          <cell r="X629" t="str">
            <v/>
          </cell>
          <cell r="Y629" t="str">
            <v/>
          </cell>
          <cell r="Z629" t="str">
            <v/>
          </cell>
          <cell r="AA629" t="str">
            <v/>
          </cell>
          <cell r="AB629" t="str">
            <v>PA_4294411-CD.7004-3</v>
          </cell>
          <cell r="AC629">
            <v>1</v>
          </cell>
          <cell r="AD629" t="str">
            <v/>
          </cell>
          <cell r="AE629">
            <v>0</v>
          </cell>
          <cell r="AF629" t="str">
            <v/>
          </cell>
          <cell r="AG629" t="str">
            <v>12540989</v>
          </cell>
          <cell r="AH629">
            <v>44672.050393518519</v>
          </cell>
          <cell r="AI629" t="str">
            <v>N38</v>
          </cell>
          <cell r="AJ629" t="str">
            <v>F</v>
          </cell>
          <cell r="AK629" t="str">
            <v/>
          </cell>
        </row>
        <row r="630">
          <cell r="A630" t="str">
            <v>12540989829052</v>
          </cell>
          <cell r="B630" t="e">
            <v>#N/A</v>
          </cell>
          <cell r="C630">
            <v>8</v>
          </cell>
          <cell r="D630" t="str">
            <v>EK65</v>
          </cell>
          <cell r="E630" t="str">
            <v>555221</v>
          </cell>
          <cell r="F630" t="str">
            <v>E</v>
          </cell>
          <cell r="G630" t="str">
            <v>12540989</v>
          </cell>
          <cell r="H630" t="str">
            <v>Halteblech vollst.</v>
          </cell>
          <cell r="I630">
            <v>371</v>
          </cell>
          <cell r="J630" t="str">
            <v>Stk</v>
          </cell>
          <cell r="K630">
            <v>45363</v>
          </cell>
          <cell r="L630" t="str">
            <v>829052</v>
          </cell>
          <cell r="M630" t="str">
            <v/>
          </cell>
          <cell r="N630" t="str">
            <v/>
          </cell>
          <cell r="O630" t="str">
            <v/>
          </cell>
          <cell r="P630" t="str">
            <v/>
          </cell>
          <cell r="Q630" t="str">
            <v/>
          </cell>
          <cell r="R630" t="str">
            <v/>
          </cell>
          <cell r="S630" t="str">
            <v/>
          </cell>
          <cell r="T630" t="str">
            <v/>
          </cell>
          <cell r="U630" t="str">
            <v/>
          </cell>
          <cell r="V630" t="str">
            <v>N38</v>
          </cell>
          <cell r="W630" t="str">
            <v/>
          </cell>
          <cell r="X630" t="str">
            <v/>
          </cell>
          <cell r="Y630" t="str">
            <v/>
          </cell>
          <cell r="Z630" t="str">
            <v/>
          </cell>
          <cell r="AA630" t="str">
            <v/>
          </cell>
          <cell r="AB630" t="str">
            <v>PA_4294411-CD.7004-3</v>
          </cell>
          <cell r="AC630">
            <v>1</v>
          </cell>
          <cell r="AD630" t="str">
            <v/>
          </cell>
          <cell r="AE630">
            <v>0</v>
          </cell>
          <cell r="AF630" t="str">
            <v/>
          </cell>
          <cell r="AG630" t="str">
            <v>12540989</v>
          </cell>
          <cell r="AH630">
            <v>44672.050393518519</v>
          </cell>
          <cell r="AI630" t="str">
            <v>N38</v>
          </cell>
          <cell r="AJ630" t="str">
            <v>F</v>
          </cell>
          <cell r="AK630" t="str">
            <v/>
          </cell>
        </row>
        <row r="631">
          <cell r="A631" t="str">
            <v>12542206829051</v>
          </cell>
          <cell r="B631" t="e">
            <v>#N/A</v>
          </cell>
          <cell r="C631">
            <v>12</v>
          </cell>
          <cell r="D631" t="str">
            <v>EK65</v>
          </cell>
          <cell r="E631" t="str">
            <v>555227</v>
          </cell>
          <cell r="F631" t="str">
            <v>E</v>
          </cell>
          <cell r="G631" t="str">
            <v>12542206</v>
          </cell>
          <cell r="H631" t="str">
            <v>Leitungshalter vollst.</v>
          </cell>
          <cell r="I631">
            <v>459</v>
          </cell>
          <cell r="J631" t="str">
            <v>Stk</v>
          </cell>
          <cell r="K631">
            <v>45310</v>
          </cell>
          <cell r="L631" t="str">
            <v>829051</v>
          </cell>
          <cell r="M631" t="str">
            <v/>
          </cell>
          <cell r="N631" t="str">
            <v/>
          </cell>
          <cell r="O631" t="str">
            <v/>
          </cell>
          <cell r="P631" t="str">
            <v/>
          </cell>
          <cell r="Q631" t="str">
            <v/>
          </cell>
          <cell r="R631" t="str">
            <v/>
          </cell>
          <cell r="S631" t="str">
            <v/>
          </cell>
          <cell r="T631" t="str">
            <v/>
          </cell>
          <cell r="U631" t="str">
            <v/>
          </cell>
          <cell r="V631" t="str">
            <v>N38</v>
          </cell>
          <cell r="W631" t="str">
            <v/>
          </cell>
          <cell r="X631" t="str">
            <v/>
          </cell>
          <cell r="Y631" t="str">
            <v/>
          </cell>
          <cell r="Z631" t="str">
            <v/>
          </cell>
          <cell r="AA631" t="str">
            <v/>
          </cell>
          <cell r="AB631" t="str">
            <v>PA_4543375-UA.7004-3</v>
          </cell>
          <cell r="AC631">
            <v>1</v>
          </cell>
          <cell r="AD631" t="str">
            <v/>
          </cell>
          <cell r="AE631">
            <v>0</v>
          </cell>
          <cell r="AF631" t="str">
            <v/>
          </cell>
          <cell r="AG631" t="str">
            <v>12542206</v>
          </cell>
          <cell r="AH631">
            <v>44672.050891203704</v>
          </cell>
          <cell r="AI631" t="str">
            <v>N38</v>
          </cell>
          <cell r="AJ631" t="str">
            <v>F</v>
          </cell>
          <cell r="AK631" t="str">
            <v/>
          </cell>
        </row>
        <row r="632">
          <cell r="A632" t="str">
            <v>12542206829052</v>
          </cell>
          <cell r="B632" t="str">
            <v>BL20230413-2</v>
          </cell>
          <cell r="C632">
            <v>12</v>
          </cell>
          <cell r="D632" t="str">
            <v>EK65</v>
          </cell>
          <cell r="E632" t="str">
            <v>555228</v>
          </cell>
          <cell r="F632" t="str">
            <v>E</v>
          </cell>
          <cell r="G632" t="str">
            <v>12542206</v>
          </cell>
          <cell r="H632" t="str">
            <v>Leitungshalter vollst.</v>
          </cell>
          <cell r="I632">
            <v>312</v>
          </cell>
          <cell r="J632" t="str">
            <v>Stk</v>
          </cell>
          <cell r="K632">
            <v>45345</v>
          </cell>
          <cell r="L632" t="str">
            <v>829052</v>
          </cell>
          <cell r="M632" t="str">
            <v/>
          </cell>
          <cell r="N632" t="str">
            <v/>
          </cell>
          <cell r="O632" t="str">
            <v/>
          </cell>
          <cell r="P632" t="str">
            <v/>
          </cell>
          <cell r="Q632" t="str">
            <v/>
          </cell>
          <cell r="R632" t="str">
            <v/>
          </cell>
          <cell r="S632" t="str">
            <v/>
          </cell>
          <cell r="T632" t="str">
            <v/>
          </cell>
          <cell r="U632" t="str">
            <v/>
          </cell>
          <cell r="V632" t="str">
            <v>N38</v>
          </cell>
          <cell r="W632" t="str">
            <v/>
          </cell>
          <cell r="X632" t="str">
            <v/>
          </cell>
          <cell r="Y632" t="str">
            <v/>
          </cell>
          <cell r="Z632" t="str">
            <v/>
          </cell>
          <cell r="AA632" t="str">
            <v/>
          </cell>
          <cell r="AB632" t="str">
            <v>PA_4543375-UA.7004-3</v>
          </cell>
          <cell r="AC632">
            <v>1</v>
          </cell>
          <cell r="AD632" t="str">
            <v/>
          </cell>
          <cell r="AE632">
            <v>0</v>
          </cell>
          <cell r="AF632" t="str">
            <v/>
          </cell>
          <cell r="AG632" t="str">
            <v>12542206</v>
          </cell>
          <cell r="AH632">
            <v>44672.050891203704</v>
          </cell>
          <cell r="AI632" t="str">
            <v>N38</v>
          </cell>
          <cell r="AJ632" t="str">
            <v>F</v>
          </cell>
          <cell r="AK632" t="str">
            <v/>
          </cell>
        </row>
        <row r="633">
          <cell r="A633" t="str">
            <v>12542719829051</v>
          </cell>
          <cell r="B633" t="e">
            <v>#N/A</v>
          </cell>
          <cell r="C633">
            <v>11</v>
          </cell>
          <cell r="D633" t="str">
            <v>EK65</v>
          </cell>
          <cell r="E633" t="str">
            <v>555229</v>
          </cell>
          <cell r="F633" t="str">
            <v>E</v>
          </cell>
          <cell r="G633" t="str">
            <v>12542719</v>
          </cell>
          <cell r="H633" t="str">
            <v>Beilage</v>
          </cell>
          <cell r="I633">
            <v>179</v>
          </cell>
          <cell r="J633" t="str">
            <v>Stk</v>
          </cell>
          <cell r="K633">
            <v>45323</v>
          </cell>
          <cell r="L633" t="str">
            <v>829051</v>
          </cell>
          <cell r="M633" t="str">
            <v/>
          </cell>
          <cell r="N633" t="str">
            <v/>
          </cell>
          <cell r="O633" t="str">
            <v/>
          </cell>
          <cell r="P633" t="str">
            <v/>
          </cell>
          <cell r="Q633" t="str">
            <v/>
          </cell>
          <cell r="R633" t="str">
            <v/>
          </cell>
          <cell r="S633" t="str">
            <v/>
          </cell>
          <cell r="T633" t="str">
            <v/>
          </cell>
          <cell r="U633" t="str">
            <v/>
          </cell>
          <cell r="V633" t="str">
            <v>N52</v>
          </cell>
          <cell r="W633" t="str">
            <v/>
          </cell>
          <cell r="X633" t="str">
            <v/>
          </cell>
          <cell r="Y633" t="str">
            <v/>
          </cell>
          <cell r="Z633" t="str">
            <v/>
          </cell>
          <cell r="AA633" t="str">
            <v/>
          </cell>
          <cell r="AB633" t="str">
            <v>PA_4332681-EF.7004-3</v>
          </cell>
          <cell r="AC633">
            <v>1</v>
          </cell>
          <cell r="AD633" t="str">
            <v/>
          </cell>
          <cell r="AE633">
            <v>0</v>
          </cell>
          <cell r="AF633" t="str">
            <v/>
          </cell>
          <cell r="AG633" t="str">
            <v>12542719</v>
          </cell>
          <cell r="AH633">
            <v>44672.051319444443</v>
          </cell>
          <cell r="AI633" t="str">
            <v>N52</v>
          </cell>
          <cell r="AJ633" t="str">
            <v>F</v>
          </cell>
          <cell r="AK633" t="str">
            <v/>
          </cell>
        </row>
        <row r="634">
          <cell r="A634" t="str">
            <v>12542719829052</v>
          </cell>
          <cell r="B634" t="e">
            <v>#N/A</v>
          </cell>
          <cell r="C634">
            <v>11</v>
          </cell>
          <cell r="D634" t="str">
            <v>EK65</v>
          </cell>
          <cell r="E634" t="str">
            <v>555230</v>
          </cell>
          <cell r="F634" t="str">
            <v>E</v>
          </cell>
          <cell r="G634" t="str">
            <v>12542719</v>
          </cell>
          <cell r="H634" t="str">
            <v>Beilage</v>
          </cell>
          <cell r="I634">
            <v>62</v>
          </cell>
          <cell r="J634" t="str">
            <v>Stk</v>
          </cell>
          <cell r="K634">
            <v>45349</v>
          </cell>
          <cell r="L634" t="str">
            <v>829052</v>
          </cell>
          <cell r="M634" t="str">
            <v/>
          </cell>
          <cell r="N634" t="str">
            <v/>
          </cell>
          <cell r="O634" t="str">
            <v/>
          </cell>
          <cell r="P634" t="str">
            <v/>
          </cell>
          <cell r="Q634" t="str">
            <v/>
          </cell>
          <cell r="R634" t="str">
            <v/>
          </cell>
          <cell r="S634" t="str">
            <v/>
          </cell>
          <cell r="T634" t="str">
            <v/>
          </cell>
          <cell r="U634" t="str">
            <v/>
          </cell>
          <cell r="V634" t="str">
            <v>N52</v>
          </cell>
          <cell r="W634" t="str">
            <v/>
          </cell>
          <cell r="X634" t="str">
            <v/>
          </cell>
          <cell r="Y634" t="str">
            <v/>
          </cell>
          <cell r="Z634" t="str">
            <v/>
          </cell>
          <cell r="AA634" t="str">
            <v/>
          </cell>
          <cell r="AB634" t="str">
            <v>PA_4332681-EF.7004-3</v>
          </cell>
          <cell r="AC634">
            <v>1</v>
          </cell>
          <cell r="AD634" t="str">
            <v/>
          </cell>
          <cell r="AE634">
            <v>0</v>
          </cell>
          <cell r="AF634" t="str">
            <v/>
          </cell>
          <cell r="AG634" t="str">
            <v>12542719</v>
          </cell>
          <cell r="AH634">
            <v>44672.051319444443</v>
          </cell>
          <cell r="AI634" t="str">
            <v>N52</v>
          </cell>
          <cell r="AJ634" t="str">
            <v>F</v>
          </cell>
          <cell r="AK634" t="str">
            <v/>
          </cell>
        </row>
        <row r="635">
          <cell r="A635" t="str">
            <v>12546266829051</v>
          </cell>
          <cell r="B635" t="e">
            <v>#N/A</v>
          </cell>
          <cell r="C635">
            <v>12</v>
          </cell>
          <cell r="D635" t="str">
            <v>EK65</v>
          </cell>
          <cell r="E635" t="str">
            <v>555240</v>
          </cell>
          <cell r="F635" t="str">
            <v>E</v>
          </cell>
          <cell r="G635" t="str">
            <v>12546266</v>
          </cell>
          <cell r="H635" t="str">
            <v>Halter HLG FGR</v>
          </cell>
          <cell r="I635">
            <v>725</v>
          </cell>
          <cell r="J635" t="str">
            <v>Stk</v>
          </cell>
          <cell r="K635">
            <v>45324</v>
          </cell>
          <cell r="L635" t="str">
            <v>829051</v>
          </cell>
          <cell r="M635" t="str">
            <v/>
          </cell>
          <cell r="N635" t="str">
            <v/>
          </cell>
          <cell r="O635" t="str">
            <v/>
          </cell>
          <cell r="P635" t="str">
            <v/>
          </cell>
          <cell r="Q635" t="str">
            <v/>
          </cell>
          <cell r="R635" t="str">
            <v/>
          </cell>
          <cell r="S635" t="str">
            <v/>
          </cell>
          <cell r="T635" t="str">
            <v/>
          </cell>
          <cell r="U635" t="str">
            <v/>
          </cell>
          <cell r="V635" t="str">
            <v>N52</v>
          </cell>
          <cell r="W635" t="str">
            <v/>
          </cell>
          <cell r="X635" t="str">
            <v/>
          </cell>
          <cell r="Y635" t="str">
            <v/>
          </cell>
          <cell r="Z635" t="str">
            <v/>
          </cell>
          <cell r="AA635" t="str">
            <v/>
          </cell>
          <cell r="AB635" t="str">
            <v>PA_2343895-UA.7004-2</v>
          </cell>
          <cell r="AC635">
            <v>1</v>
          </cell>
          <cell r="AD635" t="str">
            <v/>
          </cell>
          <cell r="AE635">
            <v>0</v>
          </cell>
          <cell r="AF635" t="str">
            <v/>
          </cell>
          <cell r="AG635" t="str">
            <v>12546266</v>
          </cell>
          <cell r="AH635">
            <v>44672.052268518521</v>
          </cell>
          <cell r="AI635" t="str">
            <v>N52</v>
          </cell>
          <cell r="AJ635" t="str">
            <v>F</v>
          </cell>
          <cell r="AK635" t="str">
            <v/>
          </cell>
        </row>
        <row r="636">
          <cell r="A636" t="str">
            <v>12546266829052</v>
          </cell>
          <cell r="B636" t="e">
            <v>#N/A</v>
          </cell>
          <cell r="C636">
            <v>12</v>
          </cell>
          <cell r="D636" t="str">
            <v>EK65</v>
          </cell>
          <cell r="E636" t="str">
            <v>555241</v>
          </cell>
          <cell r="F636" t="str">
            <v>E</v>
          </cell>
          <cell r="G636" t="str">
            <v>12546266</v>
          </cell>
          <cell r="H636" t="str">
            <v>Halter HLG FGR</v>
          </cell>
          <cell r="I636">
            <v>248</v>
          </cell>
          <cell r="J636" t="str">
            <v>Stk</v>
          </cell>
          <cell r="K636">
            <v>45357</v>
          </cell>
          <cell r="L636" t="str">
            <v>829052</v>
          </cell>
          <cell r="M636" t="str">
            <v/>
          </cell>
          <cell r="N636" t="str">
            <v/>
          </cell>
          <cell r="O636" t="str">
            <v/>
          </cell>
          <cell r="P636" t="str">
            <v/>
          </cell>
          <cell r="Q636" t="str">
            <v/>
          </cell>
          <cell r="R636" t="str">
            <v/>
          </cell>
          <cell r="S636" t="str">
            <v/>
          </cell>
          <cell r="T636" t="str">
            <v/>
          </cell>
          <cell r="U636" t="str">
            <v/>
          </cell>
          <cell r="V636" t="str">
            <v>N52</v>
          </cell>
          <cell r="W636" t="str">
            <v/>
          </cell>
          <cell r="X636" t="str">
            <v/>
          </cell>
          <cell r="Y636" t="str">
            <v/>
          </cell>
          <cell r="Z636" t="str">
            <v/>
          </cell>
          <cell r="AA636" t="str">
            <v/>
          </cell>
          <cell r="AB636" t="str">
            <v>PA_2343895-UA.7004-2</v>
          </cell>
          <cell r="AC636">
            <v>1</v>
          </cell>
          <cell r="AD636" t="str">
            <v/>
          </cell>
          <cell r="AE636">
            <v>0</v>
          </cell>
          <cell r="AF636" t="str">
            <v/>
          </cell>
          <cell r="AG636" t="str">
            <v>12546266</v>
          </cell>
          <cell r="AH636">
            <v>44672.052268518521</v>
          </cell>
          <cell r="AI636" t="str">
            <v>N52</v>
          </cell>
          <cell r="AJ636" t="str">
            <v>F</v>
          </cell>
          <cell r="AK636" t="str">
            <v/>
          </cell>
        </row>
        <row r="637">
          <cell r="A637" t="str">
            <v>12546867829051</v>
          </cell>
          <cell r="B637" t="e">
            <v>#N/A</v>
          </cell>
          <cell r="C637">
            <v>12</v>
          </cell>
          <cell r="D637" t="str">
            <v>EK65</v>
          </cell>
          <cell r="E637" t="str">
            <v>555242</v>
          </cell>
          <cell r="F637" t="str">
            <v>E</v>
          </cell>
          <cell r="G637" t="str">
            <v>12546867</v>
          </cell>
          <cell r="H637" t="str">
            <v>Halteblech kpl.</v>
          </cell>
          <cell r="I637">
            <v>543</v>
          </cell>
          <cell r="J637" t="str">
            <v>Stk</v>
          </cell>
          <cell r="K637">
            <v>45321</v>
          </cell>
          <cell r="L637" t="str">
            <v>829051</v>
          </cell>
          <cell r="M637" t="str">
            <v/>
          </cell>
          <cell r="N637" t="str">
            <v/>
          </cell>
          <cell r="O637" t="str">
            <v/>
          </cell>
          <cell r="P637" t="str">
            <v/>
          </cell>
          <cell r="Q637" t="str">
            <v/>
          </cell>
          <cell r="R637" t="str">
            <v/>
          </cell>
          <cell r="S637" t="str">
            <v/>
          </cell>
          <cell r="T637" t="str">
            <v/>
          </cell>
          <cell r="U637" t="str">
            <v/>
          </cell>
          <cell r="V637" t="str">
            <v>N38</v>
          </cell>
          <cell r="W637" t="str">
            <v/>
          </cell>
          <cell r="X637" t="str">
            <v/>
          </cell>
          <cell r="Y637" t="str">
            <v/>
          </cell>
          <cell r="Z637" t="str">
            <v/>
          </cell>
          <cell r="AA637" t="str">
            <v/>
          </cell>
          <cell r="AB637" t="str">
            <v>PA_4583236-UA.7004-3</v>
          </cell>
          <cell r="AC637">
            <v>1</v>
          </cell>
          <cell r="AD637" t="str">
            <v/>
          </cell>
          <cell r="AE637">
            <v>0</v>
          </cell>
          <cell r="AF637" t="str">
            <v/>
          </cell>
          <cell r="AG637" t="str">
            <v>12546867</v>
          </cell>
          <cell r="AH637">
            <v>44672.052719907406</v>
          </cell>
          <cell r="AI637" t="str">
            <v>N38</v>
          </cell>
          <cell r="AJ637" t="str">
            <v>F</v>
          </cell>
          <cell r="AK637" t="str">
            <v/>
          </cell>
        </row>
        <row r="638">
          <cell r="A638" t="str">
            <v>12546867829052</v>
          </cell>
          <cell r="B638" t="e">
            <v>#N/A</v>
          </cell>
          <cell r="C638">
            <v>12</v>
          </cell>
          <cell r="D638" t="str">
            <v>EK65</v>
          </cell>
          <cell r="E638" t="str">
            <v>555243</v>
          </cell>
          <cell r="F638" t="str">
            <v>E</v>
          </cell>
          <cell r="G638" t="str">
            <v>12546867</v>
          </cell>
          <cell r="H638" t="str">
            <v>Halteblech kpl.</v>
          </cell>
          <cell r="I638">
            <v>187</v>
          </cell>
          <cell r="J638" t="str">
            <v>Stk</v>
          </cell>
          <cell r="K638">
            <v>45351</v>
          </cell>
          <cell r="L638" t="str">
            <v>829052</v>
          </cell>
          <cell r="M638" t="str">
            <v/>
          </cell>
          <cell r="N638" t="str">
            <v/>
          </cell>
          <cell r="O638" t="str">
            <v/>
          </cell>
          <cell r="P638" t="str">
            <v/>
          </cell>
          <cell r="Q638" t="str">
            <v/>
          </cell>
          <cell r="R638" t="str">
            <v/>
          </cell>
          <cell r="S638" t="str">
            <v/>
          </cell>
          <cell r="T638" t="str">
            <v/>
          </cell>
          <cell r="U638" t="str">
            <v/>
          </cell>
          <cell r="V638" t="str">
            <v>N38</v>
          </cell>
          <cell r="W638" t="str">
            <v/>
          </cell>
          <cell r="X638" t="str">
            <v/>
          </cell>
          <cell r="Y638" t="str">
            <v/>
          </cell>
          <cell r="Z638" t="str">
            <v/>
          </cell>
          <cell r="AA638" t="str">
            <v/>
          </cell>
          <cell r="AB638" t="str">
            <v>PA_4583236-UA.7004-3</v>
          </cell>
          <cell r="AC638">
            <v>1</v>
          </cell>
          <cell r="AD638" t="str">
            <v/>
          </cell>
          <cell r="AE638">
            <v>0</v>
          </cell>
          <cell r="AF638" t="str">
            <v/>
          </cell>
          <cell r="AG638" t="str">
            <v>12546867</v>
          </cell>
          <cell r="AH638">
            <v>44672.052719907406</v>
          </cell>
          <cell r="AI638" t="str">
            <v>N38</v>
          </cell>
          <cell r="AJ638" t="str">
            <v>F</v>
          </cell>
          <cell r="AK638" t="str">
            <v/>
          </cell>
        </row>
        <row r="639">
          <cell r="A639" t="str">
            <v>12546991829051</v>
          </cell>
          <cell r="B639" t="str">
            <v>BL20230413-2</v>
          </cell>
          <cell r="C639">
            <v>11</v>
          </cell>
          <cell r="D639" t="str">
            <v>EK65</v>
          </cell>
          <cell r="E639" t="str">
            <v>555244</v>
          </cell>
          <cell r="F639" t="str">
            <v>E</v>
          </cell>
          <cell r="G639" t="str">
            <v>12546991</v>
          </cell>
          <cell r="H639" t="str">
            <v>Halter</v>
          </cell>
          <cell r="I639">
            <v>1990</v>
          </cell>
          <cell r="J639" t="str">
            <v>Stk</v>
          </cell>
          <cell r="K639">
            <v>45331</v>
          </cell>
          <cell r="L639" t="str">
            <v>829051</v>
          </cell>
          <cell r="M639" t="str">
            <v/>
          </cell>
          <cell r="N639" t="str">
            <v/>
          </cell>
          <cell r="O639" t="str">
            <v/>
          </cell>
          <cell r="P639" t="str">
            <v/>
          </cell>
          <cell r="Q639" t="str">
            <v/>
          </cell>
          <cell r="R639" t="str">
            <v/>
          </cell>
          <cell r="S639" t="str">
            <v/>
          </cell>
          <cell r="T639" t="str">
            <v/>
          </cell>
          <cell r="U639" t="str">
            <v/>
          </cell>
          <cell r="V639" t="str">
            <v>N52</v>
          </cell>
          <cell r="W639" t="str">
            <v/>
          </cell>
          <cell r="X639" t="str">
            <v/>
          </cell>
          <cell r="Y639" t="str">
            <v/>
          </cell>
          <cell r="Z639" t="str">
            <v/>
          </cell>
          <cell r="AA639" t="str">
            <v/>
          </cell>
          <cell r="AB639" t="str">
            <v>PA_2338109-LD.7004-3</v>
          </cell>
          <cell r="AC639">
            <v>1</v>
          </cell>
          <cell r="AD639" t="str">
            <v/>
          </cell>
          <cell r="AE639">
            <v>0</v>
          </cell>
          <cell r="AF639" t="str">
            <v/>
          </cell>
          <cell r="AG639" t="str">
            <v>12546991</v>
          </cell>
          <cell r="AH639">
            <v>44672.052766203706</v>
          </cell>
          <cell r="AI639" t="str">
            <v>N52</v>
          </cell>
          <cell r="AJ639" t="str">
            <v>F</v>
          </cell>
          <cell r="AK639" t="str">
            <v/>
          </cell>
        </row>
        <row r="640">
          <cell r="A640" t="str">
            <v>12546991829052</v>
          </cell>
          <cell r="B640" t="e">
            <v>#N/A</v>
          </cell>
          <cell r="C640">
            <v>11</v>
          </cell>
          <cell r="D640" t="str">
            <v>EK65</v>
          </cell>
          <cell r="E640" t="str">
            <v>555245</v>
          </cell>
          <cell r="F640" t="str">
            <v>E</v>
          </cell>
          <cell r="G640" t="str">
            <v>12546991</v>
          </cell>
          <cell r="H640" t="str">
            <v>Halter</v>
          </cell>
          <cell r="I640">
            <v>765</v>
          </cell>
          <cell r="J640" t="str">
            <v>Stk</v>
          </cell>
          <cell r="K640">
            <v>45364</v>
          </cell>
          <cell r="L640" t="str">
            <v>829052</v>
          </cell>
          <cell r="M640" t="str">
            <v/>
          </cell>
          <cell r="N640" t="str">
            <v/>
          </cell>
          <cell r="O640" t="str">
            <v/>
          </cell>
          <cell r="P640" t="str">
            <v/>
          </cell>
          <cell r="Q640" t="str">
            <v/>
          </cell>
          <cell r="R640" t="str">
            <v/>
          </cell>
          <cell r="S640" t="str">
            <v/>
          </cell>
          <cell r="T640" t="str">
            <v/>
          </cell>
          <cell r="U640" t="str">
            <v/>
          </cell>
          <cell r="V640" t="str">
            <v>N52</v>
          </cell>
          <cell r="W640" t="str">
            <v/>
          </cell>
          <cell r="X640" t="str">
            <v/>
          </cell>
          <cell r="Y640" t="str">
            <v/>
          </cell>
          <cell r="Z640" t="str">
            <v/>
          </cell>
          <cell r="AA640" t="str">
            <v/>
          </cell>
          <cell r="AB640" t="str">
            <v>PA_2338109-LD.7004-3</v>
          </cell>
          <cell r="AC640">
            <v>1</v>
          </cell>
          <cell r="AD640" t="str">
            <v/>
          </cell>
          <cell r="AE640">
            <v>0</v>
          </cell>
          <cell r="AF640" t="str">
            <v/>
          </cell>
          <cell r="AG640" t="str">
            <v>12546991</v>
          </cell>
          <cell r="AH640">
            <v>44672.052766203706</v>
          </cell>
          <cell r="AI640" t="str">
            <v>N52</v>
          </cell>
          <cell r="AJ640" t="str">
            <v>F</v>
          </cell>
          <cell r="AK640" t="str">
            <v/>
          </cell>
        </row>
        <row r="641">
          <cell r="A641" t="str">
            <v>12547293829051</v>
          </cell>
          <cell r="B641" t="str">
            <v>BL20230413-2</v>
          </cell>
          <cell r="C641">
            <v>12</v>
          </cell>
          <cell r="D641" t="str">
            <v>EK65</v>
          </cell>
          <cell r="E641" t="str">
            <v>555246</v>
          </cell>
          <cell r="F641" t="str">
            <v>E</v>
          </cell>
          <cell r="G641" t="str">
            <v>12547293</v>
          </cell>
          <cell r="H641" t="str">
            <v>Halteblech 3a</v>
          </cell>
          <cell r="I641">
            <v>270</v>
          </cell>
          <cell r="J641" t="str">
            <v>Stk</v>
          </cell>
          <cell r="K641">
            <v>45331</v>
          </cell>
          <cell r="L641" t="str">
            <v>829051</v>
          </cell>
          <cell r="M641" t="str">
            <v/>
          </cell>
          <cell r="N641" t="str">
            <v/>
          </cell>
          <cell r="O641" t="str">
            <v/>
          </cell>
          <cell r="P641" t="str">
            <v/>
          </cell>
          <cell r="Q641" t="str">
            <v/>
          </cell>
          <cell r="R641" t="str">
            <v/>
          </cell>
          <cell r="S641" t="str">
            <v/>
          </cell>
          <cell r="T641" t="str">
            <v/>
          </cell>
          <cell r="U641" t="str">
            <v/>
          </cell>
          <cell r="V641" t="str">
            <v>N52</v>
          </cell>
          <cell r="W641" t="str">
            <v/>
          </cell>
          <cell r="X641" t="str">
            <v/>
          </cell>
          <cell r="Y641" t="str">
            <v/>
          </cell>
          <cell r="Z641" t="str">
            <v/>
          </cell>
          <cell r="AA641" t="str">
            <v/>
          </cell>
          <cell r="AB641" t="str">
            <v>PA_2341267-TB.7004-3</v>
          </cell>
          <cell r="AC641">
            <v>1</v>
          </cell>
          <cell r="AD641" t="str">
            <v/>
          </cell>
          <cell r="AE641">
            <v>0</v>
          </cell>
          <cell r="AF641" t="str">
            <v/>
          </cell>
          <cell r="AG641" t="str">
            <v>12547293</v>
          </cell>
          <cell r="AH641">
            <v>44672.052835648145</v>
          </cell>
          <cell r="AI641" t="str">
            <v>N52</v>
          </cell>
          <cell r="AJ641" t="str">
            <v>F</v>
          </cell>
          <cell r="AK641" t="str">
            <v/>
          </cell>
        </row>
        <row r="642">
          <cell r="A642" t="str">
            <v>12547293829052</v>
          </cell>
          <cell r="B642" t="e">
            <v>#N/A</v>
          </cell>
          <cell r="C642">
            <v>12</v>
          </cell>
          <cell r="D642" t="str">
            <v>EK65</v>
          </cell>
          <cell r="E642" t="str">
            <v>555247</v>
          </cell>
          <cell r="F642" t="str">
            <v>E</v>
          </cell>
          <cell r="G642" t="str">
            <v>12547293</v>
          </cell>
          <cell r="H642" t="str">
            <v>Halteblech 3a</v>
          </cell>
          <cell r="I642">
            <v>94</v>
          </cell>
          <cell r="J642" t="str">
            <v>Stk</v>
          </cell>
          <cell r="K642">
            <v>45356</v>
          </cell>
          <cell r="L642" t="str">
            <v>829052</v>
          </cell>
          <cell r="M642" t="str">
            <v/>
          </cell>
          <cell r="N642" t="str">
            <v/>
          </cell>
          <cell r="O642" t="str">
            <v/>
          </cell>
          <cell r="P642" t="str">
            <v/>
          </cell>
          <cell r="Q642" t="str">
            <v/>
          </cell>
          <cell r="R642" t="str">
            <v/>
          </cell>
          <cell r="S642" t="str">
            <v/>
          </cell>
          <cell r="T642" t="str">
            <v/>
          </cell>
          <cell r="U642" t="str">
            <v/>
          </cell>
          <cell r="V642" t="str">
            <v>N52</v>
          </cell>
          <cell r="W642" t="str">
            <v/>
          </cell>
          <cell r="X642" t="str">
            <v/>
          </cell>
          <cell r="Y642" t="str">
            <v/>
          </cell>
          <cell r="Z642" t="str">
            <v/>
          </cell>
          <cell r="AA642" t="str">
            <v/>
          </cell>
          <cell r="AB642" t="str">
            <v>PA_2341267-TB.7004-3</v>
          </cell>
          <cell r="AC642">
            <v>1</v>
          </cell>
          <cell r="AD642" t="str">
            <v/>
          </cell>
          <cell r="AE642">
            <v>0</v>
          </cell>
          <cell r="AF642" t="str">
            <v/>
          </cell>
          <cell r="AG642" t="str">
            <v>12547293</v>
          </cell>
          <cell r="AH642">
            <v>44672.052835648145</v>
          </cell>
          <cell r="AI642" t="str">
            <v>N52</v>
          </cell>
          <cell r="AJ642" t="str">
            <v>F</v>
          </cell>
          <cell r="AK642" t="str">
            <v/>
          </cell>
        </row>
        <row r="643">
          <cell r="A643" t="str">
            <v>12547346829051</v>
          </cell>
          <cell r="B643" t="e">
            <v>#N/A</v>
          </cell>
          <cell r="C643">
            <v>12</v>
          </cell>
          <cell r="D643" t="str">
            <v>EK65</v>
          </cell>
          <cell r="E643" t="str">
            <v>555248</v>
          </cell>
          <cell r="F643" t="str">
            <v>E</v>
          </cell>
          <cell r="G643" t="str">
            <v>12547346</v>
          </cell>
          <cell r="H643" t="str">
            <v>Blech</v>
          </cell>
          <cell r="I643">
            <v>1450</v>
          </cell>
          <cell r="J643" t="str">
            <v>Stk</v>
          </cell>
          <cell r="K643">
            <v>45321</v>
          </cell>
          <cell r="L643" t="str">
            <v>829051</v>
          </cell>
          <cell r="M643" t="str">
            <v/>
          </cell>
          <cell r="N643" t="str">
            <v/>
          </cell>
          <cell r="O643" t="str">
            <v/>
          </cell>
          <cell r="P643" t="str">
            <v/>
          </cell>
          <cell r="Q643" t="str">
            <v/>
          </cell>
          <cell r="R643" t="str">
            <v/>
          </cell>
          <cell r="S643" t="str">
            <v/>
          </cell>
          <cell r="T643" t="str">
            <v/>
          </cell>
          <cell r="U643" t="str">
            <v/>
          </cell>
          <cell r="V643" t="str">
            <v>N52</v>
          </cell>
          <cell r="W643" t="str">
            <v/>
          </cell>
          <cell r="X643" t="str">
            <v/>
          </cell>
          <cell r="Y643" t="str">
            <v/>
          </cell>
          <cell r="Z643" t="str">
            <v/>
          </cell>
          <cell r="AA643" t="str">
            <v/>
          </cell>
          <cell r="AB643" t="str">
            <v>PA_4586697-LC.7004-3</v>
          </cell>
          <cell r="AC643">
            <v>1</v>
          </cell>
          <cell r="AD643" t="str">
            <v/>
          </cell>
          <cell r="AE643">
            <v>0</v>
          </cell>
          <cell r="AF643" t="str">
            <v/>
          </cell>
          <cell r="AG643" t="str">
            <v>12547346</v>
          </cell>
          <cell r="AH643">
            <v>44672.052870370368</v>
          </cell>
          <cell r="AI643" t="str">
            <v>N52</v>
          </cell>
          <cell r="AJ643" t="str">
            <v>F</v>
          </cell>
          <cell r="AK643" t="str">
            <v/>
          </cell>
        </row>
        <row r="644">
          <cell r="A644" t="str">
            <v>12547346829052</v>
          </cell>
          <cell r="B644" t="e">
            <v>#N/A</v>
          </cell>
          <cell r="C644">
            <v>12</v>
          </cell>
          <cell r="D644" t="str">
            <v>EK65</v>
          </cell>
          <cell r="E644" t="str">
            <v>555249</v>
          </cell>
          <cell r="F644" t="str">
            <v>E</v>
          </cell>
          <cell r="G644" t="str">
            <v>12547346</v>
          </cell>
          <cell r="H644" t="str">
            <v>Blech</v>
          </cell>
          <cell r="I644">
            <v>624</v>
          </cell>
          <cell r="J644" t="str">
            <v>Stk</v>
          </cell>
          <cell r="K644">
            <v>45351</v>
          </cell>
          <cell r="L644" t="str">
            <v>829052</v>
          </cell>
          <cell r="M644" t="str">
            <v/>
          </cell>
          <cell r="N644" t="str">
            <v/>
          </cell>
          <cell r="O644" t="str">
            <v/>
          </cell>
          <cell r="P644" t="str">
            <v/>
          </cell>
          <cell r="Q644" t="str">
            <v/>
          </cell>
          <cell r="R644" t="str">
            <v/>
          </cell>
          <cell r="S644" t="str">
            <v/>
          </cell>
          <cell r="T644" t="str">
            <v/>
          </cell>
          <cell r="U644" t="str">
            <v/>
          </cell>
          <cell r="V644" t="str">
            <v>N52</v>
          </cell>
          <cell r="W644" t="str">
            <v/>
          </cell>
          <cell r="X644" t="str">
            <v/>
          </cell>
          <cell r="Y644" t="str">
            <v/>
          </cell>
          <cell r="Z644" t="str">
            <v/>
          </cell>
          <cell r="AA644" t="str">
            <v/>
          </cell>
          <cell r="AB644" t="str">
            <v>PA_4586697-LC.7004-3</v>
          </cell>
          <cell r="AC644">
            <v>1</v>
          </cell>
          <cell r="AD644" t="str">
            <v/>
          </cell>
          <cell r="AE644">
            <v>0</v>
          </cell>
          <cell r="AF644" t="str">
            <v/>
          </cell>
          <cell r="AG644" t="str">
            <v>12547346</v>
          </cell>
          <cell r="AH644">
            <v>44672.052870370368</v>
          </cell>
          <cell r="AI644" t="str">
            <v>N52</v>
          </cell>
          <cell r="AJ644" t="str">
            <v>F</v>
          </cell>
          <cell r="AK644" t="str">
            <v/>
          </cell>
        </row>
        <row r="645">
          <cell r="A645" t="str">
            <v>12547355829051</v>
          </cell>
          <cell r="B645" t="e">
            <v>#N/A</v>
          </cell>
          <cell r="C645">
            <v>12</v>
          </cell>
          <cell r="D645" t="str">
            <v>EK65</v>
          </cell>
          <cell r="E645" t="str">
            <v>555250</v>
          </cell>
          <cell r="F645" t="str">
            <v>E</v>
          </cell>
          <cell r="G645" t="str">
            <v>12547355</v>
          </cell>
          <cell r="H645" t="str">
            <v>Blech</v>
          </cell>
          <cell r="I645">
            <v>1450</v>
          </cell>
          <cell r="J645" t="str">
            <v>Stk</v>
          </cell>
          <cell r="K645">
            <v>45321</v>
          </cell>
          <cell r="L645" t="str">
            <v>829051</v>
          </cell>
          <cell r="M645" t="str">
            <v/>
          </cell>
          <cell r="N645" t="str">
            <v/>
          </cell>
          <cell r="O645" t="str">
            <v/>
          </cell>
          <cell r="P645" t="str">
            <v/>
          </cell>
          <cell r="Q645" t="str">
            <v/>
          </cell>
          <cell r="R645" t="str">
            <v/>
          </cell>
          <cell r="S645" t="str">
            <v/>
          </cell>
          <cell r="T645" t="str">
            <v/>
          </cell>
          <cell r="U645" t="str">
            <v/>
          </cell>
          <cell r="V645" t="str">
            <v>N52</v>
          </cell>
          <cell r="W645" t="str">
            <v/>
          </cell>
          <cell r="X645" t="str">
            <v/>
          </cell>
          <cell r="Y645" t="str">
            <v/>
          </cell>
          <cell r="Z645" t="str">
            <v/>
          </cell>
          <cell r="AA645" t="str">
            <v/>
          </cell>
          <cell r="AB645" t="str">
            <v>PA_4604700-LC.7004-4</v>
          </cell>
          <cell r="AC645">
            <v>1</v>
          </cell>
          <cell r="AD645" t="str">
            <v/>
          </cell>
          <cell r="AE645">
            <v>0</v>
          </cell>
          <cell r="AF645" t="str">
            <v/>
          </cell>
          <cell r="AG645" t="str">
            <v>12547355</v>
          </cell>
          <cell r="AH645">
            <v>44672.052893518521</v>
          </cell>
          <cell r="AI645" t="str">
            <v>N52</v>
          </cell>
          <cell r="AJ645" t="str">
            <v>F</v>
          </cell>
          <cell r="AK645" t="str">
            <v/>
          </cell>
        </row>
        <row r="646">
          <cell r="A646" t="str">
            <v>12547355829052</v>
          </cell>
          <cell r="B646" t="e">
            <v>#N/A</v>
          </cell>
          <cell r="C646">
            <v>12</v>
          </cell>
          <cell r="D646" t="str">
            <v>EK65</v>
          </cell>
          <cell r="E646" t="str">
            <v>555251</v>
          </cell>
          <cell r="F646" t="str">
            <v>E</v>
          </cell>
          <cell r="G646" t="str">
            <v>12547355</v>
          </cell>
          <cell r="H646" t="str">
            <v>Blech</v>
          </cell>
          <cell r="I646">
            <v>624</v>
          </cell>
          <cell r="J646" t="str">
            <v>Stk</v>
          </cell>
          <cell r="K646">
            <v>45351</v>
          </cell>
          <cell r="L646" t="str">
            <v>829052</v>
          </cell>
          <cell r="M646" t="str">
            <v/>
          </cell>
          <cell r="N646" t="str">
            <v/>
          </cell>
          <cell r="O646" t="str">
            <v/>
          </cell>
          <cell r="P646" t="str">
            <v/>
          </cell>
          <cell r="Q646" t="str">
            <v/>
          </cell>
          <cell r="R646" t="str">
            <v/>
          </cell>
          <cell r="S646" t="str">
            <v/>
          </cell>
          <cell r="T646" t="str">
            <v/>
          </cell>
          <cell r="U646" t="str">
            <v/>
          </cell>
          <cell r="V646" t="str">
            <v>N52</v>
          </cell>
          <cell r="W646" t="str">
            <v/>
          </cell>
          <cell r="X646" t="str">
            <v/>
          </cell>
          <cell r="Y646" t="str">
            <v/>
          </cell>
          <cell r="Z646" t="str">
            <v/>
          </cell>
          <cell r="AA646" t="str">
            <v/>
          </cell>
          <cell r="AB646" t="str">
            <v>PA_4604700-LC.7004-4</v>
          </cell>
          <cell r="AC646">
            <v>1</v>
          </cell>
          <cell r="AD646" t="str">
            <v/>
          </cell>
          <cell r="AE646">
            <v>0</v>
          </cell>
          <cell r="AF646" t="str">
            <v/>
          </cell>
          <cell r="AG646" t="str">
            <v>12547355</v>
          </cell>
          <cell r="AH646">
            <v>44672.052893518521</v>
          </cell>
          <cell r="AI646" t="str">
            <v>N52</v>
          </cell>
          <cell r="AJ646" t="str">
            <v>F</v>
          </cell>
          <cell r="AK646" t="str">
            <v/>
          </cell>
        </row>
        <row r="647">
          <cell r="A647" t="str">
            <v>12547358829051</v>
          </cell>
          <cell r="B647" t="e">
            <v>#N/A</v>
          </cell>
          <cell r="C647">
            <v>12</v>
          </cell>
          <cell r="D647" t="str">
            <v>EK65</v>
          </cell>
          <cell r="E647" t="str">
            <v>555252</v>
          </cell>
          <cell r="F647" t="str">
            <v>E</v>
          </cell>
          <cell r="G647" t="str">
            <v>12547358</v>
          </cell>
          <cell r="H647" t="str">
            <v>Blech</v>
          </cell>
          <cell r="I647">
            <v>2900</v>
          </cell>
          <cell r="J647" t="str">
            <v>Stk</v>
          </cell>
          <cell r="K647">
            <v>45321</v>
          </cell>
          <cell r="L647" t="str">
            <v>829051</v>
          </cell>
          <cell r="M647" t="str">
            <v/>
          </cell>
          <cell r="N647" t="str">
            <v/>
          </cell>
          <cell r="O647" t="str">
            <v/>
          </cell>
          <cell r="P647" t="str">
            <v/>
          </cell>
          <cell r="Q647" t="str">
            <v/>
          </cell>
          <cell r="R647" t="str">
            <v/>
          </cell>
          <cell r="S647" t="str">
            <v/>
          </cell>
          <cell r="T647" t="str">
            <v/>
          </cell>
          <cell r="U647" t="str">
            <v/>
          </cell>
          <cell r="V647" t="str">
            <v>N52</v>
          </cell>
          <cell r="W647" t="str">
            <v/>
          </cell>
          <cell r="X647" t="str">
            <v/>
          </cell>
          <cell r="Y647" t="str">
            <v/>
          </cell>
          <cell r="Z647" t="str">
            <v/>
          </cell>
          <cell r="AA647" t="str">
            <v/>
          </cell>
          <cell r="AB647" t="str">
            <v>PA_4604736-LC.7004-4</v>
          </cell>
          <cell r="AC647">
            <v>1</v>
          </cell>
          <cell r="AD647" t="str">
            <v/>
          </cell>
          <cell r="AE647">
            <v>0</v>
          </cell>
          <cell r="AF647" t="str">
            <v/>
          </cell>
          <cell r="AG647" t="str">
            <v>12547358</v>
          </cell>
          <cell r="AH647">
            <v>44672.052928240744</v>
          </cell>
          <cell r="AI647" t="str">
            <v>N52</v>
          </cell>
          <cell r="AJ647" t="str">
            <v>F</v>
          </cell>
          <cell r="AK647" t="str">
            <v/>
          </cell>
        </row>
        <row r="648">
          <cell r="A648" t="str">
            <v>12547358829052</v>
          </cell>
          <cell r="B648" t="e">
            <v>#N/A</v>
          </cell>
          <cell r="C648">
            <v>12</v>
          </cell>
          <cell r="D648" t="str">
            <v>EK65</v>
          </cell>
          <cell r="E648" t="str">
            <v>555253</v>
          </cell>
          <cell r="F648" t="str">
            <v>E</v>
          </cell>
          <cell r="G648" t="str">
            <v>12547358</v>
          </cell>
          <cell r="H648" t="str">
            <v>Blech</v>
          </cell>
          <cell r="I648">
            <v>1245</v>
          </cell>
          <cell r="J648" t="str">
            <v>Stk</v>
          </cell>
          <cell r="K648">
            <v>45351</v>
          </cell>
          <cell r="L648" t="str">
            <v>829052</v>
          </cell>
          <cell r="M648" t="str">
            <v/>
          </cell>
          <cell r="N648" t="str">
            <v/>
          </cell>
          <cell r="O648" t="str">
            <v/>
          </cell>
          <cell r="P648" t="str">
            <v/>
          </cell>
          <cell r="Q648" t="str">
            <v/>
          </cell>
          <cell r="R648" t="str">
            <v/>
          </cell>
          <cell r="S648" t="str">
            <v/>
          </cell>
          <cell r="T648" t="str">
            <v/>
          </cell>
          <cell r="U648" t="str">
            <v/>
          </cell>
          <cell r="V648" t="str">
            <v>N52</v>
          </cell>
          <cell r="W648" t="str">
            <v/>
          </cell>
          <cell r="X648" t="str">
            <v/>
          </cell>
          <cell r="Y648" t="str">
            <v/>
          </cell>
          <cell r="Z648" t="str">
            <v/>
          </cell>
          <cell r="AA648" t="str">
            <v/>
          </cell>
          <cell r="AB648" t="str">
            <v>PA_4604736-LC.7004-4</v>
          </cell>
          <cell r="AC648">
            <v>1</v>
          </cell>
          <cell r="AD648" t="str">
            <v/>
          </cell>
          <cell r="AE648">
            <v>0</v>
          </cell>
          <cell r="AF648" t="str">
            <v/>
          </cell>
          <cell r="AG648" t="str">
            <v>12547358</v>
          </cell>
          <cell r="AH648">
            <v>44672.052928240744</v>
          </cell>
          <cell r="AI648" t="str">
            <v>N52</v>
          </cell>
          <cell r="AJ648" t="str">
            <v>F</v>
          </cell>
          <cell r="AK648" t="str">
            <v/>
          </cell>
        </row>
        <row r="649">
          <cell r="A649" t="str">
            <v>12547412829051</v>
          </cell>
          <cell r="B649" t="str">
            <v>BL20230413-2</v>
          </cell>
          <cell r="C649">
            <v>12</v>
          </cell>
          <cell r="D649" t="str">
            <v>EK65</v>
          </cell>
          <cell r="E649" t="str">
            <v>555257</v>
          </cell>
          <cell r="F649" t="str">
            <v>E</v>
          </cell>
          <cell r="G649" t="str">
            <v>12547412</v>
          </cell>
          <cell r="H649" t="str">
            <v>Halteblech 4a</v>
          </cell>
          <cell r="I649">
            <v>270</v>
          </cell>
          <cell r="J649" t="str">
            <v>Stk</v>
          </cell>
          <cell r="K649">
            <v>45331</v>
          </cell>
          <cell r="L649" t="str">
            <v>829051</v>
          </cell>
          <cell r="M649" t="str">
            <v/>
          </cell>
          <cell r="N649" t="str">
            <v/>
          </cell>
          <cell r="O649" t="str">
            <v/>
          </cell>
          <cell r="P649" t="str">
            <v/>
          </cell>
          <cell r="Q649" t="str">
            <v/>
          </cell>
          <cell r="R649" t="str">
            <v/>
          </cell>
          <cell r="S649" t="str">
            <v/>
          </cell>
          <cell r="T649" t="str">
            <v/>
          </cell>
          <cell r="U649" t="str">
            <v/>
          </cell>
          <cell r="V649" t="str">
            <v>N52</v>
          </cell>
          <cell r="W649" t="str">
            <v/>
          </cell>
          <cell r="X649" t="str">
            <v/>
          </cell>
          <cell r="Y649" t="str">
            <v/>
          </cell>
          <cell r="Z649" t="str">
            <v/>
          </cell>
          <cell r="AA649" t="str">
            <v/>
          </cell>
          <cell r="AB649" t="str">
            <v>PA_2341275-TB.7004-3</v>
          </cell>
          <cell r="AC649">
            <v>1</v>
          </cell>
          <cell r="AD649" t="str">
            <v/>
          </cell>
          <cell r="AE649">
            <v>0</v>
          </cell>
          <cell r="AF649" t="str">
            <v/>
          </cell>
          <cell r="AG649" t="str">
            <v>12547412</v>
          </cell>
          <cell r="AH649">
            <v>44672.053043981483</v>
          </cell>
          <cell r="AI649" t="str">
            <v>N52</v>
          </cell>
          <cell r="AJ649" t="str">
            <v>F</v>
          </cell>
          <cell r="AK649" t="str">
            <v/>
          </cell>
        </row>
        <row r="650">
          <cell r="A650" t="str">
            <v>12547412829052</v>
          </cell>
          <cell r="B650" t="e">
            <v>#N/A</v>
          </cell>
          <cell r="C650">
            <v>12</v>
          </cell>
          <cell r="D650" t="str">
            <v>EK65</v>
          </cell>
          <cell r="E650" t="str">
            <v>555258</v>
          </cell>
          <cell r="F650" t="str">
            <v>E</v>
          </cell>
          <cell r="G650" t="str">
            <v>12547412</v>
          </cell>
          <cell r="H650" t="str">
            <v>Halteblech 4a</v>
          </cell>
          <cell r="I650">
            <v>93</v>
          </cell>
          <cell r="J650" t="str">
            <v>Stk</v>
          </cell>
          <cell r="K650">
            <v>45357</v>
          </cell>
          <cell r="L650" t="str">
            <v>829052</v>
          </cell>
          <cell r="M650" t="str">
            <v/>
          </cell>
          <cell r="N650" t="str">
            <v/>
          </cell>
          <cell r="O650" t="str">
            <v/>
          </cell>
          <cell r="P650" t="str">
            <v/>
          </cell>
          <cell r="Q650" t="str">
            <v/>
          </cell>
          <cell r="R650" t="str">
            <v/>
          </cell>
          <cell r="S650" t="str">
            <v/>
          </cell>
          <cell r="T650" t="str">
            <v/>
          </cell>
          <cell r="U650" t="str">
            <v/>
          </cell>
          <cell r="V650" t="str">
            <v>N52</v>
          </cell>
          <cell r="W650" t="str">
            <v/>
          </cell>
          <cell r="X650" t="str">
            <v/>
          </cell>
          <cell r="Y650" t="str">
            <v/>
          </cell>
          <cell r="Z650" t="str">
            <v/>
          </cell>
          <cell r="AA650" t="str">
            <v/>
          </cell>
          <cell r="AB650" t="str">
            <v>PA_2341275-TB.7004-3</v>
          </cell>
          <cell r="AC650">
            <v>1</v>
          </cell>
          <cell r="AD650" t="str">
            <v/>
          </cell>
          <cell r="AE650">
            <v>0</v>
          </cell>
          <cell r="AF650" t="str">
            <v/>
          </cell>
          <cell r="AG650" t="str">
            <v>12547412</v>
          </cell>
          <cell r="AH650">
            <v>44672.053043981483</v>
          </cell>
          <cell r="AI650" t="str">
            <v>N52</v>
          </cell>
          <cell r="AJ650" t="str">
            <v>F</v>
          </cell>
          <cell r="AK650" t="str">
            <v/>
          </cell>
        </row>
        <row r="651">
          <cell r="A651" t="str">
            <v>12547977829051</v>
          </cell>
          <cell r="B651" t="e">
            <v>#N/A</v>
          </cell>
          <cell r="C651">
            <v>11</v>
          </cell>
          <cell r="D651" t="str">
            <v>EK65</v>
          </cell>
          <cell r="E651" t="str">
            <v>555264</v>
          </cell>
          <cell r="F651" t="str">
            <v>E</v>
          </cell>
          <cell r="G651" t="str">
            <v>12547977</v>
          </cell>
          <cell r="H651" t="str">
            <v>Halter Automatenabdeckung vollst.+64 +66</v>
          </cell>
          <cell r="I651">
            <v>1826</v>
          </cell>
          <cell r="J651" t="str">
            <v>Stk</v>
          </cell>
          <cell r="K651">
            <v>45240</v>
          </cell>
          <cell r="L651" t="str">
            <v>829051</v>
          </cell>
          <cell r="M651" t="str">
            <v/>
          </cell>
          <cell r="N651" t="str">
            <v/>
          </cell>
          <cell r="O651" t="str">
            <v/>
          </cell>
          <cell r="P651" t="str">
            <v/>
          </cell>
          <cell r="Q651" t="str">
            <v/>
          </cell>
          <cell r="R651" t="str">
            <v/>
          </cell>
          <cell r="S651" t="str">
            <v/>
          </cell>
          <cell r="T651" t="str">
            <v/>
          </cell>
          <cell r="U651" t="str">
            <v/>
          </cell>
          <cell r="V651" t="str">
            <v>N38</v>
          </cell>
          <cell r="W651" t="str">
            <v/>
          </cell>
          <cell r="X651" t="str">
            <v/>
          </cell>
          <cell r="Y651" t="str">
            <v/>
          </cell>
          <cell r="Z651" t="str">
            <v/>
          </cell>
          <cell r="AA651" t="str">
            <v/>
          </cell>
          <cell r="AB651" t="str">
            <v>PA_4672098-UA.7004-4</v>
          </cell>
          <cell r="AC651">
            <v>1</v>
          </cell>
          <cell r="AD651" t="str">
            <v/>
          </cell>
          <cell r="AE651">
            <v>0</v>
          </cell>
          <cell r="AF651" t="str">
            <v/>
          </cell>
          <cell r="AG651" t="str">
            <v>12547977</v>
          </cell>
          <cell r="AH651">
            <v>44672.053240740737</v>
          </cell>
          <cell r="AI651" t="str">
            <v>N38</v>
          </cell>
          <cell r="AJ651" t="str">
            <v>F</v>
          </cell>
          <cell r="AK651" t="str">
            <v/>
          </cell>
        </row>
        <row r="652">
          <cell r="A652" t="str">
            <v>12550998829051</v>
          </cell>
          <cell r="B652" t="str">
            <v>BL20230413-2</v>
          </cell>
          <cell r="C652">
            <v>6</v>
          </cell>
          <cell r="D652" t="str">
            <v>EK65</v>
          </cell>
          <cell r="E652" t="str">
            <v>555314</v>
          </cell>
          <cell r="F652" t="str">
            <v>E</v>
          </cell>
          <cell r="G652" t="str">
            <v>12550998</v>
          </cell>
          <cell r="H652" t="str">
            <v>Halter EW2 vollst.</v>
          </cell>
          <cell r="I652">
            <v>45</v>
          </cell>
          <cell r="J652" t="str">
            <v>Stk</v>
          </cell>
          <cell r="K652">
            <v>45331</v>
          </cell>
          <cell r="L652" t="str">
            <v>829051</v>
          </cell>
          <cell r="M652" t="str">
            <v/>
          </cell>
          <cell r="N652" t="str">
            <v/>
          </cell>
          <cell r="O652" t="str">
            <v/>
          </cell>
          <cell r="P652" t="str">
            <v/>
          </cell>
          <cell r="Q652" t="str">
            <v/>
          </cell>
          <cell r="R652" t="str">
            <v/>
          </cell>
          <cell r="S652" t="str">
            <v/>
          </cell>
          <cell r="T652" t="str">
            <v/>
          </cell>
          <cell r="U652" t="str">
            <v/>
          </cell>
          <cell r="V652" t="str">
            <v>N38</v>
          </cell>
          <cell r="W652" t="str">
            <v/>
          </cell>
          <cell r="X652" t="str">
            <v/>
          </cell>
          <cell r="Y652" t="str">
            <v/>
          </cell>
          <cell r="Z652" t="str">
            <v/>
          </cell>
          <cell r="AA652" t="str">
            <v/>
          </cell>
          <cell r="AB652" t="str">
            <v>PA_4499375-QE.7004-3</v>
          </cell>
          <cell r="AC652">
            <v>1</v>
          </cell>
          <cell r="AD652" t="str">
            <v/>
          </cell>
          <cell r="AE652">
            <v>0</v>
          </cell>
          <cell r="AF652" t="str">
            <v/>
          </cell>
          <cell r="AG652" t="str">
            <v>12550998</v>
          </cell>
          <cell r="AH652">
            <v>44672.054907407408</v>
          </cell>
          <cell r="AI652" t="str">
            <v>N38</v>
          </cell>
          <cell r="AJ652" t="str">
            <v>F</v>
          </cell>
          <cell r="AK652" t="str">
            <v/>
          </cell>
        </row>
        <row r="653">
          <cell r="A653" t="str">
            <v>12551128829051</v>
          </cell>
          <cell r="B653" t="str">
            <v>BL20230413-2</v>
          </cell>
          <cell r="C653">
            <v>6</v>
          </cell>
          <cell r="D653" t="str">
            <v>EK65</v>
          </cell>
          <cell r="E653" t="str">
            <v>555315</v>
          </cell>
          <cell r="F653" t="str">
            <v>E</v>
          </cell>
          <cell r="G653" t="str">
            <v>12551128</v>
          </cell>
          <cell r="H653" t="str">
            <v>Halter</v>
          </cell>
          <cell r="I653">
            <v>45</v>
          </cell>
          <cell r="J653" t="str">
            <v>Stk</v>
          </cell>
          <cell r="K653">
            <v>45331</v>
          </cell>
          <cell r="L653" t="str">
            <v>829051</v>
          </cell>
          <cell r="M653" t="str">
            <v/>
          </cell>
          <cell r="N653" t="str">
            <v/>
          </cell>
          <cell r="O653" t="str">
            <v/>
          </cell>
          <cell r="P653" t="str">
            <v/>
          </cell>
          <cell r="Q653" t="str">
            <v/>
          </cell>
          <cell r="R653" t="str">
            <v/>
          </cell>
          <cell r="S653" t="str">
            <v/>
          </cell>
          <cell r="T653" t="str">
            <v/>
          </cell>
          <cell r="U653" t="str">
            <v/>
          </cell>
          <cell r="V653" t="str">
            <v>N38</v>
          </cell>
          <cell r="W653" t="str">
            <v/>
          </cell>
          <cell r="X653" t="str">
            <v/>
          </cell>
          <cell r="Y653" t="str">
            <v/>
          </cell>
          <cell r="Z653" t="str">
            <v/>
          </cell>
          <cell r="AA653" t="str">
            <v/>
          </cell>
          <cell r="AB653" t="str">
            <v>PA_4491963-QE.7004-3</v>
          </cell>
          <cell r="AC653">
            <v>1</v>
          </cell>
          <cell r="AD653" t="str">
            <v/>
          </cell>
          <cell r="AE653">
            <v>0</v>
          </cell>
          <cell r="AF653" t="str">
            <v/>
          </cell>
          <cell r="AG653" t="str">
            <v>12551128</v>
          </cell>
          <cell r="AH653">
            <v>44672.055011574077</v>
          </cell>
          <cell r="AI653" t="str">
            <v>N38</v>
          </cell>
          <cell r="AJ653" t="str">
            <v>F</v>
          </cell>
          <cell r="AK653" t="str">
            <v/>
          </cell>
        </row>
        <row r="654">
          <cell r="A654" t="str">
            <v>12551129829051</v>
          </cell>
          <cell r="B654" t="str">
            <v>BL20230413-2</v>
          </cell>
          <cell r="C654">
            <v>6</v>
          </cell>
          <cell r="D654" t="str">
            <v>EK65</v>
          </cell>
          <cell r="E654" t="str">
            <v>555316</v>
          </cell>
          <cell r="F654" t="str">
            <v>E</v>
          </cell>
          <cell r="G654" t="str">
            <v>12551129</v>
          </cell>
          <cell r="H654" t="str">
            <v>Halter</v>
          </cell>
          <cell r="I654">
            <v>45</v>
          </cell>
          <cell r="J654" t="str">
            <v>Stk</v>
          </cell>
          <cell r="K654">
            <v>45331</v>
          </cell>
          <cell r="L654" t="str">
            <v>829051</v>
          </cell>
          <cell r="M654" t="str">
            <v/>
          </cell>
          <cell r="N654" t="str">
            <v/>
          </cell>
          <cell r="O654" t="str">
            <v/>
          </cell>
          <cell r="P654" t="str">
            <v/>
          </cell>
          <cell r="Q654" t="str">
            <v/>
          </cell>
          <cell r="R654" t="str">
            <v/>
          </cell>
          <cell r="S654" t="str">
            <v/>
          </cell>
          <cell r="T654" t="str">
            <v/>
          </cell>
          <cell r="U654" t="str">
            <v/>
          </cell>
          <cell r="V654" t="str">
            <v>N38</v>
          </cell>
          <cell r="W654" t="str">
            <v/>
          </cell>
          <cell r="X654" t="str">
            <v/>
          </cell>
          <cell r="Y654" t="str">
            <v/>
          </cell>
          <cell r="Z654" t="str">
            <v/>
          </cell>
          <cell r="AA654" t="str">
            <v/>
          </cell>
          <cell r="AB654" t="str">
            <v>PA_4491518-QE.7004-3</v>
          </cell>
          <cell r="AC654">
            <v>1</v>
          </cell>
          <cell r="AD654" t="str">
            <v/>
          </cell>
          <cell r="AE654">
            <v>0</v>
          </cell>
          <cell r="AF654" t="str">
            <v/>
          </cell>
          <cell r="AG654" t="str">
            <v>12551129</v>
          </cell>
          <cell r="AH654">
            <v>44672.055023148147</v>
          </cell>
          <cell r="AI654" t="str">
            <v>N38</v>
          </cell>
          <cell r="AJ654" t="str">
            <v>F</v>
          </cell>
          <cell r="AK654" t="str">
            <v/>
          </cell>
        </row>
        <row r="655">
          <cell r="A655" t="str">
            <v>12551130829051</v>
          </cell>
          <cell r="B655" t="e">
            <v>#N/A</v>
          </cell>
          <cell r="C655">
            <v>6</v>
          </cell>
          <cell r="D655" t="str">
            <v>EK65</v>
          </cell>
          <cell r="E655" t="str">
            <v>555317</v>
          </cell>
          <cell r="F655" t="str">
            <v>E</v>
          </cell>
          <cell r="G655" t="str">
            <v>12551130</v>
          </cell>
          <cell r="H655" t="str">
            <v>Haltewinkel</v>
          </cell>
          <cell r="I655">
            <v>179</v>
          </cell>
          <cell r="J655" t="str">
            <v>Stk</v>
          </cell>
          <cell r="K655">
            <v>45328</v>
          </cell>
          <cell r="L655" t="str">
            <v>829051</v>
          </cell>
          <cell r="M655" t="str">
            <v/>
          </cell>
          <cell r="N655" t="str">
            <v/>
          </cell>
          <cell r="O655" t="str">
            <v/>
          </cell>
          <cell r="P655" t="str">
            <v/>
          </cell>
          <cell r="Q655" t="str">
            <v/>
          </cell>
          <cell r="R655" t="str">
            <v/>
          </cell>
          <cell r="S655" t="str">
            <v/>
          </cell>
          <cell r="T655" t="str">
            <v/>
          </cell>
          <cell r="U655" t="str">
            <v/>
          </cell>
          <cell r="V655" t="str">
            <v>N38</v>
          </cell>
          <cell r="W655" t="str">
            <v/>
          </cell>
          <cell r="X655" t="str">
            <v/>
          </cell>
          <cell r="Y655" t="str">
            <v/>
          </cell>
          <cell r="Z655" t="str">
            <v/>
          </cell>
          <cell r="AA655" t="str">
            <v/>
          </cell>
          <cell r="AB655" t="str">
            <v>PA_4483875-QE.7004-4</v>
          </cell>
          <cell r="AC655">
            <v>1</v>
          </cell>
          <cell r="AD655" t="str">
            <v/>
          </cell>
          <cell r="AE655">
            <v>0</v>
          </cell>
          <cell r="AF655" t="str">
            <v/>
          </cell>
          <cell r="AG655" t="str">
            <v>12551130</v>
          </cell>
          <cell r="AH655">
            <v>44672.055046296293</v>
          </cell>
          <cell r="AI655" t="str">
            <v>N38</v>
          </cell>
          <cell r="AJ655" t="str">
            <v>F</v>
          </cell>
          <cell r="AK655" t="str">
            <v/>
          </cell>
        </row>
        <row r="656">
          <cell r="A656" t="str">
            <v>12551168829051</v>
          </cell>
          <cell r="B656" t="e">
            <v>#N/A</v>
          </cell>
          <cell r="C656">
            <v>6</v>
          </cell>
          <cell r="D656" t="str">
            <v>EK65</v>
          </cell>
          <cell r="E656" t="str">
            <v>555320</v>
          </cell>
          <cell r="F656" t="str">
            <v>E</v>
          </cell>
          <cell r="G656" t="str">
            <v>12551168</v>
          </cell>
          <cell r="H656" t="str">
            <v>Abdeckblech</v>
          </cell>
          <cell r="I656">
            <v>90</v>
          </cell>
          <cell r="J656" t="str">
            <v>Stk</v>
          </cell>
          <cell r="K656">
            <v>45328</v>
          </cell>
          <cell r="L656" t="str">
            <v>829051</v>
          </cell>
          <cell r="M656" t="str">
            <v/>
          </cell>
          <cell r="N656" t="str">
            <v/>
          </cell>
          <cell r="O656" t="str">
            <v/>
          </cell>
          <cell r="P656" t="str">
            <v/>
          </cell>
          <cell r="Q656" t="str">
            <v>1.4301</v>
          </cell>
          <cell r="R656" t="str">
            <v/>
          </cell>
          <cell r="S656" t="str">
            <v/>
          </cell>
          <cell r="T656" t="str">
            <v/>
          </cell>
          <cell r="U656" t="str">
            <v/>
          </cell>
          <cell r="V656" t="str">
            <v>N38</v>
          </cell>
          <cell r="W656" t="str">
            <v/>
          </cell>
          <cell r="X656" t="str">
            <v/>
          </cell>
          <cell r="Y656" t="str">
            <v/>
          </cell>
          <cell r="Z656" t="str">
            <v/>
          </cell>
          <cell r="AA656" t="str">
            <v/>
          </cell>
          <cell r="AB656" t="str">
            <v>PA_2344857-QE.7004-4</v>
          </cell>
          <cell r="AC656">
            <v>1</v>
          </cell>
          <cell r="AD656" t="str">
            <v/>
          </cell>
          <cell r="AE656">
            <v>0</v>
          </cell>
          <cell r="AF656" t="str">
            <v/>
          </cell>
          <cell r="AG656" t="str">
            <v>12551168</v>
          </cell>
          <cell r="AH656">
            <v>44672.055092592593</v>
          </cell>
          <cell r="AI656" t="str">
            <v>N38</v>
          </cell>
          <cell r="AJ656" t="str">
            <v>F</v>
          </cell>
          <cell r="AK656" t="str">
            <v/>
          </cell>
        </row>
        <row r="657">
          <cell r="A657" t="str">
            <v>12555172829051</v>
          </cell>
          <cell r="B657" t="e">
            <v>#N/A</v>
          </cell>
          <cell r="C657">
            <v>7</v>
          </cell>
          <cell r="D657" t="str">
            <v>EK65</v>
          </cell>
          <cell r="E657" t="str">
            <v>555408</v>
          </cell>
          <cell r="F657" t="str">
            <v>E</v>
          </cell>
          <cell r="G657" t="str">
            <v>12555172</v>
          </cell>
          <cell r="H657" t="str">
            <v>Halter vollst.</v>
          </cell>
          <cell r="I657">
            <v>45</v>
          </cell>
          <cell r="J657" t="str">
            <v>Stk</v>
          </cell>
          <cell r="K657">
            <v>45328</v>
          </cell>
          <cell r="L657" t="str">
            <v>829051</v>
          </cell>
          <cell r="M657" t="str">
            <v/>
          </cell>
          <cell r="N657" t="str">
            <v/>
          </cell>
          <cell r="O657" t="str">
            <v/>
          </cell>
          <cell r="P657" t="str">
            <v/>
          </cell>
          <cell r="Q657" t="str">
            <v/>
          </cell>
          <cell r="R657" t="str">
            <v/>
          </cell>
          <cell r="S657" t="str">
            <v/>
          </cell>
          <cell r="T657" t="str">
            <v/>
          </cell>
          <cell r="U657" t="str">
            <v/>
          </cell>
          <cell r="V657" t="str">
            <v>N38</v>
          </cell>
          <cell r="W657" t="str">
            <v/>
          </cell>
          <cell r="X657" t="str">
            <v/>
          </cell>
          <cell r="Y657" t="str">
            <v/>
          </cell>
          <cell r="Z657" t="str">
            <v/>
          </cell>
          <cell r="AA657" t="str">
            <v/>
          </cell>
          <cell r="AB657" t="str">
            <v>PA_4517904-QE.7004-3</v>
          </cell>
          <cell r="AC657">
            <v>1</v>
          </cell>
          <cell r="AD657" t="str">
            <v/>
          </cell>
          <cell r="AE657">
            <v>0</v>
          </cell>
          <cell r="AF657" t="str">
            <v/>
          </cell>
          <cell r="AG657" t="str">
            <v>12555172</v>
          </cell>
          <cell r="AH657">
            <v>44672.057222222225</v>
          </cell>
          <cell r="AI657" t="str">
            <v>N38</v>
          </cell>
          <cell r="AJ657" t="str">
            <v>F</v>
          </cell>
          <cell r="AK657" t="str">
            <v/>
          </cell>
        </row>
        <row r="658">
          <cell r="A658" t="str">
            <v>12555225829051</v>
          </cell>
          <cell r="B658" t="e">
            <v>#N/A</v>
          </cell>
          <cell r="C658">
            <v>7</v>
          </cell>
          <cell r="D658" t="str">
            <v>EK65</v>
          </cell>
          <cell r="E658" t="str">
            <v>555409</v>
          </cell>
          <cell r="F658" t="str">
            <v>E</v>
          </cell>
          <cell r="G658" t="str">
            <v>12555225</v>
          </cell>
          <cell r="H658" t="str">
            <v>Halter vollst.</v>
          </cell>
          <cell r="I658">
            <v>45</v>
          </cell>
          <cell r="J658" t="str">
            <v>Stk</v>
          </cell>
          <cell r="K658">
            <v>45328</v>
          </cell>
          <cell r="L658" t="str">
            <v>829051</v>
          </cell>
          <cell r="M658" t="str">
            <v/>
          </cell>
          <cell r="N658" t="str">
            <v/>
          </cell>
          <cell r="O658" t="str">
            <v/>
          </cell>
          <cell r="P658" t="str">
            <v/>
          </cell>
          <cell r="Q658" t="str">
            <v/>
          </cell>
          <cell r="R658" t="str">
            <v/>
          </cell>
          <cell r="S658" t="str">
            <v/>
          </cell>
          <cell r="T658" t="str">
            <v/>
          </cell>
          <cell r="U658" t="str">
            <v/>
          </cell>
          <cell r="V658" t="str">
            <v>N38</v>
          </cell>
          <cell r="W658" t="str">
            <v/>
          </cell>
          <cell r="X658" t="str">
            <v/>
          </cell>
          <cell r="Y658" t="str">
            <v/>
          </cell>
          <cell r="Z658" t="str">
            <v/>
          </cell>
          <cell r="AA658" t="str">
            <v/>
          </cell>
          <cell r="AB658" t="str">
            <v>PA_4509159-QE.7004-4</v>
          </cell>
          <cell r="AC658">
            <v>1</v>
          </cell>
          <cell r="AD658" t="str">
            <v/>
          </cell>
          <cell r="AE658">
            <v>0</v>
          </cell>
          <cell r="AF658" t="str">
            <v/>
          </cell>
          <cell r="AG658" t="str">
            <v>12555225</v>
          </cell>
          <cell r="AH658">
            <v>44672.057245370372</v>
          </cell>
          <cell r="AI658" t="str">
            <v>N38</v>
          </cell>
          <cell r="AJ658" t="str">
            <v>F</v>
          </cell>
          <cell r="AK658" t="str">
            <v/>
          </cell>
        </row>
        <row r="659">
          <cell r="A659" t="str">
            <v>12555273829051</v>
          </cell>
          <cell r="B659" t="e">
            <v>#N/A</v>
          </cell>
          <cell r="C659">
            <v>7</v>
          </cell>
          <cell r="D659" t="str">
            <v>EK65</v>
          </cell>
          <cell r="E659" t="str">
            <v>555410</v>
          </cell>
          <cell r="F659" t="str">
            <v>E</v>
          </cell>
          <cell r="G659" t="str">
            <v>12555273</v>
          </cell>
          <cell r="H659" t="str">
            <v>Halter</v>
          </cell>
          <cell r="I659">
            <v>45</v>
          </cell>
          <cell r="J659" t="str">
            <v>Stk</v>
          </cell>
          <cell r="K659">
            <v>45328</v>
          </cell>
          <cell r="L659" t="str">
            <v>829051</v>
          </cell>
          <cell r="M659" t="str">
            <v/>
          </cell>
          <cell r="N659" t="str">
            <v/>
          </cell>
          <cell r="O659" t="str">
            <v/>
          </cell>
          <cell r="P659" t="str">
            <v/>
          </cell>
          <cell r="Q659" t="str">
            <v/>
          </cell>
          <cell r="R659" t="str">
            <v/>
          </cell>
          <cell r="S659" t="str">
            <v/>
          </cell>
          <cell r="T659" t="str">
            <v/>
          </cell>
          <cell r="U659" t="str">
            <v/>
          </cell>
          <cell r="V659" t="str">
            <v>N38</v>
          </cell>
          <cell r="W659" t="str">
            <v/>
          </cell>
          <cell r="X659" t="str">
            <v/>
          </cell>
          <cell r="Y659" t="str">
            <v/>
          </cell>
          <cell r="Z659" t="str">
            <v/>
          </cell>
          <cell r="AA659" t="str">
            <v/>
          </cell>
          <cell r="AB659" t="str">
            <v>PA_4511733-QE.7004-3</v>
          </cell>
          <cell r="AC659">
            <v>1</v>
          </cell>
          <cell r="AD659" t="str">
            <v/>
          </cell>
          <cell r="AE659">
            <v>0</v>
          </cell>
          <cell r="AF659" t="str">
            <v/>
          </cell>
          <cell r="AG659" t="str">
            <v>12555273</v>
          </cell>
          <cell r="AH659">
            <v>44672.057256944441</v>
          </cell>
          <cell r="AI659" t="str">
            <v>N38</v>
          </cell>
          <cell r="AJ659" t="str">
            <v>F</v>
          </cell>
          <cell r="AK659" t="str">
            <v/>
          </cell>
        </row>
        <row r="660">
          <cell r="A660" t="str">
            <v>12555274829051</v>
          </cell>
          <cell r="B660" t="e">
            <v>#N/A</v>
          </cell>
          <cell r="C660">
            <v>7</v>
          </cell>
          <cell r="D660" t="str">
            <v>EK65</v>
          </cell>
          <cell r="E660" t="str">
            <v>555411</v>
          </cell>
          <cell r="F660" t="str">
            <v>E</v>
          </cell>
          <cell r="G660" t="str">
            <v>12555274</v>
          </cell>
          <cell r="H660" t="str">
            <v>Halter</v>
          </cell>
          <cell r="I660">
            <v>45</v>
          </cell>
          <cell r="J660" t="str">
            <v>Stk</v>
          </cell>
          <cell r="K660">
            <v>45328</v>
          </cell>
          <cell r="L660" t="str">
            <v>829051</v>
          </cell>
          <cell r="M660" t="str">
            <v/>
          </cell>
          <cell r="N660" t="str">
            <v/>
          </cell>
          <cell r="O660" t="str">
            <v/>
          </cell>
          <cell r="P660" t="str">
            <v/>
          </cell>
          <cell r="Q660" t="str">
            <v/>
          </cell>
          <cell r="R660" t="str">
            <v/>
          </cell>
          <cell r="S660" t="str">
            <v/>
          </cell>
          <cell r="T660" t="str">
            <v/>
          </cell>
          <cell r="U660" t="str">
            <v/>
          </cell>
          <cell r="V660" t="str">
            <v>N38</v>
          </cell>
          <cell r="W660" t="str">
            <v/>
          </cell>
          <cell r="X660" t="str">
            <v/>
          </cell>
          <cell r="Y660" t="str">
            <v/>
          </cell>
          <cell r="Z660" t="str">
            <v/>
          </cell>
          <cell r="AA660" t="str">
            <v/>
          </cell>
          <cell r="AB660" t="str">
            <v>PA_4509051-QE.7004-3</v>
          </cell>
          <cell r="AC660">
            <v>1</v>
          </cell>
          <cell r="AD660" t="str">
            <v/>
          </cell>
          <cell r="AE660">
            <v>0</v>
          </cell>
          <cell r="AF660" t="str">
            <v/>
          </cell>
          <cell r="AG660" t="str">
            <v>12555274</v>
          </cell>
          <cell r="AH660">
            <v>44672.057268518518</v>
          </cell>
          <cell r="AI660" t="str">
            <v>N38</v>
          </cell>
          <cell r="AJ660" t="str">
            <v>F</v>
          </cell>
          <cell r="AK660" t="str">
            <v/>
          </cell>
        </row>
        <row r="661">
          <cell r="A661" t="str">
            <v>12555894829051</v>
          </cell>
          <cell r="B661" t="e">
            <v>#N/A</v>
          </cell>
          <cell r="C661">
            <v>6</v>
          </cell>
          <cell r="D661" t="str">
            <v>EK65</v>
          </cell>
          <cell r="E661" t="str">
            <v>555412</v>
          </cell>
          <cell r="F661" t="str">
            <v>E</v>
          </cell>
          <cell r="G661" t="str">
            <v>12555894</v>
          </cell>
          <cell r="H661" t="str">
            <v>Halter</v>
          </cell>
          <cell r="I661">
            <v>91</v>
          </cell>
          <cell r="J661" t="str">
            <v>Stk</v>
          </cell>
          <cell r="K661">
            <v>45321</v>
          </cell>
          <cell r="L661" t="str">
            <v>829051</v>
          </cell>
          <cell r="M661" t="str">
            <v/>
          </cell>
          <cell r="N661" t="str">
            <v/>
          </cell>
          <cell r="O661" t="str">
            <v/>
          </cell>
          <cell r="P661" t="str">
            <v/>
          </cell>
          <cell r="Q661" t="str">
            <v/>
          </cell>
          <cell r="R661" t="str">
            <v/>
          </cell>
          <cell r="S661" t="str">
            <v/>
          </cell>
          <cell r="T661" t="str">
            <v/>
          </cell>
          <cell r="U661" t="str">
            <v/>
          </cell>
          <cell r="V661" t="str">
            <v>N52</v>
          </cell>
          <cell r="W661" t="str">
            <v/>
          </cell>
          <cell r="X661" t="str">
            <v/>
          </cell>
          <cell r="Y661" t="str">
            <v/>
          </cell>
          <cell r="Z661" t="str">
            <v/>
          </cell>
          <cell r="AA661" t="str">
            <v/>
          </cell>
          <cell r="AB661" t="str">
            <v>PA_4546191-UA.7004-3</v>
          </cell>
          <cell r="AC661">
            <v>1</v>
          </cell>
          <cell r="AD661" t="str">
            <v/>
          </cell>
          <cell r="AE661">
            <v>0</v>
          </cell>
          <cell r="AF661" t="str">
            <v/>
          </cell>
          <cell r="AG661" t="str">
            <v>12555894</v>
          </cell>
          <cell r="AH661">
            <v>44672.057569444441</v>
          </cell>
          <cell r="AI661" t="str">
            <v>N52</v>
          </cell>
          <cell r="AJ661" t="str">
            <v>F</v>
          </cell>
          <cell r="AK661" t="str">
            <v/>
          </cell>
        </row>
        <row r="662">
          <cell r="A662" t="str">
            <v>12556189829051</v>
          </cell>
          <cell r="B662" t="str">
            <v>BL20230413-2</v>
          </cell>
          <cell r="C662">
            <v>6</v>
          </cell>
          <cell r="D662" t="str">
            <v>EK65</v>
          </cell>
          <cell r="E662" t="str">
            <v>555414</v>
          </cell>
          <cell r="F662" t="str">
            <v>E</v>
          </cell>
          <cell r="G662" t="str">
            <v>12556189</v>
          </cell>
          <cell r="H662" t="str">
            <v>Halter vollst.</v>
          </cell>
          <cell r="I662">
            <v>45</v>
          </cell>
          <cell r="J662" t="str">
            <v>Stk</v>
          </cell>
          <cell r="K662">
            <v>45331</v>
          </cell>
          <cell r="L662" t="str">
            <v>829051</v>
          </cell>
          <cell r="M662" t="str">
            <v/>
          </cell>
          <cell r="N662" t="str">
            <v/>
          </cell>
          <cell r="O662" t="str">
            <v/>
          </cell>
          <cell r="P662" t="str">
            <v/>
          </cell>
          <cell r="Q662" t="str">
            <v/>
          </cell>
          <cell r="R662" t="str">
            <v/>
          </cell>
          <cell r="S662" t="str">
            <v/>
          </cell>
          <cell r="T662" t="str">
            <v/>
          </cell>
          <cell r="U662" t="str">
            <v/>
          </cell>
          <cell r="V662" t="str">
            <v>N38</v>
          </cell>
          <cell r="W662" t="str">
            <v/>
          </cell>
          <cell r="X662" t="str">
            <v/>
          </cell>
          <cell r="Y662" t="str">
            <v/>
          </cell>
          <cell r="Z662" t="str">
            <v/>
          </cell>
          <cell r="AA662" t="str">
            <v/>
          </cell>
          <cell r="AB662" t="str">
            <v>PA_4544241-UA.7004-3</v>
          </cell>
          <cell r="AC662">
            <v>1</v>
          </cell>
          <cell r="AD662" t="str">
            <v/>
          </cell>
          <cell r="AE662">
            <v>0</v>
          </cell>
          <cell r="AF662" t="str">
            <v/>
          </cell>
          <cell r="AG662" t="str">
            <v>12556189</v>
          </cell>
          <cell r="AH662">
            <v>44672.057719907411</v>
          </cell>
          <cell r="AI662" t="str">
            <v>N38</v>
          </cell>
          <cell r="AJ662" t="str">
            <v>F</v>
          </cell>
          <cell r="AK662" t="str">
            <v/>
          </cell>
        </row>
        <row r="663">
          <cell r="A663" t="str">
            <v>12556523829051</v>
          </cell>
          <cell r="B663" t="str">
            <v>BL20230413-2</v>
          </cell>
          <cell r="C663">
            <v>5</v>
          </cell>
          <cell r="D663" t="str">
            <v>EK65</v>
          </cell>
          <cell r="E663" t="str">
            <v>555416</v>
          </cell>
          <cell r="F663" t="str">
            <v>E</v>
          </cell>
          <cell r="G663" t="str">
            <v>12556523</v>
          </cell>
          <cell r="H663" t="str">
            <v>Dehnhuelse M8</v>
          </cell>
          <cell r="I663">
            <v>265</v>
          </cell>
          <cell r="J663" t="str">
            <v>Stk</v>
          </cell>
          <cell r="K663">
            <v>45335</v>
          </cell>
          <cell r="L663" t="str">
            <v>829051</v>
          </cell>
          <cell r="M663" t="str">
            <v/>
          </cell>
          <cell r="N663" t="str">
            <v/>
          </cell>
          <cell r="O663" t="str">
            <v/>
          </cell>
          <cell r="P663" t="str">
            <v/>
          </cell>
          <cell r="Q663" t="str">
            <v/>
          </cell>
          <cell r="R663" t="str">
            <v/>
          </cell>
          <cell r="S663" t="str">
            <v/>
          </cell>
          <cell r="T663" t="str">
            <v/>
          </cell>
          <cell r="U663" t="str">
            <v/>
          </cell>
          <cell r="V663" t="str">
            <v>N52</v>
          </cell>
          <cell r="W663" t="str">
            <v/>
          </cell>
          <cell r="X663" t="str">
            <v/>
          </cell>
          <cell r="Y663" t="str">
            <v/>
          </cell>
          <cell r="Z663" t="str">
            <v/>
          </cell>
          <cell r="AA663" t="str">
            <v/>
          </cell>
          <cell r="AB663" t="str">
            <v>PA_4725945-CF.7004-4</v>
          </cell>
          <cell r="AC663">
            <v>1</v>
          </cell>
          <cell r="AD663" t="str">
            <v/>
          </cell>
          <cell r="AE663">
            <v>0</v>
          </cell>
          <cell r="AF663" t="str">
            <v/>
          </cell>
          <cell r="AG663" t="str">
            <v>12556523</v>
          </cell>
          <cell r="AH663">
            <v>44672.057916666665</v>
          </cell>
          <cell r="AI663" t="str">
            <v>N52</v>
          </cell>
          <cell r="AJ663" t="str">
            <v>F</v>
          </cell>
          <cell r="AK663" t="str">
            <v/>
          </cell>
        </row>
        <row r="664">
          <cell r="A664" t="str">
            <v>12556582829051</v>
          </cell>
          <cell r="B664" t="str">
            <v>BL20230413-2</v>
          </cell>
          <cell r="C664">
            <v>7</v>
          </cell>
          <cell r="D664" t="str">
            <v>EK65</v>
          </cell>
          <cell r="E664" t="str">
            <v>555417</v>
          </cell>
          <cell r="F664" t="str">
            <v>E</v>
          </cell>
          <cell r="G664" t="str">
            <v>12556582</v>
          </cell>
          <cell r="H664" t="str">
            <v>Halter vollst.</v>
          </cell>
          <cell r="I664">
            <v>44</v>
          </cell>
          <cell r="J664" t="str">
            <v>Stk</v>
          </cell>
          <cell r="K664">
            <v>45338</v>
          </cell>
          <cell r="L664" t="str">
            <v>829051</v>
          </cell>
          <cell r="M664" t="str">
            <v/>
          </cell>
          <cell r="N664" t="str">
            <v/>
          </cell>
          <cell r="O664" t="str">
            <v/>
          </cell>
          <cell r="P664" t="str">
            <v/>
          </cell>
          <cell r="Q664" t="str">
            <v/>
          </cell>
          <cell r="R664" t="str">
            <v/>
          </cell>
          <cell r="S664" t="str">
            <v/>
          </cell>
          <cell r="T664" t="str">
            <v/>
          </cell>
          <cell r="U664" t="str">
            <v/>
          </cell>
          <cell r="V664" t="str">
            <v>N38</v>
          </cell>
          <cell r="W664" t="str">
            <v/>
          </cell>
          <cell r="X664" t="str">
            <v/>
          </cell>
          <cell r="Y664" t="str">
            <v/>
          </cell>
          <cell r="Z664" t="str">
            <v/>
          </cell>
          <cell r="AA664" t="str">
            <v/>
          </cell>
          <cell r="AB664" t="str">
            <v>PA_4543204-UA.7004-3</v>
          </cell>
          <cell r="AC664">
            <v>1</v>
          </cell>
          <cell r="AD664" t="str">
            <v/>
          </cell>
          <cell r="AE664">
            <v>0</v>
          </cell>
          <cell r="AF664" t="str">
            <v/>
          </cell>
          <cell r="AG664" t="str">
            <v>12556582</v>
          </cell>
          <cell r="AH664">
            <v>44672.057928240742</v>
          </cell>
          <cell r="AI664" t="str">
            <v>N38</v>
          </cell>
          <cell r="AJ664" t="str">
            <v>F</v>
          </cell>
          <cell r="AK664" t="str">
            <v/>
          </cell>
        </row>
        <row r="665">
          <cell r="A665" t="str">
            <v>12557240829051</v>
          </cell>
          <cell r="B665" t="str">
            <v>BL20230413-2</v>
          </cell>
          <cell r="C665">
            <v>7</v>
          </cell>
          <cell r="D665" t="str">
            <v>EK65</v>
          </cell>
          <cell r="E665" t="str">
            <v>555419</v>
          </cell>
          <cell r="F665" t="str">
            <v>E</v>
          </cell>
          <cell r="G665" t="str">
            <v>12557240</v>
          </cell>
          <cell r="H665" t="str">
            <v>Halter vollst.</v>
          </cell>
          <cell r="I665">
            <v>44</v>
          </cell>
          <cell r="J665" t="str">
            <v>Stk</v>
          </cell>
          <cell r="K665">
            <v>45338</v>
          </cell>
          <cell r="L665" t="str">
            <v>829051</v>
          </cell>
          <cell r="M665" t="str">
            <v/>
          </cell>
          <cell r="N665" t="str">
            <v/>
          </cell>
          <cell r="O665" t="str">
            <v/>
          </cell>
          <cell r="P665" t="str">
            <v/>
          </cell>
          <cell r="Q665" t="str">
            <v/>
          </cell>
          <cell r="R665" t="str">
            <v/>
          </cell>
          <cell r="S665" t="str">
            <v/>
          </cell>
          <cell r="T665" t="str">
            <v/>
          </cell>
          <cell r="U665" t="str">
            <v/>
          </cell>
          <cell r="V665" t="str">
            <v>N38</v>
          </cell>
          <cell r="W665" t="str">
            <v/>
          </cell>
          <cell r="X665" t="str">
            <v/>
          </cell>
          <cell r="Y665" t="str">
            <v/>
          </cell>
          <cell r="Z665" t="str">
            <v/>
          </cell>
          <cell r="AA665" t="str">
            <v/>
          </cell>
          <cell r="AB665" t="str">
            <v>PA_4489448-UA.7004-3</v>
          </cell>
          <cell r="AC665">
            <v>1</v>
          </cell>
          <cell r="AD665" t="str">
            <v/>
          </cell>
          <cell r="AE665">
            <v>0</v>
          </cell>
          <cell r="AF665" t="str">
            <v/>
          </cell>
          <cell r="AG665" t="str">
            <v>12557240</v>
          </cell>
          <cell r="AH665">
            <v>44672.058657407404</v>
          </cell>
          <cell r="AI665" t="str">
            <v>N38</v>
          </cell>
          <cell r="AJ665" t="str">
            <v>F</v>
          </cell>
          <cell r="AK665" t="str">
            <v/>
          </cell>
        </row>
        <row r="666">
          <cell r="A666" t="str">
            <v>12557385829051</v>
          </cell>
          <cell r="B666" t="str">
            <v>BL20230413-2</v>
          </cell>
          <cell r="C666">
            <v>7</v>
          </cell>
          <cell r="D666" t="str">
            <v>EK65</v>
          </cell>
          <cell r="E666" t="str">
            <v>555420</v>
          </cell>
          <cell r="F666" t="str">
            <v>E</v>
          </cell>
          <cell r="G666" t="str">
            <v>12557385</v>
          </cell>
          <cell r="H666" t="str">
            <v>Halter vollst.</v>
          </cell>
          <cell r="I666">
            <v>44</v>
          </cell>
          <cell r="J666" t="str">
            <v>Stk</v>
          </cell>
          <cell r="K666">
            <v>45338</v>
          </cell>
          <cell r="L666" t="str">
            <v>829051</v>
          </cell>
          <cell r="M666" t="str">
            <v/>
          </cell>
          <cell r="N666" t="str">
            <v/>
          </cell>
          <cell r="O666" t="str">
            <v/>
          </cell>
          <cell r="P666" t="str">
            <v/>
          </cell>
          <cell r="Q666" t="str">
            <v/>
          </cell>
          <cell r="R666" t="str">
            <v/>
          </cell>
          <cell r="S666" t="str">
            <v/>
          </cell>
          <cell r="T666" t="str">
            <v/>
          </cell>
          <cell r="U666" t="str">
            <v/>
          </cell>
          <cell r="V666" t="str">
            <v>N38</v>
          </cell>
          <cell r="W666" t="str">
            <v/>
          </cell>
          <cell r="X666" t="str">
            <v/>
          </cell>
          <cell r="Y666" t="str">
            <v/>
          </cell>
          <cell r="Z666" t="str">
            <v/>
          </cell>
          <cell r="AA666" t="str">
            <v/>
          </cell>
          <cell r="AB666" t="str">
            <v>PA_4499754-UA.7004-3</v>
          </cell>
          <cell r="AC666">
            <v>1</v>
          </cell>
          <cell r="AD666" t="str">
            <v/>
          </cell>
          <cell r="AE666">
            <v>0</v>
          </cell>
          <cell r="AF666" t="str">
            <v/>
          </cell>
          <cell r="AG666" t="str">
            <v>12557385</v>
          </cell>
          <cell r="AH666">
            <v>44672.058888888889</v>
          </cell>
          <cell r="AI666" t="str">
            <v>N38</v>
          </cell>
          <cell r="AJ666" t="str">
            <v>F</v>
          </cell>
          <cell r="AK666" t="str">
            <v/>
          </cell>
        </row>
        <row r="667">
          <cell r="A667" t="str">
            <v>12559099829051</v>
          </cell>
          <cell r="B667" t="str">
            <v>BL20230413-2</v>
          </cell>
          <cell r="C667">
            <v>6</v>
          </cell>
          <cell r="D667" t="str">
            <v>EK65</v>
          </cell>
          <cell r="E667" t="str">
            <v>555421</v>
          </cell>
          <cell r="F667" t="str">
            <v>E</v>
          </cell>
          <cell r="G667" t="str">
            <v>12559099</v>
          </cell>
          <cell r="H667" t="str">
            <v>Halteblech vollst.</v>
          </cell>
          <cell r="I667">
            <v>45</v>
          </cell>
          <cell r="J667" t="str">
            <v>Stk</v>
          </cell>
          <cell r="K667">
            <v>45331</v>
          </cell>
          <cell r="L667" t="str">
            <v>829051</v>
          </cell>
          <cell r="M667" t="str">
            <v/>
          </cell>
          <cell r="N667" t="str">
            <v/>
          </cell>
          <cell r="O667" t="str">
            <v/>
          </cell>
          <cell r="P667" t="str">
            <v/>
          </cell>
          <cell r="Q667" t="str">
            <v/>
          </cell>
          <cell r="R667" t="str">
            <v/>
          </cell>
          <cell r="S667" t="str">
            <v/>
          </cell>
          <cell r="T667" t="str">
            <v/>
          </cell>
          <cell r="U667" t="str">
            <v/>
          </cell>
          <cell r="V667" t="str">
            <v>N38</v>
          </cell>
          <cell r="W667" t="str">
            <v/>
          </cell>
          <cell r="X667" t="str">
            <v/>
          </cell>
          <cell r="Y667" t="str">
            <v/>
          </cell>
          <cell r="Z667" t="str">
            <v/>
          </cell>
          <cell r="AA667" t="str">
            <v/>
          </cell>
          <cell r="AB667" t="str">
            <v>PA_2342720-UA.7004-3</v>
          </cell>
          <cell r="AC667">
            <v>1</v>
          </cell>
          <cell r="AD667" t="str">
            <v/>
          </cell>
          <cell r="AE667">
            <v>0</v>
          </cell>
          <cell r="AF667" t="str">
            <v/>
          </cell>
          <cell r="AG667" t="str">
            <v>12559099</v>
          </cell>
          <cell r="AH667">
            <v>44672.059571759259</v>
          </cell>
          <cell r="AI667" t="str">
            <v>N38</v>
          </cell>
          <cell r="AJ667" t="str">
            <v>F</v>
          </cell>
          <cell r="AK667" t="str">
            <v/>
          </cell>
        </row>
        <row r="668">
          <cell r="A668" t="str">
            <v>12517251829052</v>
          </cell>
          <cell r="B668" t="e">
            <v>#N/A</v>
          </cell>
          <cell r="C668">
            <v>12</v>
          </cell>
          <cell r="D668" t="str">
            <v>EK65</v>
          </cell>
          <cell r="E668" t="str">
            <v>557967</v>
          </cell>
          <cell r="F668" t="str">
            <v>E</v>
          </cell>
          <cell r="G668" t="str">
            <v>12517251</v>
          </cell>
          <cell r="H668" t="str">
            <v>Abdeckung</v>
          </cell>
          <cell r="I668">
            <v>62</v>
          </cell>
          <cell r="J668" t="str">
            <v>Stk</v>
          </cell>
          <cell r="K668">
            <v>45351</v>
          </cell>
          <cell r="L668" t="str">
            <v>829052</v>
          </cell>
          <cell r="M668" t="str">
            <v/>
          </cell>
          <cell r="N668" t="str">
            <v/>
          </cell>
          <cell r="O668" t="str">
            <v/>
          </cell>
          <cell r="P668" t="str">
            <v/>
          </cell>
          <cell r="Q668" t="str">
            <v/>
          </cell>
          <cell r="R668" t="str">
            <v/>
          </cell>
          <cell r="S668" t="str">
            <v/>
          </cell>
          <cell r="T668" t="str">
            <v/>
          </cell>
          <cell r="U668" t="str">
            <v/>
          </cell>
          <cell r="V668" t="str">
            <v>N52</v>
          </cell>
          <cell r="W668" t="str">
            <v/>
          </cell>
          <cell r="X668" t="str">
            <v/>
          </cell>
          <cell r="Y668" t="str">
            <v/>
          </cell>
          <cell r="Z668" t="str">
            <v/>
          </cell>
          <cell r="AA668" t="str">
            <v/>
          </cell>
          <cell r="AB668" t="str">
            <v>PA_4368268-UA.7005-3</v>
          </cell>
          <cell r="AC668">
            <v>1</v>
          </cell>
          <cell r="AD668" t="str">
            <v/>
          </cell>
          <cell r="AE668">
            <v>0</v>
          </cell>
          <cell r="AF668" t="str">
            <v/>
          </cell>
          <cell r="AG668" t="str">
            <v>12517251</v>
          </cell>
          <cell r="AH668">
            <v>44673.912407407406</v>
          </cell>
          <cell r="AI668" t="str">
            <v>N52</v>
          </cell>
          <cell r="AJ668" t="str">
            <v>F</v>
          </cell>
          <cell r="AK668" t="str">
            <v/>
          </cell>
        </row>
        <row r="669">
          <cell r="A669" t="str">
            <v>12517893829052</v>
          </cell>
          <cell r="B669" t="e">
            <v>#N/A</v>
          </cell>
          <cell r="C669">
            <v>28</v>
          </cell>
          <cell r="D669" t="str">
            <v>EK65</v>
          </cell>
          <cell r="E669" t="str">
            <v>557969</v>
          </cell>
          <cell r="F669" t="str">
            <v>E</v>
          </cell>
          <cell r="G669" t="str">
            <v>12517893</v>
          </cell>
          <cell r="H669" t="str">
            <v>Klemmbuchse ID10,5 AD25 H6</v>
          </cell>
          <cell r="I669">
            <v>62</v>
          </cell>
          <cell r="J669" t="str">
            <v>Stk</v>
          </cell>
          <cell r="K669">
            <v>45351</v>
          </cell>
          <cell r="L669" t="str">
            <v>829052</v>
          </cell>
          <cell r="M669" t="str">
            <v/>
          </cell>
          <cell r="N669" t="str">
            <v/>
          </cell>
          <cell r="O669" t="str">
            <v/>
          </cell>
          <cell r="P669" t="str">
            <v/>
          </cell>
          <cell r="Q669" t="str">
            <v/>
          </cell>
          <cell r="R669" t="str">
            <v/>
          </cell>
          <cell r="S669" t="str">
            <v/>
          </cell>
          <cell r="T669" t="str">
            <v/>
          </cell>
          <cell r="U669" t="str">
            <v/>
          </cell>
          <cell r="V669" t="str">
            <v>N52</v>
          </cell>
          <cell r="W669" t="str">
            <v/>
          </cell>
          <cell r="X669" t="str">
            <v/>
          </cell>
          <cell r="Y669" t="str">
            <v/>
          </cell>
          <cell r="Z669" t="str">
            <v/>
          </cell>
          <cell r="AA669" t="str">
            <v/>
          </cell>
          <cell r="AB669" t="str">
            <v>PA_4363432-UA.7005-4</v>
          </cell>
          <cell r="AC669">
            <v>1</v>
          </cell>
          <cell r="AD669" t="str">
            <v/>
          </cell>
          <cell r="AE669">
            <v>0</v>
          </cell>
          <cell r="AF669" t="str">
            <v/>
          </cell>
          <cell r="AG669" t="str">
            <v>12517893</v>
          </cell>
          <cell r="AH669">
            <v>44673.912511574075</v>
          </cell>
          <cell r="AI669" t="str">
            <v>N52</v>
          </cell>
          <cell r="AJ669" t="str">
            <v>F</v>
          </cell>
          <cell r="AK669" t="str">
            <v/>
          </cell>
        </row>
        <row r="670">
          <cell r="A670" t="str">
            <v>12517894829052</v>
          </cell>
          <cell r="B670" t="e">
            <v>#N/A</v>
          </cell>
          <cell r="C670">
            <v>24</v>
          </cell>
          <cell r="D670" t="str">
            <v>EK65</v>
          </cell>
          <cell r="E670" t="str">
            <v>557970</v>
          </cell>
          <cell r="F670" t="str">
            <v>E</v>
          </cell>
          <cell r="G670" t="str">
            <v>12517894</v>
          </cell>
          <cell r="H670" t="str">
            <v>Klemmbuchse ID8,5 AD20 H5</v>
          </cell>
          <cell r="I670">
            <v>124</v>
          </cell>
          <cell r="J670" t="str">
            <v>Stk</v>
          </cell>
          <cell r="K670">
            <v>45351</v>
          </cell>
          <cell r="L670" t="str">
            <v>829052</v>
          </cell>
          <cell r="M670" t="str">
            <v/>
          </cell>
          <cell r="N670" t="str">
            <v/>
          </cell>
          <cell r="O670" t="str">
            <v/>
          </cell>
          <cell r="P670" t="str">
            <v/>
          </cell>
          <cell r="Q670" t="str">
            <v/>
          </cell>
          <cell r="R670" t="str">
            <v/>
          </cell>
          <cell r="S670" t="str">
            <v/>
          </cell>
          <cell r="T670" t="str">
            <v/>
          </cell>
          <cell r="U670" t="str">
            <v/>
          </cell>
          <cell r="V670" t="str">
            <v>N52</v>
          </cell>
          <cell r="W670" t="str">
            <v/>
          </cell>
          <cell r="X670" t="str">
            <v/>
          </cell>
          <cell r="Y670" t="str">
            <v/>
          </cell>
          <cell r="Z670" t="str">
            <v/>
          </cell>
          <cell r="AA670" t="str">
            <v/>
          </cell>
          <cell r="AB670" t="str">
            <v>PA_4364933-UA.7005-4</v>
          </cell>
          <cell r="AC670">
            <v>1</v>
          </cell>
          <cell r="AD670" t="str">
            <v/>
          </cell>
          <cell r="AE670">
            <v>0</v>
          </cell>
          <cell r="AF670" t="str">
            <v/>
          </cell>
          <cell r="AG670" t="str">
            <v>12517894</v>
          </cell>
          <cell r="AH670">
            <v>44673.912546296298</v>
          </cell>
          <cell r="AI670" t="str">
            <v>N52</v>
          </cell>
          <cell r="AJ670" t="str">
            <v>F</v>
          </cell>
          <cell r="AK670" t="str">
            <v/>
          </cell>
        </row>
        <row r="671">
          <cell r="A671" t="str">
            <v>12517895829052</v>
          </cell>
          <cell r="B671" t="e">
            <v>#N/A</v>
          </cell>
          <cell r="C671">
            <v>20</v>
          </cell>
          <cell r="D671" t="str">
            <v>EK65</v>
          </cell>
          <cell r="E671" t="str">
            <v>557971</v>
          </cell>
          <cell r="F671" t="str">
            <v>E</v>
          </cell>
          <cell r="G671" t="str">
            <v>12517895</v>
          </cell>
          <cell r="H671" t="str">
            <v>Schellenhalter</v>
          </cell>
          <cell r="I671">
            <v>62</v>
          </cell>
          <cell r="J671" t="str">
            <v>Stk</v>
          </cell>
          <cell r="K671">
            <v>45351</v>
          </cell>
          <cell r="L671" t="str">
            <v>829052</v>
          </cell>
          <cell r="M671" t="str">
            <v/>
          </cell>
          <cell r="N671" t="str">
            <v/>
          </cell>
          <cell r="O671" t="str">
            <v/>
          </cell>
          <cell r="P671" t="str">
            <v/>
          </cell>
          <cell r="Q671" t="str">
            <v/>
          </cell>
          <cell r="R671" t="str">
            <v/>
          </cell>
          <cell r="S671" t="str">
            <v/>
          </cell>
          <cell r="T671" t="str">
            <v/>
          </cell>
          <cell r="U671" t="str">
            <v/>
          </cell>
          <cell r="V671" t="str">
            <v>N52</v>
          </cell>
          <cell r="W671" t="str">
            <v/>
          </cell>
          <cell r="X671" t="str">
            <v/>
          </cell>
          <cell r="Y671" t="str">
            <v/>
          </cell>
          <cell r="Z671" t="str">
            <v/>
          </cell>
          <cell r="AA671" t="str">
            <v/>
          </cell>
          <cell r="AB671" t="str">
            <v>PA_4369642-UA.7005-3</v>
          </cell>
          <cell r="AC671">
            <v>1</v>
          </cell>
          <cell r="AD671" t="str">
            <v/>
          </cell>
          <cell r="AE671">
            <v>0</v>
          </cell>
          <cell r="AF671" t="str">
            <v/>
          </cell>
          <cell r="AG671" t="str">
            <v>12517895</v>
          </cell>
          <cell r="AH671">
            <v>44673.912604166668</v>
          </cell>
          <cell r="AI671" t="str">
            <v>N52</v>
          </cell>
          <cell r="AJ671" t="str">
            <v>F</v>
          </cell>
          <cell r="AK671" t="str">
            <v/>
          </cell>
        </row>
        <row r="672">
          <cell r="A672" t="str">
            <v>12517896829052</v>
          </cell>
          <cell r="B672" t="e">
            <v>#N/A</v>
          </cell>
          <cell r="C672">
            <v>20</v>
          </cell>
          <cell r="D672" t="str">
            <v>EK65</v>
          </cell>
          <cell r="E672" t="str">
            <v>557972</v>
          </cell>
          <cell r="F672" t="str">
            <v>E</v>
          </cell>
          <cell r="G672" t="str">
            <v>12517896</v>
          </cell>
          <cell r="H672" t="str">
            <v>Schellenhalter</v>
          </cell>
          <cell r="I672">
            <v>62</v>
          </cell>
          <cell r="J672" t="str">
            <v>Stk</v>
          </cell>
          <cell r="K672">
            <v>45351</v>
          </cell>
          <cell r="L672" t="str">
            <v>829052</v>
          </cell>
          <cell r="M672" t="str">
            <v/>
          </cell>
          <cell r="N672" t="str">
            <v/>
          </cell>
          <cell r="O672" t="str">
            <v/>
          </cell>
          <cell r="P672" t="str">
            <v/>
          </cell>
          <cell r="Q672" t="str">
            <v/>
          </cell>
          <cell r="R672" t="str">
            <v/>
          </cell>
          <cell r="S672" t="str">
            <v/>
          </cell>
          <cell r="T672" t="str">
            <v/>
          </cell>
          <cell r="U672" t="str">
            <v/>
          </cell>
          <cell r="V672" t="str">
            <v>N52</v>
          </cell>
          <cell r="W672" t="str">
            <v/>
          </cell>
          <cell r="X672" t="str">
            <v/>
          </cell>
          <cell r="Y672" t="str">
            <v/>
          </cell>
          <cell r="Z672" t="str">
            <v/>
          </cell>
          <cell r="AA672" t="str">
            <v/>
          </cell>
          <cell r="AB672" t="str">
            <v>PA_4364629-UA.7005-3</v>
          </cell>
          <cell r="AC672">
            <v>1</v>
          </cell>
          <cell r="AD672" t="str">
            <v/>
          </cell>
          <cell r="AE672">
            <v>0</v>
          </cell>
          <cell r="AF672" t="str">
            <v/>
          </cell>
          <cell r="AG672" t="str">
            <v>12517896</v>
          </cell>
          <cell r="AH672">
            <v>44673.91265046296</v>
          </cell>
          <cell r="AI672" t="str">
            <v>N52</v>
          </cell>
          <cell r="AJ672" t="str">
            <v>F</v>
          </cell>
          <cell r="AK672" t="str">
            <v/>
          </cell>
        </row>
        <row r="673">
          <cell r="A673" t="str">
            <v>12517897829052</v>
          </cell>
          <cell r="B673" t="e">
            <v>#N/A</v>
          </cell>
          <cell r="C673">
            <v>24</v>
          </cell>
          <cell r="D673" t="str">
            <v>EK65</v>
          </cell>
          <cell r="E673" t="str">
            <v>557973</v>
          </cell>
          <cell r="F673" t="str">
            <v>E</v>
          </cell>
          <cell r="G673" t="str">
            <v>12517897</v>
          </cell>
          <cell r="H673" t="str">
            <v>Halter</v>
          </cell>
          <cell r="I673">
            <v>62</v>
          </cell>
          <cell r="J673" t="str">
            <v>Stk</v>
          </cell>
          <cell r="K673">
            <v>45351</v>
          </cell>
          <cell r="L673" t="str">
            <v>829052</v>
          </cell>
          <cell r="M673" t="str">
            <v/>
          </cell>
          <cell r="N673" t="str">
            <v/>
          </cell>
          <cell r="O673" t="str">
            <v/>
          </cell>
          <cell r="P673" t="str">
            <v/>
          </cell>
          <cell r="Q673" t="str">
            <v/>
          </cell>
          <cell r="R673" t="str">
            <v/>
          </cell>
          <cell r="S673" t="str">
            <v/>
          </cell>
          <cell r="T673" t="str">
            <v/>
          </cell>
          <cell r="U673" t="str">
            <v/>
          </cell>
          <cell r="V673" t="str">
            <v>N52</v>
          </cell>
          <cell r="W673" t="str">
            <v/>
          </cell>
          <cell r="X673" t="str">
            <v/>
          </cell>
          <cell r="Y673" t="str">
            <v/>
          </cell>
          <cell r="Z673" t="str">
            <v/>
          </cell>
          <cell r="AA673" t="str">
            <v/>
          </cell>
          <cell r="AB673" t="str">
            <v>PA_4341737-UA.7005-2</v>
          </cell>
          <cell r="AC673">
            <v>1</v>
          </cell>
          <cell r="AD673" t="str">
            <v/>
          </cell>
          <cell r="AE673">
            <v>0</v>
          </cell>
          <cell r="AF673" t="str">
            <v/>
          </cell>
          <cell r="AG673" t="str">
            <v>12517897</v>
          </cell>
          <cell r="AH673">
            <v>44673.912708333337</v>
          </cell>
          <cell r="AI673" t="str">
            <v>N52</v>
          </cell>
          <cell r="AJ673" t="str">
            <v>F</v>
          </cell>
          <cell r="AK673" t="str">
            <v/>
          </cell>
        </row>
        <row r="674">
          <cell r="A674" t="str">
            <v>12517901829052</v>
          </cell>
          <cell r="B674" t="e">
            <v>#N/A</v>
          </cell>
          <cell r="C674">
            <v>24</v>
          </cell>
          <cell r="D674" t="str">
            <v>EK65</v>
          </cell>
          <cell r="E674" t="str">
            <v>557974</v>
          </cell>
          <cell r="F674" t="str">
            <v>E</v>
          </cell>
          <cell r="G674" t="str">
            <v>12517901</v>
          </cell>
          <cell r="H674" t="str">
            <v>Abdeckung</v>
          </cell>
          <cell r="I674">
            <v>62</v>
          </cell>
          <cell r="J674" t="str">
            <v>Stk</v>
          </cell>
          <cell r="K674">
            <v>45351</v>
          </cell>
          <cell r="L674" t="str">
            <v>829052</v>
          </cell>
          <cell r="M674" t="str">
            <v/>
          </cell>
          <cell r="N674" t="str">
            <v/>
          </cell>
          <cell r="O674" t="str">
            <v/>
          </cell>
          <cell r="P674" t="str">
            <v/>
          </cell>
          <cell r="Q674" t="str">
            <v/>
          </cell>
          <cell r="R674" t="str">
            <v/>
          </cell>
          <cell r="S674" t="str">
            <v/>
          </cell>
          <cell r="T674" t="str">
            <v/>
          </cell>
          <cell r="U674" t="str">
            <v/>
          </cell>
          <cell r="V674" t="str">
            <v>N52</v>
          </cell>
          <cell r="W674" t="str">
            <v/>
          </cell>
          <cell r="X674" t="str">
            <v/>
          </cell>
          <cell r="Y674" t="str">
            <v/>
          </cell>
          <cell r="Z674" t="str">
            <v/>
          </cell>
          <cell r="AA674" t="str">
            <v/>
          </cell>
          <cell r="AB674" t="str">
            <v>PA_4369621-UA.7005-4</v>
          </cell>
          <cell r="AC674">
            <v>1</v>
          </cell>
          <cell r="AD674" t="str">
            <v/>
          </cell>
          <cell r="AE674">
            <v>0</v>
          </cell>
          <cell r="AF674" t="str">
            <v/>
          </cell>
          <cell r="AG674" t="str">
            <v>12517901</v>
          </cell>
          <cell r="AH674">
            <v>44673.912766203706</v>
          </cell>
          <cell r="AI674" t="str">
            <v>N52</v>
          </cell>
          <cell r="AJ674" t="str">
            <v>F</v>
          </cell>
          <cell r="AK674" t="str">
            <v/>
          </cell>
        </row>
        <row r="675">
          <cell r="A675" t="str">
            <v>12517902829052</v>
          </cell>
          <cell r="B675" t="e">
            <v>#N/A</v>
          </cell>
          <cell r="C675">
            <v>12</v>
          </cell>
          <cell r="D675" t="str">
            <v>EK65</v>
          </cell>
          <cell r="E675" t="str">
            <v>557975</v>
          </cell>
          <cell r="F675" t="str">
            <v>E</v>
          </cell>
          <cell r="G675" t="str">
            <v>12517902</v>
          </cell>
          <cell r="H675" t="str">
            <v>Halter</v>
          </cell>
          <cell r="I675">
            <v>124</v>
          </cell>
          <cell r="J675" t="str">
            <v>Stk</v>
          </cell>
          <cell r="K675">
            <v>45351</v>
          </cell>
          <cell r="L675" t="str">
            <v>829052</v>
          </cell>
          <cell r="M675" t="str">
            <v/>
          </cell>
          <cell r="N675" t="str">
            <v/>
          </cell>
          <cell r="O675" t="str">
            <v/>
          </cell>
          <cell r="P675" t="str">
            <v/>
          </cell>
          <cell r="Q675" t="str">
            <v/>
          </cell>
          <cell r="R675" t="str">
            <v/>
          </cell>
          <cell r="S675" t="str">
            <v/>
          </cell>
          <cell r="T675" t="str">
            <v/>
          </cell>
          <cell r="U675" t="str">
            <v/>
          </cell>
          <cell r="V675" t="str">
            <v>N52</v>
          </cell>
          <cell r="W675" t="str">
            <v/>
          </cell>
          <cell r="X675" t="str">
            <v/>
          </cell>
          <cell r="Y675" t="str">
            <v/>
          </cell>
          <cell r="Z675" t="str">
            <v/>
          </cell>
          <cell r="AA675" t="str">
            <v/>
          </cell>
          <cell r="AB675" t="str">
            <v>PA_4369352-UA.7005-3</v>
          </cell>
          <cell r="AC675">
            <v>1</v>
          </cell>
          <cell r="AD675" t="str">
            <v/>
          </cell>
          <cell r="AE675">
            <v>0</v>
          </cell>
          <cell r="AF675" t="str">
            <v/>
          </cell>
          <cell r="AG675" t="str">
            <v>12517902</v>
          </cell>
          <cell r="AH675">
            <v>44673.912812499999</v>
          </cell>
          <cell r="AI675" t="str">
            <v>N52</v>
          </cell>
          <cell r="AJ675" t="str">
            <v>F</v>
          </cell>
          <cell r="AK675" t="str">
            <v/>
          </cell>
        </row>
        <row r="676">
          <cell r="A676" t="str">
            <v>12575245829051</v>
          </cell>
          <cell r="B676" t="e">
            <v>#N/A</v>
          </cell>
          <cell r="C676">
            <v>12</v>
          </cell>
          <cell r="D676" t="str">
            <v>EK65</v>
          </cell>
          <cell r="E676" t="str">
            <v>559774</v>
          </cell>
          <cell r="F676" t="str">
            <v>E</v>
          </cell>
          <cell r="G676" t="str">
            <v>12575245</v>
          </cell>
          <cell r="H676" t="str">
            <v>Halter Kabelbund 3x vollst.</v>
          </cell>
          <cell r="I676">
            <v>91</v>
          </cell>
          <cell r="J676" t="str">
            <v>Stk</v>
          </cell>
          <cell r="K676">
            <v>45317</v>
          </cell>
          <cell r="L676" t="str">
            <v>829051</v>
          </cell>
          <cell r="M676" t="str">
            <v/>
          </cell>
          <cell r="N676" t="str">
            <v/>
          </cell>
          <cell r="O676" t="str">
            <v/>
          </cell>
          <cell r="P676" t="str">
            <v/>
          </cell>
          <cell r="Q676" t="str">
            <v/>
          </cell>
          <cell r="R676" t="str">
            <v/>
          </cell>
          <cell r="S676" t="str">
            <v/>
          </cell>
          <cell r="T676" t="str">
            <v/>
          </cell>
          <cell r="U676" t="str">
            <v/>
          </cell>
          <cell r="V676" t="str">
            <v>N38</v>
          </cell>
          <cell r="W676" t="str">
            <v/>
          </cell>
          <cell r="X676" t="str">
            <v/>
          </cell>
          <cell r="Y676" t="str">
            <v/>
          </cell>
          <cell r="Z676" t="str">
            <v/>
          </cell>
          <cell r="AA676" t="str">
            <v/>
          </cell>
          <cell r="AB676" t="str">
            <v>PA_4818861-UA.7004-3</v>
          </cell>
          <cell r="AC676">
            <v>1</v>
          </cell>
          <cell r="AD676" t="str">
            <v/>
          </cell>
          <cell r="AE676">
            <v>0</v>
          </cell>
          <cell r="AF676" t="str">
            <v/>
          </cell>
          <cell r="AG676" t="str">
            <v>12575245</v>
          </cell>
          <cell r="AH676">
            <v>44678.880370370367</v>
          </cell>
          <cell r="AI676" t="str">
            <v>N38</v>
          </cell>
          <cell r="AJ676" t="str">
            <v>F</v>
          </cell>
          <cell r="AK676" t="str">
            <v/>
          </cell>
        </row>
        <row r="677">
          <cell r="A677" t="str">
            <v>12541059829054</v>
          </cell>
          <cell r="B677" t="e">
            <v>#N/A</v>
          </cell>
          <cell r="C677">
            <v>6</v>
          </cell>
          <cell r="D677" t="str">
            <v>EK65</v>
          </cell>
          <cell r="E677" t="str">
            <v>559891</v>
          </cell>
          <cell r="F677" t="str">
            <v>E</v>
          </cell>
          <cell r="G677" t="str">
            <v>12541059</v>
          </cell>
          <cell r="H677" t="str">
            <v>Halter vollst.</v>
          </cell>
          <cell r="I677">
            <v>34</v>
          </cell>
          <cell r="J677" t="str">
            <v>Stk</v>
          </cell>
          <cell r="K677">
            <v>45206</v>
          </cell>
          <cell r="L677" t="str">
            <v>829054</v>
          </cell>
          <cell r="M677" t="str">
            <v/>
          </cell>
          <cell r="N677" t="str">
            <v/>
          </cell>
          <cell r="O677" t="str">
            <v/>
          </cell>
          <cell r="P677" t="str">
            <v/>
          </cell>
          <cell r="Q677" t="str">
            <v/>
          </cell>
          <cell r="R677" t="str">
            <v/>
          </cell>
          <cell r="S677" t="str">
            <v/>
          </cell>
          <cell r="T677" t="str">
            <v/>
          </cell>
          <cell r="U677" t="str">
            <v/>
          </cell>
          <cell r="V677" t="str">
            <v>N38</v>
          </cell>
          <cell r="W677" t="str">
            <v/>
          </cell>
          <cell r="X677" t="str">
            <v/>
          </cell>
          <cell r="Y677" t="str">
            <v/>
          </cell>
          <cell r="Z677" t="str">
            <v/>
          </cell>
          <cell r="AA677" t="str">
            <v/>
          </cell>
          <cell r="AB677" t="str">
            <v>PA_4468509-UA.7005-4</v>
          </cell>
          <cell r="AC677">
            <v>1</v>
          </cell>
          <cell r="AD677" t="str">
            <v/>
          </cell>
          <cell r="AE677">
            <v>0</v>
          </cell>
          <cell r="AF677" t="str">
            <v/>
          </cell>
          <cell r="AG677" t="str">
            <v>12541059</v>
          </cell>
          <cell r="AH677">
            <v>44678.960231481484</v>
          </cell>
          <cell r="AI677" t="str">
            <v>N38</v>
          </cell>
          <cell r="AJ677" t="str">
            <v>F</v>
          </cell>
          <cell r="AK677" t="str">
            <v>A</v>
          </cell>
        </row>
        <row r="678">
          <cell r="A678" t="str">
            <v>12554303829051</v>
          </cell>
          <cell r="B678" t="e">
            <v>#N/A</v>
          </cell>
          <cell r="C678">
            <v>14</v>
          </cell>
          <cell r="D678" t="str">
            <v>EK65</v>
          </cell>
          <cell r="E678" t="str">
            <v>560236</v>
          </cell>
          <cell r="F678" t="str">
            <v>E</v>
          </cell>
          <cell r="G678" t="str">
            <v>12554303</v>
          </cell>
          <cell r="H678" t="str">
            <v>Blech</v>
          </cell>
          <cell r="I678">
            <v>1452</v>
          </cell>
          <cell r="J678" t="str">
            <v>Stk</v>
          </cell>
          <cell r="K678">
            <v>45317</v>
          </cell>
          <cell r="L678" t="str">
            <v>829051</v>
          </cell>
          <cell r="M678" t="str">
            <v/>
          </cell>
          <cell r="N678" t="str">
            <v/>
          </cell>
          <cell r="O678" t="str">
            <v/>
          </cell>
          <cell r="P678" t="str">
            <v/>
          </cell>
          <cell r="Q678" t="str">
            <v/>
          </cell>
          <cell r="R678" t="str">
            <v/>
          </cell>
          <cell r="S678" t="str">
            <v/>
          </cell>
          <cell r="T678" t="str">
            <v/>
          </cell>
          <cell r="U678" t="str">
            <v/>
          </cell>
          <cell r="V678" t="str">
            <v>N52</v>
          </cell>
          <cell r="W678" t="str">
            <v/>
          </cell>
          <cell r="X678" t="str">
            <v/>
          </cell>
          <cell r="Y678" t="str">
            <v/>
          </cell>
          <cell r="Z678" t="str">
            <v/>
          </cell>
          <cell r="AA678" t="str">
            <v/>
          </cell>
          <cell r="AB678" t="str">
            <v>PA_4703465-UA.7004-4</v>
          </cell>
          <cell r="AC678">
            <v>1</v>
          </cell>
          <cell r="AD678" t="str">
            <v/>
          </cell>
          <cell r="AE678">
            <v>0</v>
          </cell>
          <cell r="AF678" t="str">
            <v/>
          </cell>
          <cell r="AG678" t="str">
            <v>12554303</v>
          </cell>
          <cell r="AH678">
            <v>44679.899675925924</v>
          </cell>
          <cell r="AI678" t="str">
            <v>N52</v>
          </cell>
          <cell r="AJ678" t="str">
            <v>F</v>
          </cell>
          <cell r="AK678" t="str">
            <v/>
          </cell>
        </row>
        <row r="679">
          <cell r="A679" t="str">
            <v>12554303829052</v>
          </cell>
          <cell r="B679" t="e">
            <v>#N/A</v>
          </cell>
          <cell r="C679">
            <v>14</v>
          </cell>
          <cell r="D679" t="str">
            <v>EK65</v>
          </cell>
          <cell r="E679" t="str">
            <v>560237</v>
          </cell>
          <cell r="F679" t="str">
            <v>E</v>
          </cell>
          <cell r="G679" t="str">
            <v>12554303</v>
          </cell>
          <cell r="H679" t="str">
            <v>Blech</v>
          </cell>
          <cell r="I679">
            <v>501</v>
          </cell>
          <cell r="J679" t="str">
            <v>Stk</v>
          </cell>
          <cell r="K679">
            <v>45350</v>
          </cell>
          <cell r="L679" t="str">
            <v>829052</v>
          </cell>
          <cell r="M679" t="str">
            <v/>
          </cell>
          <cell r="N679" t="str">
            <v/>
          </cell>
          <cell r="O679" t="str">
            <v/>
          </cell>
          <cell r="P679" t="str">
            <v/>
          </cell>
          <cell r="Q679" t="str">
            <v/>
          </cell>
          <cell r="R679" t="str">
            <v/>
          </cell>
          <cell r="S679" t="str">
            <v/>
          </cell>
          <cell r="T679" t="str">
            <v/>
          </cell>
          <cell r="U679" t="str">
            <v/>
          </cell>
          <cell r="V679" t="str">
            <v>N52</v>
          </cell>
          <cell r="W679" t="str">
            <v/>
          </cell>
          <cell r="X679" t="str">
            <v/>
          </cell>
          <cell r="Y679" t="str">
            <v/>
          </cell>
          <cell r="Z679" t="str">
            <v/>
          </cell>
          <cell r="AA679" t="str">
            <v/>
          </cell>
          <cell r="AB679" t="str">
            <v>PA_4703465-UA.7004-4</v>
          </cell>
          <cell r="AC679">
            <v>1</v>
          </cell>
          <cell r="AD679" t="str">
            <v/>
          </cell>
          <cell r="AE679">
            <v>0</v>
          </cell>
          <cell r="AF679" t="str">
            <v/>
          </cell>
          <cell r="AG679" t="str">
            <v>12554303</v>
          </cell>
          <cell r="AH679">
            <v>44679.899675925924</v>
          </cell>
          <cell r="AI679" t="str">
            <v>N52</v>
          </cell>
          <cell r="AJ679" t="str">
            <v>F</v>
          </cell>
          <cell r="AK679" t="str">
            <v/>
          </cell>
        </row>
        <row r="680">
          <cell r="A680" t="str">
            <v>12554608829051</v>
          </cell>
          <cell r="B680" t="e">
            <v>#N/A</v>
          </cell>
          <cell r="C680">
            <v>14</v>
          </cell>
          <cell r="D680" t="str">
            <v>EK65</v>
          </cell>
          <cell r="E680" t="str">
            <v>560238</v>
          </cell>
          <cell r="F680" t="str">
            <v>E</v>
          </cell>
          <cell r="G680" t="str">
            <v>12554608</v>
          </cell>
          <cell r="H680" t="str">
            <v>Steckerblech</v>
          </cell>
          <cell r="I680">
            <v>542</v>
          </cell>
          <cell r="J680" t="str">
            <v>Stk</v>
          </cell>
          <cell r="K680">
            <v>45317</v>
          </cell>
          <cell r="L680" t="str">
            <v>829051</v>
          </cell>
          <cell r="M680" t="str">
            <v/>
          </cell>
          <cell r="N680" t="str">
            <v/>
          </cell>
          <cell r="O680" t="str">
            <v/>
          </cell>
          <cell r="P680" t="str">
            <v/>
          </cell>
          <cell r="Q680" t="str">
            <v/>
          </cell>
          <cell r="R680" t="str">
            <v/>
          </cell>
          <cell r="S680" t="str">
            <v/>
          </cell>
          <cell r="T680" t="str">
            <v/>
          </cell>
          <cell r="U680" t="str">
            <v/>
          </cell>
          <cell r="V680" t="str">
            <v>N52</v>
          </cell>
          <cell r="W680" t="str">
            <v/>
          </cell>
          <cell r="X680" t="str">
            <v/>
          </cell>
          <cell r="Y680" t="str">
            <v/>
          </cell>
          <cell r="Z680" t="str">
            <v/>
          </cell>
          <cell r="AA680" t="str">
            <v/>
          </cell>
          <cell r="AB680" t="str">
            <v>BU_4683138-UA.7004-4</v>
          </cell>
          <cell r="AC680">
            <v>1</v>
          </cell>
          <cell r="AD680" t="str">
            <v/>
          </cell>
          <cell r="AE680">
            <v>0</v>
          </cell>
          <cell r="AF680" t="str">
            <v/>
          </cell>
          <cell r="AG680" t="str">
            <v>12554608</v>
          </cell>
          <cell r="AH680">
            <v>44679.899733796294</v>
          </cell>
          <cell r="AI680" t="str">
            <v>N52</v>
          </cell>
          <cell r="AJ680" t="str">
            <v>F</v>
          </cell>
          <cell r="AK680" t="str">
            <v/>
          </cell>
        </row>
        <row r="681">
          <cell r="A681" t="str">
            <v>12554608829052</v>
          </cell>
          <cell r="B681" t="e">
            <v>#N/A</v>
          </cell>
          <cell r="C681">
            <v>14</v>
          </cell>
          <cell r="D681" t="str">
            <v>EK65</v>
          </cell>
          <cell r="E681" t="str">
            <v>560239</v>
          </cell>
          <cell r="F681" t="str">
            <v>E</v>
          </cell>
          <cell r="G681" t="str">
            <v>12554608</v>
          </cell>
          <cell r="H681" t="str">
            <v>Steckerblech</v>
          </cell>
          <cell r="I681">
            <v>178</v>
          </cell>
          <cell r="J681" t="str">
            <v>Stk</v>
          </cell>
          <cell r="K681">
            <v>45363</v>
          </cell>
          <cell r="L681" t="str">
            <v>829052</v>
          </cell>
          <cell r="M681" t="str">
            <v/>
          </cell>
          <cell r="N681" t="str">
            <v/>
          </cell>
          <cell r="O681" t="str">
            <v/>
          </cell>
          <cell r="P681" t="str">
            <v/>
          </cell>
          <cell r="Q681" t="str">
            <v/>
          </cell>
          <cell r="R681" t="str">
            <v/>
          </cell>
          <cell r="S681" t="str">
            <v/>
          </cell>
          <cell r="T681" t="str">
            <v/>
          </cell>
          <cell r="U681" t="str">
            <v/>
          </cell>
          <cell r="V681" t="str">
            <v>N52</v>
          </cell>
          <cell r="W681" t="str">
            <v/>
          </cell>
          <cell r="X681" t="str">
            <v/>
          </cell>
          <cell r="Y681" t="str">
            <v/>
          </cell>
          <cell r="Z681" t="str">
            <v/>
          </cell>
          <cell r="AA681" t="str">
            <v/>
          </cell>
          <cell r="AB681" t="str">
            <v>BU_4683138-UA.7004-4</v>
          </cell>
          <cell r="AC681">
            <v>1</v>
          </cell>
          <cell r="AD681" t="str">
            <v/>
          </cell>
          <cell r="AE681">
            <v>0</v>
          </cell>
          <cell r="AF681" t="str">
            <v/>
          </cell>
          <cell r="AG681" t="str">
            <v>12554608</v>
          </cell>
          <cell r="AH681">
            <v>44679.899733796294</v>
          </cell>
          <cell r="AI681" t="str">
            <v>N52</v>
          </cell>
          <cell r="AJ681" t="str">
            <v>F</v>
          </cell>
          <cell r="AK681" t="str">
            <v/>
          </cell>
        </row>
        <row r="682">
          <cell r="A682" t="str">
            <v>12554788829051</v>
          </cell>
          <cell r="B682" t="e">
            <v>#N/A</v>
          </cell>
          <cell r="C682">
            <v>12</v>
          </cell>
          <cell r="D682" t="str">
            <v>EK65</v>
          </cell>
          <cell r="E682" t="str">
            <v>560240</v>
          </cell>
          <cell r="F682" t="str">
            <v>E</v>
          </cell>
          <cell r="G682" t="str">
            <v>12554788</v>
          </cell>
          <cell r="H682" t="str">
            <v>Halter</v>
          </cell>
          <cell r="I682">
            <v>91</v>
          </cell>
          <cell r="J682" t="str">
            <v>Stk</v>
          </cell>
          <cell r="K682">
            <v>45317</v>
          </cell>
          <cell r="L682" t="str">
            <v>829051</v>
          </cell>
          <cell r="M682" t="str">
            <v/>
          </cell>
          <cell r="N682" t="str">
            <v/>
          </cell>
          <cell r="O682" t="str">
            <v/>
          </cell>
          <cell r="P682" t="str">
            <v/>
          </cell>
          <cell r="Q682" t="str">
            <v/>
          </cell>
          <cell r="R682" t="str">
            <v/>
          </cell>
          <cell r="S682" t="str">
            <v/>
          </cell>
          <cell r="T682" t="str">
            <v/>
          </cell>
          <cell r="U682" t="str">
            <v/>
          </cell>
          <cell r="V682" t="str">
            <v>N52</v>
          </cell>
          <cell r="W682" t="str">
            <v/>
          </cell>
          <cell r="X682" t="str">
            <v/>
          </cell>
          <cell r="Y682" t="str">
            <v/>
          </cell>
          <cell r="Z682" t="str">
            <v/>
          </cell>
          <cell r="AA682" t="str">
            <v/>
          </cell>
          <cell r="AB682" t="str">
            <v>BU_4689633-UA.7004-3</v>
          </cell>
          <cell r="AC682">
            <v>1</v>
          </cell>
          <cell r="AD682" t="str">
            <v/>
          </cell>
          <cell r="AE682">
            <v>0</v>
          </cell>
          <cell r="AF682" t="str">
            <v/>
          </cell>
          <cell r="AG682" t="str">
            <v>12554788</v>
          </cell>
          <cell r="AH682">
            <v>44679.89980324074</v>
          </cell>
          <cell r="AI682" t="str">
            <v>N52</v>
          </cell>
          <cell r="AJ682" t="str">
            <v>F</v>
          </cell>
          <cell r="AK682" t="str">
            <v/>
          </cell>
        </row>
        <row r="683">
          <cell r="A683" t="str">
            <v>12554788829052</v>
          </cell>
          <cell r="B683" t="e">
            <v>#N/A</v>
          </cell>
          <cell r="C683">
            <v>12</v>
          </cell>
          <cell r="D683" t="str">
            <v>EK65</v>
          </cell>
          <cell r="E683" t="str">
            <v>560241</v>
          </cell>
          <cell r="F683" t="str">
            <v>E</v>
          </cell>
          <cell r="G683" t="str">
            <v>12554788</v>
          </cell>
          <cell r="H683" t="str">
            <v>Halter</v>
          </cell>
          <cell r="I683">
            <v>125</v>
          </cell>
          <cell r="J683" t="str">
            <v>Stk</v>
          </cell>
          <cell r="K683">
            <v>45350</v>
          </cell>
          <cell r="L683" t="str">
            <v>829052</v>
          </cell>
          <cell r="M683" t="str">
            <v/>
          </cell>
          <cell r="N683" t="str">
            <v/>
          </cell>
          <cell r="O683" t="str">
            <v/>
          </cell>
          <cell r="P683" t="str">
            <v/>
          </cell>
          <cell r="Q683" t="str">
            <v/>
          </cell>
          <cell r="R683" t="str">
            <v/>
          </cell>
          <cell r="S683" t="str">
            <v/>
          </cell>
          <cell r="T683" t="str">
            <v/>
          </cell>
          <cell r="U683" t="str">
            <v/>
          </cell>
          <cell r="V683" t="str">
            <v>N52</v>
          </cell>
          <cell r="W683" t="str">
            <v/>
          </cell>
          <cell r="X683" t="str">
            <v/>
          </cell>
          <cell r="Y683" t="str">
            <v/>
          </cell>
          <cell r="Z683" t="str">
            <v/>
          </cell>
          <cell r="AA683" t="str">
            <v/>
          </cell>
          <cell r="AB683" t="str">
            <v>BU_4689633-UA.7004-3</v>
          </cell>
          <cell r="AC683">
            <v>1</v>
          </cell>
          <cell r="AD683" t="str">
            <v/>
          </cell>
          <cell r="AE683">
            <v>0</v>
          </cell>
          <cell r="AF683" t="str">
            <v/>
          </cell>
          <cell r="AG683" t="str">
            <v>12554788</v>
          </cell>
          <cell r="AH683">
            <v>44679.89980324074</v>
          </cell>
          <cell r="AI683" t="str">
            <v>N52</v>
          </cell>
          <cell r="AJ683" t="str">
            <v>F</v>
          </cell>
          <cell r="AK683" t="str">
            <v/>
          </cell>
        </row>
        <row r="684">
          <cell r="A684" t="str">
            <v>12561965829051</v>
          </cell>
          <cell r="B684" t="e">
            <v>#N/A</v>
          </cell>
          <cell r="C684">
            <v>14</v>
          </cell>
          <cell r="D684" t="str">
            <v>EK65</v>
          </cell>
          <cell r="E684" t="str">
            <v>560242</v>
          </cell>
          <cell r="F684" t="str">
            <v>E</v>
          </cell>
          <cell r="G684" t="str">
            <v>12561965</v>
          </cell>
          <cell r="H684" t="str">
            <v>Halter</v>
          </cell>
          <cell r="I684">
            <v>915</v>
          </cell>
          <cell r="J684" t="str">
            <v>Stk</v>
          </cell>
          <cell r="K684">
            <v>45315</v>
          </cell>
          <cell r="L684" t="str">
            <v>829051</v>
          </cell>
          <cell r="M684" t="str">
            <v/>
          </cell>
          <cell r="N684" t="str">
            <v/>
          </cell>
          <cell r="O684" t="str">
            <v/>
          </cell>
          <cell r="P684" t="str">
            <v/>
          </cell>
          <cell r="Q684" t="str">
            <v/>
          </cell>
          <cell r="R684" t="str">
            <v/>
          </cell>
          <cell r="S684" t="str">
            <v/>
          </cell>
          <cell r="T684" t="str">
            <v/>
          </cell>
          <cell r="U684" t="str">
            <v/>
          </cell>
          <cell r="V684" t="str">
            <v>N52</v>
          </cell>
          <cell r="W684" t="str">
            <v/>
          </cell>
          <cell r="X684" t="str">
            <v/>
          </cell>
          <cell r="Y684" t="str">
            <v/>
          </cell>
          <cell r="Z684" t="str">
            <v/>
          </cell>
          <cell r="AA684" t="str">
            <v/>
          </cell>
          <cell r="AB684" t="str">
            <v>PA_4707217-UA.7004-3</v>
          </cell>
          <cell r="AC684">
            <v>1</v>
          </cell>
          <cell r="AD684" t="str">
            <v/>
          </cell>
          <cell r="AE684">
            <v>0</v>
          </cell>
          <cell r="AF684" t="str">
            <v/>
          </cell>
          <cell r="AG684" t="str">
            <v>12561965</v>
          </cell>
          <cell r="AH684">
            <v>44679.900092592594</v>
          </cell>
          <cell r="AI684" t="str">
            <v>N52</v>
          </cell>
          <cell r="AJ684" t="str">
            <v>F</v>
          </cell>
          <cell r="AK684" t="str">
            <v/>
          </cell>
        </row>
        <row r="685">
          <cell r="A685" t="str">
            <v>12561965829052</v>
          </cell>
          <cell r="B685" t="e">
            <v>#N/A</v>
          </cell>
          <cell r="C685">
            <v>14</v>
          </cell>
          <cell r="D685" t="str">
            <v>EK65</v>
          </cell>
          <cell r="E685" t="str">
            <v>560243</v>
          </cell>
          <cell r="F685" t="str">
            <v>E</v>
          </cell>
          <cell r="G685" t="str">
            <v>12561965</v>
          </cell>
          <cell r="H685" t="str">
            <v>Halter</v>
          </cell>
          <cell r="I685">
            <v>127</v>
          </cell>
          <cell r="J685" t="str">
            <v>Stk</v>
          </cell>
          <cell r="K685">
            <v>45350</v>
          </cell>
          <cell r="L685" t="str">
            <v>829052</v>
          </cell>
          <cell r="M685" t="str">
            <v/>
          </cell>
          <cell r="N685" t="str">
            <v/>
          </cell>
          <cell r="O685" t="str">
            <v/>
          </cell>
          <cell r="P685" t="str">
            <v/>
          </cell>
          <cell r="Q685" t="str">
            <v/>
          </cell>
          <cell r="R685" t="str">
            <v/>
          </cell>
          <cell r="S685" t="str">
            <v/>
          </cell>
          <cell r="T685" t="str">
            <v/>
          </cell>
          <cell r="U685" t="str">
            <v/>
          </cell>
          <cell r="V685" t="str">
            <v>N52</v>
          </cell>
          <cell r="W685" t="str">
            <v/>
          </cell>
          <cell r="X685" t="str">
            <v/>
          </cell>
          <cell r="Y685" t="str">
            <v/>
          </cell>
          <cell r="Z685" t="str">
            <v/>
          </cell>
          <cell r="AA685" t="str">
            <v/>
          </cell>
          <cell r="AB685" t="str">
            <v>PA_4707217-UA.7004-3</v>
          </cell>
          <cell r="AC685">
            <v>1</v>
          </cell>
          <cell r="AD685" t="str">
            <v/>
          </cell>
          <cell r="AE685">
            <v>0</v>
          </cell>
          <cell r="AF685" t="str">
            <v/>
          </cell>
          <cell r="AG685" t="str">
            <v>12561965</v>
          </cell>
          <cell r="AH685">
            <v>44679.900092592594</v>
          </cell>
          <cell r="AI685" t="str">
            <v>N52</v>
          </cell>
          <cell r="AJ685" t="str">
            <v>F</v>
          </cell>
          <cell r="AK685" t="str">
            <v/>
          </cell>
        </row>
        <row r="686">
          <cell r="A686" t="str">
            <v>12566041829051</v>
          </cell>
          <cell r="B686" t="e">
            <v>#N/A</v>
          </cell>
          <cell r="C686">
            <v>12</v>
          </cell>
          <cell r="D686" t="str">
            <v>EK65</v>
          </cell>
          <cell r="E686" t="str">
            <v>560244</v>
          </cell>
          <cell r="F686" t="str">
            <v>E</v>
          </cell>
          <cell r="G686" t="str">
            <v>12566041</v>
          </cell>
          <cell r="H686" t="str">
            <v>Steckerblech HZFGR</v>
          </cell>
          <cell r="I686">
            <v>181</v>
          </cell>
          <cell r="J686" t="str">
            <v>Stk</v>
          </cell>
          <cell r="K686">
            <v>45317</v>
          </cell>
          <cell r="L686" t="str">
            <v>829051</v>
          </cell>
          <cell r="M686" t="str">
            <v/>
          </cell>
          <cell r="N686" t="str">
            <v/>
          </cell>
          <cell r="O686" t="str">
            <v/>
          </cell>
          <cell r="P686" t="str">
            <v/>
          </cell>
          <cell r="Q686" t="str">
            <v/>
          </cell>
          <cell r="R686" t="str">
            <v/>
          </cell>
          <cell r="S686" t="str">
            <v/>
          </cell>
          <cell r="T686" t="str">
            <v/>
          </cell>
          <cell r="U686" t="str">
            <v/>
          </cell>
          <cell r="V686" t="str">
            <v>N52</v>
          </cell>
          <cell r="W686" t="str">
            <v/>
          </cell>
          <cell r="X686" t="str">
            <v/>
          </cell>
          <cell r="Y686" t="str">
            <v/>
          </cell>
          <cell r="Z686" t="str">
            <v/>
          </cell>
          <cell r="AA686" t="str">
            <v/>
          </cell>
          <cell r="AB686" t="str">
            <v>PA_4610701-UA.7004-2</v>
          </cell>
          <cell r="AC686">
            <v>1</v>
          </cell>
          <cell r="AD686" t="str">
            <v/>
          </cell>
          <cell r="AE686">
            <v>0</v>
          </cell>
          <cell r="AF686" t="str">
            <v/>
          </cell>
          <cell r="AG686" t="str">
            <v>12566041</v>
          </cell>
          <cell r="AH686">
            <v>44679.900381944448</v>
          </cell>
          <cell r="AI686" t="str">
            <v>N52</v>
          </cell>
          <cell r="AJ686" t="str">
            <v>F</v>
          </cell>
          <cell r="AK686" t="str">
            <v/>
          </cell>
        </row>
        <row r="687">
          <cell r="A687" t="str">
            <v>12566041829052</v>
          </cell>
          <cell r="B687" t="e">
            <v>#N/A</v>
          </cell>
          <cell r="C687">
            <v>12</v>
          </cell>
          <cell r="D687" t="str">
            <v>EK65</v>
          </cell>
          <cell r="E687" t="str">
            <v>560245</v>
          </cell>
          <cell r="F687" t="str">
            <v>E</v>
          </cell>
          <cell r="G687" t="str">
            <v>12566041</v>
          </cell>
          <cell r="H687" t="str">
            <v>Steckerblech HZFGR</v>
          </cell>
          <cell r="I687">
            <v>60</v>
          </cell>
          <cell r="J687" t="str">
            <v>Stk</v>
          </cell>
          <cell r="K687">
            <v>45363</v>
          </cell>
          <cell r="L687" t="str">
            <v>829052</v>
          </cell>
          <cell r="M687" t="str">
            <v/>
          </cell>
          <cell r="N687" t="str">
            <v/>
          </cell>
          <cell r="O687" t="str">
            <v/>
          </cell>
          <cell r="P687" t="str">
            <v/>
          </cell>
          <cell r="Q687" t="str">
            <v/>
          </cell>
          <cell r="R687" t="str">
            <v/>
          </cell>
          <cell r="S687" t="str">
            <v/>
          </cell>
          <cell r="T687" t="str">
            <v/>
          </cell>
          <cell r="U687" t="str">
            <v/>
          </cell>
          <cell r="V687" t="str">
            <v>N52</v>
          </cell>
          <cell r="W687" t="str">
            <v/>
          </cell>
          <cell r="X687" t="str">
            <v/>
          </cell>
          <cell r="Y687" t="str">
            <v/>
          </cell>
          <cell r="Z687" t="str">
            <v/>
          </cell>
          <cell r="AA687" t="str">
            <v/>
          </cell>
          <cell r="AB687" t="str">
            <v>PA_4610701-UA.7004-2</v>
          </cell>
          <cell r="AC687">
            <v>1</v>
          </cell>
          <cell r="AD687" t="str">
            <v/>
          </cell>
          <cell r="AE687">
            <v>0</v>
          </cell>
          <cell r="AF687" t="str">
            <v/>
          </cell>
          <cell r="AG687" t="str">
            <v>12566041</v>
          </cell>
          <cell r="AH687">
            <v>44679.900381944448</v>
          </cell>
          <cell r="AI687" t="str">
            <v>N52</v>
          </cell>
          <cell r="AJ687" t="str">
            <v>F</v>
          </cell>
          <cell r="AK687" t="str">
            <v/>
          </cell>
        </row>
        <row r="688">
          <cell r="A688" t="str">
            <v>12546163829052</v>
          </cell>
          <cell r="B688" t="e">
            <v>#N/A</v>
          </cell>
          <cell r="C688">
            <v>5</v>
          </cell>
          <cell r="D688" t="str">
            <v>EK65</v>
          </cell>
          <cell r="E688" t="str">
            <v>564268</v>
          </cell>
          <cell r="F688" t="str">
            <v>E</v>
          </cell>
          <cell r="G688" t="str">
            <v>12546163</v>
          </cell>
          <cell r="H688" t="str">
            <v>Halter ZGE, vollst.</v>
          </cell>
          <cell r="I688">
            <v>56</v>
          </cell>
          <cell r="J688" t="str">
            <v>Stk</v>
          </cell>
          <cell r="K688">
            <v>45104</v>
          </cell>
          <cell r="L688" t="str">
            <v>829052</v>
          </cell>
          <cell r="M688" t="str">
            <v/>
          </cell>
          <cell r="N688" t="str">
            <v/>
          </cell>
          <cell r="O688" t="str">
            <v/>
          </cell>
          <cell r="P688" t="str">
            <v/>
          </cell>
          <cell r="Q688" t="str">
            <v/>
          </cell>
          <cell r="R688" t="str">
            <v/>
          </cell>
          <cell r="S688" t="str">
            <v/>
          </cell>
          <cell r="T688" t="str">
            <v/>
          </cell>
          <cell r="U688" t="str">
            <v/>
          </cell>
          <cell r="V688" t="str">
            <v>N38</v>
          </cell>
          <cell r="W688" t="str">
            <v/>
          </cell>
          <cell r="X688" t="str">
            <v/>
          </cell>
          <cell r="Y688" t="str">
            <v/>
          </cell>
          <cell r="Z688" t="str">
            <v/>
          </cell>
          <cell r="AA688" t="str">
            <v/>
          </cell>
          <cell r="AB688" t="str">
            <v>PA_4609494-QE.7004-3</v>
          </cell>
          <cell r="AC688">
            <v>1</v>
          </cell>
          <cell r="AD688" t="str">
            <v/>
          </cell>
          <cell r="AE688">
            <v>0</v>
          </cell>
          <cell r="AF688" t="str">
            <v/>
          </cell>
          <cell r="AG688" t="str">
            <v>12546163</v>
          </cell>
          <cell r="AH688">
            <v>44679.950358796297</v>
          </cell>
          <cell r="AI688" t="str">
            <v>N38</v>
          </cell>
          <cell r="AJ688" t="str">
            <v>F</v>
          </cell>
          <cell r="AK688" t="str">
            <v/>
          </cell>
        </row>
        <row r="689">
          <cell r="A689" t="str">
            <v>12572443829051</v>
          </cell>
          <cell r="B689" t="e">
            <v>#N/A</v>
          </cell>
          <cell r="C689">
            <v>5</v>
          </cell>
          <cell r="D689" t="str">
            <v>EK65</v>
          </cell>
          <cell r="E689" t="str">
            <v>564993</v>
          </cell>
          <cell r="F689" t="str">
            <v>E</v>
          </cell>
          <cell r="G689" t="str">
            <v>12572443</v>
          </cell>
          <cell r="H689" t="str">
            <v>Abdeckung Fuehrungsschiene</v>
          </cell>
          <cell r="I689">
            <v>180</v>
          </cell>
          <cell r="J689" t="str">
            <v>Stk</v>
          </cell>
          <cell r="K689">
            <v>45328</v>
          </cell>
          <cell r="L689" t="str">
            <v>829051</v>
          </cell>
          <cell r="M689" t="str">
            <v/>
          </cell>
          <cell r="N689" t="str">
            <v/>
          </cell>
          <cell r="O689" t="str">
            <v/>
          </cell>
          <cell r="P689" t="str">
            <v/>
          </cell>
          <cell r="Q689" t="str">
            <v/>
          </cell>
          <cell r="R689" t="str">
            <v/>
          </cell>
          <cell r="S689" t="str">
            <v/>
          </cell>
          <cell r="T689" t="str">
            <v/>
          </cell>
          <cell r="U689" t="str">
            <v/>
          </cell>
          <cell r="V689" t="str">
            <v>N52</v>
          </cell>
          <cell r="W689" t="str">
            <v/>
          </cell>
          <cell r="X689" t="str">
            <v/>
          </cell>
          <cell r="Y689" t="str">
            <v/>
          </cell>
          <cell r="Z689" t="str">
            <v/>
          </cell>
          <cell r="AA689" t="str">
            <v/>
          </cell>
          <cell r="AB689" t="str">
            <v>PA_4764078-CC.7004-3</v>
          </cell>
          <cell r="AC689">
            <v>1</v>
          </cell>
          <cell r="AD689" t="str">
            <v/>
          </cell>
          <cell r="AE689">
            <v>0</v>
          </cell>
          <cell r="AF689" t="str">
            <v/>
          </cell>
          <cell r="AG689" t="str">
            <v>12572443</v>
          </cell>
          <cell r="AH689">
            <v>44683.886516203704</v>
          </cell>
          <cell r="AI689" t="str">
            <v>N52</v>
          </cell>
          <cell r="AJ689" t="str">
            <v>F</v>
          </cell>
          <cell r="AK689" t="str">
            <v/>
          </cell>
        </row>
        <row r="690">
          <cell r="A690" t="str">
            <v>12572817829051</v>
          </cell>
          <cell r="B690" t="e">
            <v>#N/A</v>
          </cell>
          <cell r="C690">
            <v>6</v>
          </cell>
          <cell r="D690" t="str">
            <v>EK65</v>
          </cell>
          <cell r="E690" t="str">
            <v>564995</v>
          </cell>
          <cell r="F690" t="str">
            <v>E</v>
          </cell>
          <cell r="G690" t="str">
            <v>12572817</v>
          </cell>
          <cell r="H690" t="str">
            <v>Fussbodenabschluss w.g</v>
          </cell>
          <cell r="I690">
            <v>90</v>
          </cell>
          <cell r="J690" t="str">
            <v>Stk</v>
          </cell>
          <cell r="K690">
            <v>45328</v>
          </cell>
          <cell r="L690" t="str">
            <v>829051</v>
          </cell>
          <cell r="M690" t="str">
            <v/>
          </cell>
          <cell r="N690" t="str">
            <v/>
          </cell>
          <cell r="O690" t="str">
            <v/>
          </cell>
          <cell r="P690" t="str">
            <v/>
          </cell>
          <cell r="Q690" t="str">
            <v/>
          </cell>
          <cell r="R690" t="str">
            <v/>
          </cell>
          <cell r="S690" t="str">
            <v/>
          </cell>
          <cell r="T690" t="str">
            <v/>
          </cell>
          <cell r="U690" t="str">
            <v/>
          </cell>
          <cell r="V690" t="str">
            <v>N52</v>
          </cell>
          <cell r="W690" t="str">
            <v/>
          </cell>
          <cell r="X690" t="str">
            <v/>
          </cell>
          <cell r="Y690" t="str">
            <v/>
          </cell>
          <cell r="Z690" t="str">
            <v/>
          </cell>
          <cell r="AA690" t="str">
            <v/>
          </cell>
          <cell r="AB690" t="str">
            <v>PA_4265259-CC.7004-2</v>
          </cell>
          <cell r="AC690">
            <v>1</v>
          </cell>
          <cell r="AD690" t="str">
            <v/>
          </cell>
          <cell r="AE690">
            <v>0</v>
          </cell>
          <cell r="AF690" t="str">
            <v/>
          </cell>
          <cell r="AG690" t="str">
            <v>12572817</v>
          </cell>
          <cell r="AH690">
            <v>44683.886550925927</v>
          </cell>
          <cell r="AI690" t="str">
            <v>N52</v>
          </cell>
          <cell r="AJ690" t="str">
            <v>F</v>
          </cell>
          <cell r="AK690" t="str">
            <v>A</v>
          </cell>
        </row>
        <row r="691">
          <cell r="A691" t="str">
            <v>12572818829051</v>
          </cell>
          <cell r="B691" t="str">
            <v>BL20230413-2</v>
          </cell>
          <cell r="C691">
            <v>6</v>
          </cell>
          <cell r="D691" t="str">
            <v>EK65</v>
          </cell>
          <cell r="E691" t="str">
            <v>564996</v>
          </cell>
          <cell r="F691" t="str">
            <v>E</v>
          </cell>
          <cell r="G691" t="str">
            <v>12572818</v>
          </cell>
          <cell r="H691" t="str">
            <v>Fussbodenabschluss sp.g.</v>
          </cell>
          <cell r="I691">
            <v>89</v>
          </cell>
          <cell r="J691" t="str">
            <v>Stk</v>
          </cell>
          <cell r="K691">
            <v>45331</v>
          </cell>
          <cell r="L691" t="str">
            <v>829051</v>
          </cell>
          <cell r="M691" t="str">
            <v/>
          </cell>
          <cell r="N691" t="str">
            <v/>
          </cell>
          <cell r="O691" t="str">
            <v/>
          </cell>
          <cell r="P691" t="str">
            <v/>
          </cell>
          <cell r="Q691" t="str">
            <v/>
          </cell>
          <cell r="R691" t="str">
            <v/>
          </cell>
          <cell r="S691" t="str">
            <v/>
          </cell>
          <cell r="T691" t="str">
            <v/>
          </cell>
          <cell r="U691" t="str">
            <v/>
          </cell>
          <cell r="V691" t="str">
            <v>N52</v>
          </cell>
          <cell r="W691" t="str">
            <v/>
          </cell>
          <cell r="X691" t="str">
            <v/>
          </cell>
          <cell r="Y691" t="str">
            <v/>
          </cell>
          <cell r="Z691" t="str">
            <v/>
          </cell>
          <cell r="AA691" t="str">
            <v/>
          </cell>
          <cell r="AB691" t="str">
            <v>PA_4265259-CC.7004-2</v>
          </cell>
          <cell r="AC691">
            <v>1</v>
          </cell>
          <cell r="AD691" t="str">
            <v/>
          </cell>
          <cell r="AE691">
            <v>0</v>
          </cell>
          <cell r="AF691" t="str">
            <v/>
          </cell>
          <cell r="AG691" t="str">
            <v>12572818</v>
          </cell>
          <cell r="AH691">
            <v>44683.886562500003</v>
          </cell>
          <cell r="AI691" t="str">
            <v>N52</v>
          </cell>
          <cell r="AJ691" t="str">
            <v>F</v>
          </cell>
          <cell r="AK691" t="str">
            <v>A</v>
          </cell>
        </row>
        <row r="692">
          <cell r="A692" t="str">
            <v>12575425829051</v>
          </cell>
          <cell r="B692" t="e">
            <v>#N/A</v>
          </cell>
          <cell r="C692">
            <v>6</v>
          </cell>
          <cell r="D692" t="str">
            <v>EK65</v>
          </cell>
          <cell r="E692" t="str">
            <v>564998</v>
          </cell>
          <cell r="F692" t="str">
            <v>E</v>
          </cell>
          <cell r="G692" t="str">
            <v>12575425</v>
          </cell>
          <cell r="H692" t="str">
            <v>Dichtkragen sp.g</v>
          </cell>
          <cell r="I692">
            <v>45</v>
          </cell>
          <cell r="J692" t="str">
            <v>Stk</v>
          </cell>
          <cell r="K692">
            <v>45328</v>
          </cell>
          <cell r="L692" t="str">
            <v>829051</v>
          </cell>
          <cell r="M692" t="str">
            <v/>
          </cell>
          <cell r="N692" t="str">
            <v/>
          </cell>
          <cell r="O692" t="str">
            <v/>
          </cell>
          <cell r="P692" t="str">
            <v/>
          </cell>
          <cell r="Q692" t="str">
            <v/>
          </cell>
          <cell r="R692" t="str">
            <v/>
          </cell>
          <cell r="S692" t="str">
            <v/>
          </cell>
          <cell r="T692" t="str">
            <v/>
          </cell>
          <cell r="U692" t="str">
            <v/>
          </cell>
          <cell r="V692" t="str">
            <v>N52</v>
          </cell>
          <cell r="W692" t="str">
            <v/>
          </cell>
          <cell r="X692" t="str">
            <v/>
          </cell>
          <cell r="Y692" t="str">
            <v/>
          </cell>
          <cell r="Z692" t="str">
            <v/>
          </cell>
          <cell r="AA692" t="str">
            <v/>
          </cell>
          <cell r="AB692" t="str">
            <v>PA_4820721-CC.7004-3</v>
          </cell>
          <cell r="AC692">
            <v>1</v>
          </cell>
          <cell r="AD692" t="str">
            <v/>
          </cell>
          <cell r="AE692">
            <v>0</v>
          </cell>
          <cell r="AF692" t="str">
            <v/>
          </cell>
          <cell r="AG692" t="str">
            <v>12575425</v>
          </cell>
          <cell r="AH692">
            <v>44683.886597222219</v>
          </cell>
          <cell r="AI692" t="str">
            <v>N52</v>
          </cell>
          <cell r="AJ692" t="str">
            <v>F</v>
          </cell>
          <cell r="AK692" t="str">
            <v>A</v>
          </cell>
        </row>
        <row r="693">
          <cell r="A693" t="str">
            <v>12560897829051</v>
          </cell>
          <cell r="B693" t="e">
            <v>#N/A</v>
          </cell>
          <cell r="C693">
            <v>7</v>
          </cell>
          <cell r="D693" t="str">
            <v>EK65</v>
          </cell>
          <cell r="E693" t="str">
            <v>566928</v>
          </cell>
          <cell r="F693" t="str">
            <v>E</v>
          </cell>
          <cell r="G693" t="str">
            <v>12560897</v>
          </cell>
          <cell r="H693" t="str">
            <v>Haltewinkel</v>
          </cell>
          <cell r="I693">
            <v>182</v>
          </cell>
          <cell r="J693" t="str">
            <v>Stk</v>
          </cell>
          <cell r="K693">
            <v>45315</v>
          </cell>
          <cell r="L693" t="str">
            <v>829051</v>
          </cell>
          <cell r="M693" t="str">
            <v/>
          </cell>
          <cell r="N693" t="str">
            <v/>
          </cell>
          <cell r="O693" t="str">
            <v/>
          </cell>
          <cell r="P693" t="str">
            <v/>
          </cell>
          <cell r="Q693" t="str">
            <v/>
          </cell>
          <cell r="R693" t="str">
            <v/>
          </cell>
          <cell r="S693" t="str">
            <v/>
          </cell>
          <cell r="T693" t="str">
            <v/>
          </cell>
          <cell r="U693" t="str">
            <v/>
          </cell>
          <cell r="V693" t="str">
            <v>N52</v>
          </cell>
          <cell r="W693" t="str">
            <v/>
          </cell>
          <cell r="X693" t="str">
            <v/>
          </cell>
          <cell r="Y693" t="str">
            <v/>
          </cell>
          <cell r="Z693" t="str">
            <v/>
          </cell>
          <cell r="AA693" t="str">
            <v/>
          </cell>
          <cell r="AB693" t="str">
            <v>PA_4621513-TB.7004-3</v>
          </cell>
          <cell r="AC693">
            <v>1</v>
          </cell>
          <cell r="AD693" t="str">
            <v/>
          </cell>
          <cell r="AE693">
            <v>0</v>
          </cell>
          <cell r="AF693" t="str">
            <v/>
          </cell>
          <cell r="AG693" t="str">
            <v>12560897</v>
          </cell>
          <cell r="AH693">
            <v>44690.882256944446</v>
          </cell>
          <cell r="AI693" t="str">
            <v>N52</v>
          </cell>
          <cell r="AJ693" t="str">
            <v>F</v>
          </cell>
          <cell r="AK693" t="str">
            <v/>
          </cell>
        </row>
        <row r="694">
          <cell r="A694" t="str">
            <v>12560914829051</v>
          </cell>
          <cell r="B694" t="e">
            <v>#N/A</v>
          </cell>
          <cell r="C694">
            <v>7</v>
          </cell>
          <cell r="D694" t="str">
            <v>EK65</v>
          </cell>
          <cell r="E694" t="str">
            <v>566929</v>
          </cell>
          <cell r="F694" t="str">
            <v>E</v>
          </cell>
          <cell r="G694" t="str">
            <v>12560914</v>
          </cell>
          <cell r="H694" t="str">
            <v>Haltewinkel</v>
          </cell>
          <cell r="I694">
            <v>91</v>
          </cell>
          <cell r="J694" t="str">
            <v>Stk</v>
          </cell>
          <cell r="K694">
            <v>45315</v>
          </cell>
          <cell r="L694" t="str">
            <v>829051</v>
          </cell>
          <cell r="M694" t="str">
            <v/>
          </cell>
          <cell r="N694" t="str">
            <v/>
          </cell>
          <cell r="O694" t="str">
            <v/>
          </cell>
          <cell r="P694" t="str">
            <v/>
          </cell>
          <cell r="Q694" t="str">
            <v/>
          </cell>
          <cell r="R694" t="str">
            <v/>
          </cell>
          <cell r="S694" t="str">
            <v/>
          </cell>
          <cell r="T694" t="str">
            <v/>
          </cell>
          <cell r="U694" t="str">
            <v/>
          </cell>
          <cell r="V694" t="str">
            <v>N52</v>
          </cell>
          <cell r="W694" t="str">
            <v/>
          </cell>
          <cell r="X694" t="str">
            <v/>
          </cell>
          <cell r="Y694" t="str">
            <v/>
          </cell>
          <cell r="Z694" t="str">
            <v/>
          </cell>
          <cell r="AA694" t="str">
            <v/>
          </cell>
          <cell r="AB694" t="str">
            <v>PA_4624209-TB.7004-4</v>
          </cell>
          <cell r="AC694">
            <v>1</v>
          </cell>
          <cell r="AD694" t="str">
            <v/>
          </cell>
          <cell r="AE694">
            <v>0</v>
          </cell>
          <cell r="AF694" t="str">
            <v/>
          </cell>
          <cell r="AG694" t="str">
            <v>12560914</v>
          </cell>
          <cell r="AH694">
            <v>44690.882280092592</v>
          </cell>
          <cell r="AI694" t="str">
            <v>N52</v>
          </cell>
          <cell r="AJ694" t="str">
            <v>F</v>
          </cell>
          <cell r="AK694" t="str">
            <v/>
          </cell>
        </row>
        <row r="695">
          <cell r="A695" t="str">
            <v>12560930829051</v>
          </cell>
          <cell r="B695" t="e">
            <v>#N/A</v>
          </cell>
          <cell r="C695">
            <v>7</v>
          </cell>
          <cell r="D695" t="str">
            <v>EK65</v>
          </cell>
          <cell r="E695" t="str">
            <v>566930</v>
          </cell>
          <cell r="F695" t="str">
            <v>E</v>
          </cell>
          <cell r="G695" t="str">
            <v>12560930</v>
          </cell>
          <cell r="H695" t="str">
            <v>Haltewinkel</v>
          </cell>
          <cell r="I695">
            <v>91</v>
          </cell>
          <cell r="J695" t="str">
            <v>Stk</v>
          </cell>
          <cell r="K695">
            <v>45315</v>
          </cell>
          <cell r="L695" t="str">
            <v>829051</v>
          </cell>
          <cell r="M695" t="str">
            <v/>
          </cell>
          <cell r="N695" t="str">
            <v/>
          </cell>
          <cell r="O695" t="str">
            <v/>
          </cell>
          <cell r="P695" t="str">
            <v/>
          </cell>
          <cell r="Q695" t="str">
            <v/>
          </cell>
          <cell r="R695" t="str">
            <v/>
          </cell>
          <cell r="S695" t="str">
            <v/>
          </cell>
          <cell r="T695" t="str">
            <v/>
          </cell>
          <cell r="U695" t="str">
            <v/>
          </cell>
          <cell r="V695" t="str">
            <v>N52</v>
          </cell>
          <cell r="W695" t="str">
            <v/>
          </cell>
          <cell r="X695" t="str">
            <v/>
          </cell>
          <cell r="Y695" t="str">
            <v/>
          </cell>
          <cell r="Z695" t="str">
            <v/>
          </cell>
          <cell r="AA695" t="str">
            <v/>
          </cell>
          <cell r="AB695" t="str">
            <v>PA_4624208-TB.7004-3</v>
          </cell>
          <cell r="AC695">
            <v>1</v>
          </cell>
          <cell r="AD695" t="str">
            <v/>
          </cell>
          <cell r="AE695">
            <v>0</v>
          </cell>
          <cell r="AF695" t="str">
            <v/>
          </cell>
          <cell r="AG695" t="str">
            <v>12560930</v>
          </cell>
          <cell r="AH695">
            <v>44690.882303240738</v>
          </cell>
          <cell r="AI695" t="str">
            <v>N52</v>
          </cell>
          <cell r="AJ695" t="str">
            <v>F</v>
          </cell>
          <cell r="AK695" t="str">
            <v/>
          </cell>
        </row>
        <row r="696">
          <cell r="A696" t="str">
            <v>12575028829051</v>
          </cell>
          <cell r="B696" t="str">
            <v>BL20230413-2</v>
          </cell>
          <cell r="C696">
            <v>7</v>
          </cell>
          <cell r="D696" t="str">
            <v>EK65</v>
          </cell>
          <cell r="E696" t="str">
            <v>566934</v>
          </cell>
          <cell r="F696" t="str">
            <v>E</v>
          </cell>
          <cell r="G696" t="str">
            <v>12575028</v>
          </cell>
          <cell r="H696" t="str">
            <v>Dichtkragen sp.g</v>
          </cell>
          <cell r="I696">
            <v>45</v>
          </cell>
          <cell r="J696" t="str">
            <v>Stk</v>
          </cell>
          <cell r="K696">
            <v>45331</v>
          </cell>
          <cell r="L696" t="str">
            <v>829051</v>
          </cell>
          <cell r="M696" t="str">
            <v/>
          </cell>
          <cell r="N696" t="str">
            <v/>
          </cell>
          <cell r="O696" t="str">
            <v/>
          </cell>
          <cell r="P696" t="str">
            <v/>
          </cell>
          <cell r="Q696" t="str">
            <v/>
          </cell>
          <cell r="R696" t="str">
            <v/>
          </cell>
          <cell r="S696" t="str">
            <v/>
          </cell>
          <cell r="T696" t="str">
            <v/>
          </cell>
          <cell r="U696" t="str">
            <v/>
          </cell>
          <cell r="V696" t="str">
            <v>N52</v>
          </cell>
          <cell r="W696" t="str">
            <v/>
          </cell>
          <cell r="X696" t="str">
            <v/>
          </cell>
          <cell r="Y696" t="str">
            <v/>
          </cell>
          <cell r="Z696" t="str">
            <v/>
          </cell>
          <cell r="AA696" t="str">
            <v/>
          </cell>
          <cell r="AB696" t="str">
            <v>PA_4266254-CC.7004-3</v>
          </cell>
          <cell r="AC696">
            <v>1</v>
          </cell>
          <cell r="AD696" t="str">
            <v/>
          </cell>
          <cell r="AE696">
            <v>0</v>
          </cell>
          <cell r="AF696" t="str">
            <v/>
          </cell>
          <cell r="AG696" t="str">
            <v>12575028</v>
          </cell>
          <cell r="AH696">
            <v>44690.882349537038</v>
          </cell>
          <cell r="AI696" t="str">
            <v>N52</v>
          </cell>
          <cell r="AJ696" t="str">
            <v>F</v>
          </cell>
          <cell r="AK696" t="str">
            <v>A</v>
          </cell>
        </row>
        <row r="697">
          <cell r="A697" t="str">
            <v>12575423829051</v>
          </cell>
          <cell r="B697" t="str">
            <v>BL20230413-2</v>
          </cell>
          <cell r="C697">
            <v>6</v>
          </cell>
          <cell r="D697" t="str">
            <v>EK65</v>
          </cell>
          <cell r="E697" t="str">
            <v>566935</v>
          </cell>
          <cell r="F697" t="str">
            <v>E</v>
          </cell>
          <cell r="G697" t="str">
            <v>12575423</v>
          </cell>
          <cell r="H697" t="str">
            <v>Dichtkragen w.g</v>
          </cell>
          <cell r="I697">
            <v>45</v>
          </cell>
          <cell r="J697" t="str">
            <v>Stk</v>
          </cell>
          <cell r="K697">
            <v>45331</v>
          </cell>
          <cell r="L697" t="str">
            <v>829051</v>
          </cell>
          <cell r="M697" t="str">
            <v/>
          </cell>
          <cell r="N697" t="str">
            <v/>
          </cell>
          <cell r="O697" t="str">
            <v/>
          </cell>
          <cell r="P697" t="str">
            <v/>
          </cell>
          <cell r="Q697" t="str">
            <v/>
          </cell>
          <cell r="R697" t="str">
            <v/>
          </cell>
          <cell r="S697" t="str">
            <v/>
          </cell>
          <cell r="T697" t="str">
            <v/>
          </cell>
          <cell r="U697" t="str">
            <v/>
          </cell>
          <cell r="V697" t="str">
            <v>N52</v>
          </cell>
          <cell r="W697" t="str">
            <v/>
          </cell>
          <cell r="X697" t="str">
            <v/>
          </cell>
          <cell r="Y697" t="str">
            <v/>
          </cell>
          <cell r="Z697" t="str">
            <v/>
          </cell>
          <cell r="AA697" t="str">
            <v/>
          </cell>
          <cell r="AB697" t="str">
            <v>PA_4820721-CC.7004-3</v>
          </cell>
          <cell r="AC697">
            <v>1</v>
          </cell>
          <cell r="AD697" t="str">
            <v/>
          </cell>
          <cell r="AE697">
            <v>0</v>
          </cell>
          <cell r="AF697" t="str">
            <v/>
          </cell>
          <cell r="AG697" t="str">
            <v>12575423</v>
          </cell>
          <cell r="AH697">
            <v>44690.882361111115</v>
          </cell>
          <cell r="AI697" t="str">
            <v>N52</v>
          </cell>
          <cell r="AJ697" t="str">
            <v>F</v>
          </cell>
          <cell r="AK697" t="str">
            <v>A</v>
          </cell>
        </row>
        <row r="698">
          <cell r="A698" t="str">
            <v>12550933829051</v>
          </cell>
          <cell r="B698" t="str">
            <v>BL20230413-2</v>
          </cell>
          <cell r="C698">
            <v>6</v>
          </cell>
          <cell r="D698" t="str">
            <v>EK65</v>
          </cell>
          <cell r="E698" t="str">
            <v>571881</v>
          </cell>
          <cell r="F698" t="str">
            <v>E</v>
          </cell>
          <cell r="G698" t="str">
            <v>12550933</v>
          </cell>
          <cell r="H698" t="str">
            <v>Halter vollst.</v>
          </cell>
          <cell r="I698">
            <v>45</v>
          </cell>
          <cell r="J698" t="str">
            <v>Stk</v>
          </cell>
          <cell r="K698">
            <v>45331</v>
          </cell>
          <cell r="L698" t="str">
            <v>829051</v>
          </cell>
          <cell r="M698" t="str">
            <v/>
          </cell>
          <cell r="N698" t="str">
            <v/>
          </cell>
          <cell r="O698" t="str">
            <v/>
          </cell>
          <cell r="P698" t="str">
            <v/>
          </cell>
          <cell r="Q698" t="str">
            <v/>
          </cell>
          <cell r="R698" t="str">
            <v/>
          </cell>
          <cell r="S698" t="str">
            <v/>
          </cell>
          <cell r="T698" t="str">
            <v/>
          </cell>
          <cell r="U698" t="str">
            <v/>
          </cell>
          <cell r="V698" t="str">
            <v>N38</v>
          </cell>
          <cell r="W698" t="str">
            <v/>
          </cell>
          <cell r="X698" t="str">
            <v/>
          </cell>
          <cell r="Y698" t="str">
            <v/>
          </cell>
          <cell r="Z698" t="str">
            <v/>
          </cell>
          <cell r="AA698" t="str">
            <v/>
          </cell>
          <cell r="AB698" t="str">
            <v>PA_4507306-QE.7004-4</v>
          </cell>
          <cell r="AC698">
            <v>1</v>
          </cell>
          <cell r="AD698" t="str">
            <v/>
          </cell>
          <cell r="AE698">
            <v>0</v>
          </cell>
          <cell r="AF698" t="str">
            <v/>
          </cell>
          <cell r="AG698" t="str">
            <v>12550933</v>
          </cell>
          <cell r="AH698">
            <v>44692.966944444444</v>
          </cell>
          <cell r="AI698" t="str">
            <v>N38</v>
          </cell>
          <cell r="AJ698" t="str">
            <v>F</v>
          </cell>
          <cell r="AK698" t="str">
            <v/>
          </cell>
        </row>
        <row r="699">
          <cell r="A699" t="str">
            <v>12551126829051</v>
          </cell>
          <cell r="B699" t="e">
            <v>#N/A</v>
          </cell>
          <cell r="C699">
            <v>6</v>
          </cell>
          <cell r="D699" t="str">
            <v>EK65</v>
          </cell>
          <cell r="E699" t="str">
            <v>571882</v>
          </cell>
          <cell r="F699" t="str">
            <v>E</v>
          </cell>
          <cell r="G699" t="str">
            <v>12551126</v>
          </cell>
          <cell r="H699" t="str">
            <v>Halter</v>
          </cell>
          <cell r="I699">
            <v>90</v>
          </cell>
          <cell r="J699" t="str">
            <v>Stk</v>
          </cell>
          <cell r="K699">
            <v>45328</v>
          </cell>
          <cell r="L699" t="str">
            <v>829051</v>
          </cell>
          <cell r="M699" t="str">
            <v/>
          </cell>
          <cell r="N699" t="str">
            <v/>
          </cell>
          <cell r="O699" t="str">
            <v/>
          </cell>
          <cell r="P699" t="str">
            <v/>
          </cell>
          <cell r="Q699" t="str">
            <v/>
          </cell>
          <cell r="R699" t="str">
            <v/>
          </cell>
          <cell r="S699" t="str">
            <v/>
          </cell>
          <cell r="T699" t="str">
            <v/>
          </cell>
          <cell r="U699" t="str">
            <v/>
          </cell>
          <cell r="V699" t="str">
            <v>N38</v>
          </cell>
          <cell r="W699" t="str">
            <v/>
          </cell>
          <cell r="X699" t="str">
            <v/>
          </cell>
          <cell r="Y699" t="str">
            <v/>
          </cell>
          <cell r="Z699" t="str">
            <v/>
          </cell>
          <cell r="AA699" t="str">
            <v/>
          </cell>
          <cell r="AB699" t="str">
            <v>PA_4630403-QE.7004-2</v>
          </cell>
          <cell r="AC699">
            <v>1</v>
          </cell>
          <cell r="AD699" t="str">
            <v/>
          </cell>
          <cell r="AE699">
            <v>0</v>
          </cell>
          <cell r="AF699" t="str">
            <v/>
          </cell>
          <cell r="AG699" t="str">
            <v>12551126</v>
          </cell>
          <cell r="AH699">
            <v>44692.967083333337</v>
          </cell>
          <cell r="AI699" t="str">
            <v>N38</v>
          </cell>
          <cell r="AJ699" t="str">
            <v>F</v>
          </cell>
          <cell r="AK699" t="str">
            <v/>
          </cell>
        </row>
        <row r="700">
          <cell r="A700" t="str">
            <v>12551127829051</v>
          </cell>
          <cell r="B700" t="e">
            <v>#N/A</v>
          </cell>
          <cell r="C700">
            <v>6</v>
          </cell>
          <cell r="D700" t="str">
            <v>EK65</v>
          </cell>
          <cell r="E700" t="str">
            <v>571883</v>
          </cell>
          <cell r="F700" t="str">
            <v>E</v>
          </cell>
          <cell r="G700" t="str">
            <v>12551127</v>
          </cell>
          <cell r="H700" t="str">
            <v>Halter</v>
          </cell>
          <cell r="I700">
            <v>90</v>
          </cell>
          <cell r="J700" t="str">
            <v>Stk</v>
          </cell>
          <cell r="K700">
            <v>45328</v>
          </cell>
          <cell r="L700" t="str">
            <v>829051</v>
          </cell>
          <cell r="M700" t="str">
            <v/>
          </cell>
          <cell r="N700" t="str">
            <v/>
          </cell>
          <cell r="O700" t="str">
            <v/>
          </cell>
          <cell r="P700" t="str">
            <v/>
          </cell>
          <cell r="Q700" t="str">
            <v/>
          </cell>
          <cell r="R700" t="str">
            <v/>
          </cell>
          <cell r="S700" t="str">
            <v/>
          </cell>
          <cell r="T700" t="str">
            <v/>
          </cell>
          <cell r="U700" t="str">
            <v/>
          </cell>
          <cell r="V700" t="str">
            <v>N38</v>
          </cell>
          <cell r="W700" t="str">
            <v/>
          </cell>
          <cell r="X700" t="str">
            <v/>
          </cell>
          <cell r="Y700" t="str">
            <v/>
          </cell>
          <cell r="Z700" t="str">
            <v/>
          </cell>
          <cell r="AA700" t="str">
            <v/>
          </cell>
          <cell r="AB700" t="str">
            <v>PA_4628399-QE.7004-2</v>
          </cell>
          <cell r="AC700">
            <v>1</v>
          </cell>
          <cell r="AD700" t="str">
            <v/>
          </cell>
          <cell r="AE700">
            <v>0</v>
          </cell>
          <cell r="AF700" t="str">
            <v/>
          </cell>
          <cell r="AG700" t="str">
            <v>12551127</v>
          </cell>
          <cell r="AH700">
            <v>44692.967106481483</v>
          </cell>
          <cell r="AI700" t="str">
            <v>N38</v>
          </cell>
          <cell r="AJ700" t="str">
            <v>F</v>
          </cell>
          <cell r="AK700" t="str">
            <v/>
          </cell>
        </row>
        <row r="701">
          <cell r="A701" t="str">
            <v>12551169829051</v>
          </cell>
          <cell r="B701" t="e">
            <v>#N/A</v>
          </cell>
          <cell r="C701">
            <v>6</v>
          </cell>
          <cell r="D701" t="str">
            <v>EK65</v>
          </cell>
          <cell r="E701" t="str">
            <v>571884</v>
          </cell>
          <cell r="F701" t="str">
            <v>E</v>
          </cell>
          <cell r="G701" t="str">
            <v>12551169</v>
          </cell>
          <cell r="H701" t="str">
            <v>Abdeckblech</v>
          </cell>
          <cell r="I701">
            <v>90</v>
          </cell>
          <cell r="J701" t="str">
            <v>Stk</v>
          </cell>
          <cell r="K701">
            <v>45328</v>
          </cell>
          <cell r="L701" t="str">
            <v>829051</v>
          </cell>
          <cell r="M701" t="str">
            <v/>
          </cell>
          <cell r="N701" t="str">
            <v/>
          </cell>
          <cell r="O701" t="str">
            <v/>
          </cell>
          <cell r="P701" t="str">
            <v/>
          </cell>
          <cell r="Q701" t="str">
            <v/>
          </cell>
          <cell r="R701" t="str">
            <v/>
          </cell>
          <cell r="S701" t="str">
            <v/>
          </cell>
          <cell r="T701" t="str">
            <v/>
          </cell>
          <cell r="U701" t="str">
            <v/>
          </cell>
          <cell r="V701" t="str">
            <v>N38</v>
          </cell>
          <cell r="W701" t="str">
            <v/>
          </cell>
          <cell r="X701" t="str">
            <v/>
          </cell>
          <cell r="Y701" t="str">
            <v/>
          </cell>
          <cell r="Z701" t="str">
            <v/>
          </cell>
          <cell r="AA701" t="str">
            <v/>
          </cell>
          <cell r="AB701" t="str">
            <v>PA_2344749-QE.7004-4</v>
          </cell>
          <cell r="AC701">
            <v>1</v>
          </cell>
          <cell r="AD701" t="str">
            <v/>
          </cell>
          <cell r="AE701">
            <v>0</v>
          </cell>
          <cell r="AF701" t="str">
            <v/>
          </cell>
          <cell r="AG701" t="str">
            <v>12551169</v>
          </cell>
          <cell r="AH701">
            <v>44692.967256944445</v>
          </cell>
          <cell r="AI701" t="str">
            <v>N38</v>
          </cell>
          <cell r="AJ701" t="str">
            <v>F</v>
          </cell>
          <cell r="AK701" t="str">
            <v/>
          </cell>
        </row>
        <row r="702">
          <cell r="A702" t="str">
            <v>12553072829051</v>
          </cell>
          <cell r="B702" t="e">
            <v>#N/A</v>
          </cell>
          <cell r="C702">
            <v>6</v>
          </cell>
          <cell r="D702" t="str">
            <v>EK65</v>
          </cell>
          <cell r="E702" t="str">
            <v>571885</v>
          </cell>
          <cell r="F702" t="str">
            <v>E</v>
          </cell>
          <cell r="G702" t="str">
            <v>12553072</v>
          </cell>
          <cell r="H702" t="str">
            <v>Winkel sp.g.</v>
          </cell>
          <cell r="I702">
            <v>91</v>
          </cell>
          <cell r="J702" t="str">
            <v>Stk</v>
          </cell>
          <cell r="K702">
            <v>45329</v>
          </cell>
          <cell r="L702" t="str">
            <v>829051</v>
          </cell>
          <cell r="M702" t="str">
            <v/>
          </cell>
          <cell r="N702" t="str">
            <v/>
          </cell>
          <cell r="O702" t="str">
            <v/>
          </cell>
          <cell r="P702" t="str">
            <v/>
          </cell>
          <cell r="Q702" t="str">
            <v/>
          </cell>
          <cell r="R702" t="str">
            <v/>
          </cell>
          <cell r="S702" t="str">
            <v/>
          </cell>
          <cell r="T702" t="str">
            <v/>
          </cell>
          <cell r="U702" t="str">
            <v/>
          </cell>
          <cell r="V702" t="str">
            <v>N52</v>
          </cell>
          <cell r="W702" t="str">
            <v/>
          </cell>
          <cell r="X702" t="str">
            <v/>
          </cell>
          <cell r="Y702" t="str">
            <v/>
          </cell>
          <cell r="Z702" t="str">
            <v/>
          </cell>
          <cell r="AA702" t="str">
            <v/>
          </cell>
          <cell r="AB702" t="str">
            <v>PA_4562512-DC.7004-3</v>
          </cell>
          <cell r="AC702">
            <v>1</v>
          </cell>
          <cell r="AD702" t="str">
            <v/>
          </cell>
          <cell r="AE702">
            <v>0</v>
          </cell>
          <cell r="AF702" t="str">
            <v/>
          </cell>
          <cell r="AG702" t="str">
            <v>12553072</v>
          </cell>
          <cell r="AH702">
            <v>44692.968217592592</v>
          </cell>
          <cell r="AI702" t="str">
            <v>N52</v>
          </cell>
          <cell r="AJ702" t="str">
            <v>F</v>
          </cell>
          <cell r="AK702" t="str">
            <v/>
          </cell>
        </row>
        <row r="703">
          <cell r="A703" t="str">
            <v>12555310829051</v>
          </cell>
          <cell r="B703" t="e">
            <v>#N/A</v>
          </cell>
          <cell r="C703">
            <v>7</v>
          </cell>
          <cell r="D703" t="str">
            <v>EK65</v>
          </cell>
          <cell r="E703" t="str">
            <v>571886</v>
          </cell>
          <cell r="F703" t="str">
            <v>E</v>
          </cell>
          <cell r="G703" t="str">
            <v>12555310</v>
          </cell>
          <cell r="H703" t="str">
            <v>Winkel</v>
          </cell>
          <cell r="I703">
            <v>181</v>
          </cell>
          <cell r="J703" t="str">
            <v>Stk</v>
          </cell>
          <cell r="K703">
            <v>45329</v>
          </cell>
          <cell r="L703" t="str">
            <v>829051</v>
          </cell>
          <cell r="M703" t="str">
            <v/>
          </cell>
          <cell r="N703" t="str">
            <v/>
          </cell>
          <cell r="O703" t="str">
            <v/>
          </cell>
          <cell r="P703" t="str">
            <v/>
          </cell>
          <cell r="Q703" t="str">
            <v/>
          </cell>
          <cell r="R703" t="str">
            <v/>
          </cell>
          <cell r="S703" t="str">
            <v/>
          </cell>
          <cell r="T703" t="str">
            <v/>
          </cell>
          <cell r="U703" t="str">
            <v/>
          </cell>
          <cell r="V703" t="str">
            <v>N52</v>
          </cell>
          <cell r="W703" t="str">
            <v/>
          </cell>
          <cell r="X703" t="str">
            <v/>
          </cell>
          <cell r="Y703" t="str">
            <v/>
          </cell>
          <cell r="Z703" t="str">
            <v/>
          </cell>
          <cell r="AA703" t="str">
            <v/>
          </cell>
          <cell r="AB703" t="str">
            <v>PA_4616975-DC.7004-3</v>
          </cell>
          <cell r="AC703">
            <v>1</v>
          </cell>
          <cell r="AD703" t="str">
            <v/>
          </cell>
          <cell r="AE703">
            <v>0</v>
          </cell>
          <cell r="AF703" t="str">
            <v/>
          </cell>
          <cell r="AG703" t="str">
            <v>12555310</v>
          </cell>
          <cell r="AH703">
            <v>44692.969131944446</v>
          </cell>
          <cell r="AI703" t="str">
            <v>N52</v>
          </cell>
          <cell r="AJ703" t="str">
            <v>F</v>
          </cell>
          <cell r="AK703" t="str">
            <v/>
          </cell>
        </row>
        <row r="704">
          <cell r="A704" t="str">
            <v>12558807829051</v>
          </cell>
          <cell r="B704" t="e">
            <v>#N/A</v>
          </cell>
          <cell r="C704" t="e">
            <v>#N/A</v>
          </cell>
          <cell r="D704" t="str">
            <v>EK65</v>
          </cell>
          <cell r="E704" t="str">
            <v>571887</v>
          </cell>
          <cell r="F704" t="str">
            <v>E</v>
          </cell>
          <cell r="G704" t="str">
            <v>12558807</v>
          </cell>
          <cell r="H704" t="str">
            <v>Schottplatte vollst.</v>
          </cell>
          <cell r="I704">
            <v>90</v>
          </cell>
          <cell r="J704" t="str">
            <v>Stk</v>
          </cell>
          <cell r="K704">
            <v>45323</v>
          </cell>
          <cell r="L704" t="str">
            <v>829051</v>
          </cell>
          <cell r="M704" t="str">
            <v/>
          </cell>
          <cell r="N704" t="str">
            <v/>
          </cell>
          <cell r="O704" t="str">
            <v/>
          </cell>
          <cell r="P704" t="str">
            <v/>
          </cell>
          <cell r="Q704" t="str">
            <v/>
          </cell>
          <cell r="R704" t="str">
            <v/>
          </cell>
          <cell r="S704" t="str">
            <v/>
          </cell>
          <cell r="T704" t="str">
            <v/>
          </cell>
          <cell r="U704" t="str">
            <v/>
          </cell>
          <cell r="V704" t="str">
            <v>N38</v>
          </cell>
          <cell r="W704" t="str">
            <v/>
          </cell>
          <cell r="X704" t="str">
            <v/>
          </cell>
          <cell r="Y704" t="str">
            <v/>
          </cell>
          <cell r="Z704" t="str">
            <v/>
          </cell>
          <cell r="AA704" t="str">
            <v/>
          </cell>
          <cell r="AB704" t="str">
            <v>PA_2334735-QE.7004-3</v>
          </cell>
          <cell r="AC704">
            <v>1</v>
          </cell>
          <cell r="AD704" t="str">
            <v/>
          </cell>
          <cell r="AE704">
            <v>0</v>
          </cell>
          <cell r="AF704" t="str">
            <v/>
          </cell>
          <cell r="AG704" t="str">
            <v>12558807</v>
          </cell>
          <cell r="AH704">
            <v>44692.970925925925</v>
          </cell>
          <cell r="AI704" t="str">
            <v>N38</v>
          </cell>
          <cell r="AJ704" t="str">
            <v>F</v>
          </cell>
          <cell r="AK704" t="str">
            <v/>
          </cell>
        </row>
        <row r="705">
          <cell r="A705" t="str">
            <v>12533162829051</v>
          </cell>
          <cell r="B705" t="e">
            <v>#N/A</v>
          </cell>
          <cell r="C705">
            <v>24</v>
          </cell>
          <cell r="D705" t="str">
            <v>EK65</v>
          </cell>
          <cell r="E705" t="str">
            <v>573035</v>
          </cell>
          <cell r="F705" t="str">
            <v>E</v>
          </cell>
          <cell r="G705" t="str">
            <v>12533162</v>
          </cell>
          <cell r="H705" t="str">
            <v>Halter</v>
          </cell>
          <cell r="I705">
            <v>90</v>
          </cell>
          <cell r="J705" t="str">
            <v>Stk</v>
          </cell>
          <cell r="K705">
            <v>45322</v>
          </cell>
          <cell r="L705" t="str">
            <v>829051</v>
          </cell>
          <cell r="M705" t="str">
            <v/>
          </cell>
          <cell r="N705" t="str">
            <v/>
          </cell>
          <cell r="O705" t="str">
            <v/>
          </cell>
          <cell r="P705" t="str">
            <v/>
          </cell>
          <cell r="Q705" t="str">
            <v/>
          </cell>
          <cell r="R705" t="str">
            <v/>
          </cell>
          <cell r="S705" t="str">
            <v/>
          </cell>
          <cell r="T705" t="str">
            <v/>
          </cell>
          <cell r="U705" t="str">
            <v/>
          </cell>
          <cell r="V705" t="str">
            <v>N52</v>
          </cell>
          <cell r="W705" t="str">
            <v/>
          </cell>
          <cell r="X705" t="str">
            <v/>
          </cell>
          <cell r="Y705" t="str">
            <v/>
          </cell>
          <cell r="Z705" t="str">
            <v/>
          </cell>
          <cell r="AA705" t="str">
            <v/>
          </cell>
          <cell r="AB705" t="str">
            <v>PA_4421879-UA.7005-4</v>
          </cell>
          <cell r="AC705">
            <v>1</v>
          </cell>
          <cell r="AD705" t="str">
            <v/>
          </cell>
          <cell r="AE705">
            <v>0</v>
          </cell>
          <cell r="AF705" t="str">
            <v/>
          </cell>
          <cell r="AG705" t="str">
            <v>12533162</v>
          </cell>
          <cell r="AH705">
            <v>44693.968506944446</v>
          </cell>
          <cell r="AI705" t="str">
            <v>N52</v>
          </cell>
          <cell r="AJ705" t="str">
            <v>F</v>
          </cell>
          <cell r="AK705" t="str">
            <v>A</v>
          </cell>
        </row>
        <row r="706">
          <cell r="A706" t="str">
            <v>12533162829052</v>
          </cell>
          <cell r="B706" t="e">
            <v>#N/A</v>
          </cell>
          <cell r="C706">
            <v>24</v>
          </cell>
          <cell r="D706" t="str">
            <v>EK65</v>
          </cell>
          <cell r="E706" t="str">
            <v>573036</v>
          </cell>
          <cell r="F706" t="str">
            <v>E</v>
          </cell>
          <cell r="G706" t="str">
            <v>12533162</v>
          </cell>
          <cell r="H706" t="str">
            <v>Halter</v>
          </cell>
          <cell r="I706">
            <v>26</v>
          </cell>
          <cell r="J706" t="str">
            <v>Stk</v>
          </cell>
          <cell r="K706">
            <v>45394</v>
          </cell>
          <cell r="L706" t="str">
            <v>829052</v>
          </cell>
          <cell r="M706" t="str">
            <v/>
          </cell>
          <cell r="N706" t="str">
            <v/>
          </cell>
          <cell r="O706" t="str">
            <v/>
          </cell>
          <cell r="P706" t="str">
            <v/>
          </cell>
          <cell r="Q706" t="str">
            <v/>
          </cell>
          <cell r="R706" t="str">
            <v/>
          </cell>
          <cell r="S706" t="str">
            <v/>
          </cell>
          <cell r="T706" t="str">
            <v/>
          </cell>
          <cell r="U706" t="str">
            <v/>
          </cell>
          <cell r="V706" t="str">
            <v>N52</v>
          </cell>
          <cell r="W706" t="str">
            <v/>
          </cell>
          <cell r="X706" t="str">
            <v/>
          </cell>
          <cell r="Y706" t="str">
            <v/>
          </cell>
          <cell r="Z706" t="str">
            <v/>
          </cell>
          <cell r="AA706" t="str">
            <v/>
          </cell>
          <cell r="AB706" t="str">
            <v>PA_4421879-UA.7005-4</v>
          </cell>
          <cell r="AC706">
            <v>1</v>
          </cell>
          <cell r="AD706" t="str">
            <v/>
          </cell>
          <cell r="AE706">
            <v>0</v>
          </cell>
          <cell r="AF706" t="str">
            <v/>
          </cell>
          <cell r="AG706" t="str">
            <v>12533162</v>
          </cell>
          <cell r="AH706">
            <v>44693.968506944446</v>
          </cell>
          <cell r="AI706" t="str">
            <v>N52</v>
          </cell>
          <cell r="AJ706" t="str">
            <v>F</v>
          </cell>
          <cell r="AK706" t="str">
            <v>A</v>
          </cell>
        </row>
        <row r="707">
          <cell r="A707" t="str">
            <v>12547450829052</v>
          </cell>
          <cell r="B707" t="e">
            <v>#N/A</v>
          </cell>
          <cell r="C707">
            <v>6</v>
          </cell>
          <cell r="D707" t="str">
            <v>EK65</v>
          </cell>
          <cell r="E707" t="str">
            <v>578885</v>
          </cell>
          <cell r="F707" t="str">
            <v>E</v>
          </cell>
          <cell r="G707" t="str">
            <v>12547450</v>
          </cell>
          <cell r="H707" t="str">
            <v>Winkel</v>
          </cell>
          <cell r="I707">
            <v>124</v>
          </cell>
          <cell r="J707" t="str">
            <v>Stk</v>
          </cell>
          <cell r="K707">
            <v>45352</v>
          </cell>
          <cell r="L707" t="str">
            <v>829052</v>
          </cell>
          <cell r="M707" t="str">
            <v/>
          </cell>
          <cell r="N707" t="str">
            <v/>
          </cell>
          <cell r="O707" t="str">
            <v/>
          </cell>
          <cell r="P707" t="str">
            <v/>
          </cell>
          <cell r="Q707" t="str">
            <v/>
          </cell>
          <cell r="R707" t="str">
            <v/>
          </cell>
          <cell r="S707" t="str">
            <v/>
          </cell>
          <cell r="T707" t="str">
            <v/>
          </cell>
          <cell r="U707" t="str">
            <v/>
          </cell>
          <cell r="V707" t="str">
            <v>N52</v>
          </cell>
          <cell r="W707" t="str">
            <v/>
          </cell>
          <cell r="X707" t="str">
            <v/>
          </cell>
          <cell r="Y707" t="str">
            <v/>
          </cell>
          <cell r="Z707" t="str">
            <v/>
          </cell>
          <cell r="AA707" t="str">
            <v/>
          </cell>
          <cell r="AB707" t="str">
            <v>PA_2344740-LC.7004-3</v>
          </cell>
          <cell r="AC707">
            <v>1</v>
          </cell>
          <cell r="AD707" t="str">
            <v/>
          </cell>
          <cell r="AE707">
            <v>0</v>
          </cell>
          <cell r="AF707" t="str">
            <v/>
          </cell>
          <cell r="AG707" t="str">
            <v>12547450</v>
          </cell>
          <cell r="AH707">
            <v>44699.888807870368</v>
          </cell>
          <cell r="AI707" t="str">
            <v>N52</v>
          </cell>
          <cell r="AJ707" t="str">
            <v>F</v>
          </cell>
          <cell r="AK707" t="str">
            <v/>
          </cell>
        </row>
        <row r="708">
          <cell r="A708" t="str">
            <v>12547451829052</v>
          </cell>
          <cell r="B708" t="e">
            <v>#N/A</v>
          </cell>
          <cell r="C708">
            <v>6</v>
          </cell>
          <cell r="D708" t="str">
            <v>EK65</v>
          </cell>
          <cell r="E708" t="str">
            <v>578886</v>
          </cell>
          <cell r="F708" t="str">
            <v>E</v>
          </cell>
          <cell r="G708" t="str">
            <v>12547451</v>
          </cell>
          <cell r="H708" t="str">
            <v>Halter vollst.</v>
          </cell>
          <cell r="I708">
            <v>124</v>
          </cell>
          <cell r="J708" t="str">
            <v>Stk</v>
          </cell>
          <cell r="K708">
            <v>45352</v>
          </cell>
          <cell r="L708" t="str">
            <v>829052</v>
          </cell>
          <cell r="M708" t="str">
            <v/>
          </cell>
          <cell r="N708" t="str">
            <v/>
          </cell>
          <cell r="O708" t="str">
            <v/>
          </cell>
          <cell r="P708" t="str">
            <v/>
          </cell>
          <cell r="Q708" t="str">
            <v/>
          </cell>
          <cell r="R708" t="str">
            <v/>
          </cell>
          <cell r="S708" t="str">
            <v/>
          </cell>
          <cell r="T708" t="str">
            <v/>
          </cell>
          <cell r="U708" t="str">
            <v/>
          </cell>
          <cell r="V708" t="str">
            <v>N38</v>
          </cell>
          <cell r="W708" t="str">
            <v/>
          </cell>
          <cell r="X708" t="str">
            <v/>
          </cell>
          <cell r="Y708" t="str">
            <v/>
          </cell>
          <cell r="Z708" t="str">
            <v/>
          </cell>
          <cell r="AA708" t="str">
            <v/>
          </cell>
          <cell r="AB708" t="str">
            <v>BU_4183738-LC.7004-3</v>
          </cell>
          <cell r="AC708">
            <v>1</v>
          </cell>
          <cell r="AD708" t="str">
            <v/>
          </cell>
          <cell r="AE708">
            <v>0</v>
          </cell>
          <cell r="AF708" t="str">
            <v/>
          </cell>
          <cell r="AG708" t="str">
            <v>12547451</v>
          </cell>
          <cell r="AH708">
            <v>44699.888819444444</v>
          </cell>
          <cell r="AI708" t="str">
            <v>N38</v>
          </cell>
          <cell r="AJ708" t="str">
            <v>F</v>
          </cell>
          <cell r="AK708" t="str">
            <v/>
          </cell>
        </row>
        <row r="709">
          <cell r="A709" t="str">
            <v>12555202829051</v>
          </cell>
          <cell r="B709" t="e">
            <v>#N/A</v>
          </cell>
          <cell r="C709">
            <v>7</v>
          </cell>
          <cell r="D709" t="str">
            <v>EK65</v>
          </cell>
          <cell r="E709" t="str">
            <v>578887</v>
          </cell>
          <cell r="F709" t="str">
            <v>E</v>
          </cell>
          <cell r="G709" t="str">
            <v>12555202</v>
          </cell>
          <cell r="H709" t="str">
            <v>Halter vollst.</v>
          </cell>
          <cell r="I709">
            <v>45</v>
          </cell>
          <cell r="J709" t="str">
            <v>Stk</v>
          </cell>
          <cell r="K709">
            <v>45328</v>
          </cell>
          <cell r="L709" t="str">
            <v>829051</v>
          </cell>
          <cell r="M709" t="str">
            <v/>
          </cell>
          <cell r="N709" t="str">
            <v/>
          </cell>
          <cell r="O709" t="str">
            <v/>
          </cell>
          <cell r="P709" t="str">
            <v/>
          </cell>
          <cell r="Q709" t="str">
            <v/>
          </cell>
          <cell r="R709" t="str">
            <v/>
          </cell>
          <cell r="S709" t="str">
            <v/>
          </cell>
          <cell r="T709" t="str">
            <v/>
          </cell>
          <cell r="U709" t="str">
            <v/>
          </cell>
          <cell r="V709" t="str">
            <v>N38</v>
          </cell>
          <cell r="W709" t="str">
            <v/>
          </cell>
          <cell r="X709" t="str">
            <v/>
          </cell>
          <cell r="Y709" t="str">
            <v/>
          </cell>
          <cell r="Z709" t="str">
            <v/>
          </cell>
          <cell r="AA709" t="str">
            <v/>
          </cell>
          <cell r="AB709" t="str">
            <v>PA_4517571-QE.7004-3</v>
          </cell>
          <cell r="AC709">
            <v>1</v>
          </cell>
          <cell r="AD709" t="str">
            <v/>
          </cell>
          <cell r="AE709">
            <v>0</v>
          </cell>
          <cell r="AF709" t="str">
            <v/>
          </cell>
          <cell r="AG709" t="str">
            <v>12555202</v>
          </cell>
          <cell r="AH709">
            <v>44699.889097222222</v>
          </cell>
          <cell r="AI709" t="str">
            <v>N38</v>
          </cell>
          <cell r="AJ709" t="str">
            <v>F</v>
          </cell>
          <cell r="AK709" t="str">
            <v/>
          </cell>
        </row>
        <row r="710">
          <cell r="A710" t="str">
            <v>12507324829053</v>
          </cell>
          <cell r="B710" t="e">
            <v>#N/A</v>
          </cell>
          <cell r="C710">
            <v>14</v>
          </cell>
          <cell r="D710" t="str">
            <v>EK65</v>
          </cell>
          <cell r="E710" t="str">
            <v>579165</v>
          </cell>
          <cell r="F710" t="str">
            <v>E</v>
          </cell>
          <cell r="G710" t="str">
            <v>12507324</v>
          </cell>
          <cell r="H710" t="str">
            <v>Winkel kpl.</v>
          </cell>
          <cell r="I710">
            <v>615</v>
          </cell>
          <cell r="J710" t="str">
            <v>Stk</v>
          </cell>
          <cell r="K710">
            <v>45212</v>
          </cell>
          <cell r="L710" t="str">
            <v>829053</v>
          </cell>
          <cell r="M710" t="str">
            <v/>
          </cell>
          <cell r="N710" t="str">
            <v/>
          </cell>
          <cell r="O710" t="str">
            <v/>
          </cell>
          <cell r="P710" t="str">
            <v/>
          </cell>
          <cell r="Q710" t="str">
            <v/>
          </cell>
          <cell r="R710" t="str">
            <v/>
          </cell>
          <cell r="S710" t="str">
            <v/>
          </cell>
          <cell r="T710" t="str">
            <v/>
          </cell>
          <cell r="U710" t="str">
            <v/>
          </cell>
          <cell r="V710" t="str">
            <v>N38</v>
          </cell>
          <cell r="W710" t="str">
            <v/>
          </cell>
          <cell r="X710" t="str">
            <v/>
          </cell>
          <cell r="Y710" t="str">
            <v/>
          </cell>
          <cell r="Z710" t="str">
            <v/>
          </cell>
          <cell r="AA710" t="str">
            <v/>
          </cell>
          <cell r="AB710" t="str">
            <v>PA_4497955-CD.7005-4</v>
          </cell>
          <cell r="AC710">
            <v>1</v>
          </cell>
          <cell r="AD710" t="str">
            <v/>
          </cell>
          <cell r="AE710">
            <v>0</v>
          </cell>
          <cell r="AF710" t="str">
            <v/>
          </cell>
          <cell r="AG710" t="str">
            <v>12507324</v>
          </cell>
          <cell r="AH710">
            <v>44700.883113425924</v>
          </cell>
          <cell r="AI710" t="str">
            <v>N38</v>
          </cell>
          <cell r="AJ710" t="str">
            <v>F</v>
          </cell>
          <cell r="AK710" t="str">
            <v/>
          </cell>
        </row>
        <row r="711">
          <cell r="A711" t="str">
            <v>12507324829051</v>
          </cell>
          <cell r="B711" t="e">
            <v>#N/A</v>
          </cell>
          <cell r="C711">
            <v>14</v>
          </cell>
          <cell r="D711" t="str">
            <v>EK65</v>
          </cell>
          <cell r="E711" t="str">
            <v>579166</v>
          </cell>
          <cell r="F711" t="str">
            <v>E</v>
          </cell>
          <cell r="G711" t="str">
            <v>12507324</v>
          </cell>
          <cell r="H711" t="str">
            <v>Winkel kpl.</v>
          </cell>
          <cell r="I711">
            <v>907</v>
          </cell>
          <cell r="J711" t="str">
            <v>Stk</v>
          </cell>
          <cell r="K711">
            <v>45328</v>
          </cell>
          <cell r="L711" t="str">
            <v>829051</v>
          </cell>
          <cell r="M711" t="str">
            <v/>
          </cell>
          <cell r="N711" t="str">
            <v/>
          </cell>
          <cell r="O711" t="str">
            <v/>
          </cell>
          <cell r="P711" t="str">
            <v/>
          </cell>
          <cell r="Q711" t="str">
            <v/>
          </cell>
          <cell r="R711" t="str">
            <v/>
          </cell>
          <cell r="S711" t="str">
            <v/>
          </cell>
          <cell r="T711" t="str">
            <v/>
          </cell>
          <cell r="U711" t="str">
            <v/>
          </cell>
          <cell r="V711" t="str">
            <v>N38</v>
          </cell>
          <cell r="W711" t="str">
            <v/>
          </cell>
          <cell r="X711" t="str">
            <v/>
          </cell>
          <cell r="Y711" t="str">
            <v/>
          </cell>
          <cell r="Z711" t="str">
            <v/>
          </cell>
          <cell r="AA711" t="str">
            <v/>
          </cell>
          <cell r="AB711" t="str">
            <v>PA_4497955-CD.7005-4</v>
          </cell>
          <cell r="AC711">
            <v>1</v>
          </cell>
          <cell r="AD711" t="str">
            <v/>
          </cell>
          <cell r="AE711">
            <v>0</v>
          </cell>
          <cell r="AF711" t="str">
            <v/>
          </cell>
          <cell r="AG711" t="str">
            <v>12507324</v>
          </cell>
          <cell r="AH711">
            <v>44700.883113425924</v>
          </cell>
          <cell r="AI711" t="str">
            <v>N38</v>
          </cell>
          <cell r="AJ711" t="str">
            <v>F</v>
          </cell>
          <cell r="AK711" t="str">
            <v/>
          </cell>
        </row>
        <row r="712">
          <cell r="A712" t="str">
            <v>12517585829053</v>
          </cell>
          <cell r="B712" t="e">
            <v>#N/A</v>
          </cell>
          <cell r="C712">
            <v>24</v>
          </cell>
          <cell r="D712" t="str">
            <v>EK65</v>
          </cell>
          <cell r="E712" t="str">
            <v>579172</v>
          </cell>
          <cell r="F712" t="str">
            <v>E</v>
          </cell>
          <cell r="G712" t="str">
            <v>12517585</v>
          </cell>
          <cell r="H712" t="str">
            <v>Deckenhalter vollst.</v>
          </cell>
          <cell r="I712">
            <v>103</v>
          </cell>
          <cell r="J712" t="str">
            <v>Stk</v>
          </cell>
          <cell r="K712">
            <v>45210</v>
          </cell>
          <cell r="L712" t="str">
            <v>829053</v>
          </cell>
          <cell r="M712" t="str">
            <v/>
          </cell>
          <cell r="N712" t="str">
            <v/>
          </cell>
          <cell r="O712" t="str">
            <v/>
          </cell>
          <cell r="P712" t="str">
            <v/>
          </cell>
          <cell r="Q712" t="str">
            <v/>
          </cell>
          <cell r="R712" t="str">
            <v/>
          </cell>
          <cell r="S712" t="str">
            <v/>
          </cell>
          <cell r="T712" t="str">
            <v/>
          </cell>
          <cell r="U712" t="str">
            <v/>
          </cell>
          <cell r="V712" t="str">
            <v>N38</v>
          </cell>
          <cell r="W712" t="str">
            <v/>
          </cell>
          <cell r="X712" t="str">
            <v/>
          </cell>
          <cell r="Y712" t="str">
            <v/>
          </cell>
          <cell r="Z712" t="str">
            <v/>
          </cell>
          <cell r="AA712" t="str">
            <v/>
          </cell>
          <cell r="AB712" t="str">
            <v>PA_4355789-UA.7005-3</v>
          </cell>
          <cell r="AC712">
            <v>1</v>
          </cell>
          <cell r="AD712" t="str">
            <v/>
          </cell>
          <cell r="AE712">
            <v>0</v>
          </cell>
          <cell r="AF712" t="str">
            <v/>
          </cell>
          <cell r="AG712" t="str">
            <v>12517585</v>
          </cell>
          <cell r="AH712">
            <v>44700.886493055557</v>
          </cell>
          <cell r="AI712" t="str">
            <v>N38</v>
          </cell>
          <cell r="AJ712" t="str">
            <v>F</v>
          </cell>
          <cell r="AK712" t="str">
            <v/>
          </cell>
        </row>
        <row r="713">
          <cell r="A713" t="str">
            <v>12517585829054</v>
          </cell>
          <cell r="B713" t="e">
            <v>#N/A</v>
          </cell>
          <cell r="C713">
            <v>24</v>
          </cell>
          <cell r="D713" t="str">
            <v>EK65</v>
          </cell>
          <cell r="E713" t="str">
            <v>579173</v>
          </cell>
          <cell r="F713" t="str">
            <v>E</v>
          </cell>
          <cell r="G713" t="str">
            <v>12517585</v>
          </cell>
          <cell r="H713" t="str">
            <v>Deckenhalter vollst.</v>
          </cell>
          <cell r="I713">
            <v>72</v>
          </cell>
          <cell r="J713" t="str">
            <v>Stk</v>
          </cell>
          <cell r="K713">
            <v>45213</v>
          </cell>
          <cell r="L713" t="str">
            <v>829054</v>
          </cell>
          <cell r="M713" t="str">
            <v/>
          </cell>
          <cell r="N713" t="str">
            <v/>
          </cell>
          <cell r="O713" t="str">
            <v/>
          </cell>
          <cell r="P713" t="str">
            <v/>
          </cell>
          <cell r="Q713" t="str">
            <v/>
          </cell>
          <cell r="R713" t="str">
            <v/>
          </cell>
          <cell r="S713" t="str">
            <v/>
          </cell>
          <cell r="T713" t="str">
            <v/>
          </cell>
          <cell r="U713" t="str">
            <v/>
          </cell>
          <cell r="V713" t="str">
            <v>N38</v>
          </cell>
          <cell r="W713" t="str">
            <v/>
          </cell>
          <cell r="X713" t="str">
            <v/>
          </cell>
          <cell r="Y713" t="str">
            <v/>
          </cell>
          <cell r="Z713" t="str">
            <v/>
          </cell>
          <cell r="AA713" t="str">
            <v/>
          </cell>
          <cell r="AB713" t="str">
            <v>PA_4355789-UA.7005-3</v>
          </cell>
          <cell r="AC713">
            <v>1</v>
          </cell>
          <cell r="AD713" t="str">
            <v/>
          </cell>
          <cell r="AE713">
            <v>0</v>
          </cell>
          <cell r="AF713" t="str">
            <v/>
          </cell>
          <cell r="AG713" t="str">
            <v>12517585</v>
          </cell>
          <cell r="AH713">
            <v>44700.886493055557</v>
          </cell>
          <cell r="AI713" t="str">
            <v>N38</v>
          </cell>
          <cell r="AJ713" t="str">
            <v>F</v>
          </cell>
          <cell r="AK713" t="str">
            <v/>
          </cell>
        </row>
        <row r="714">
          <cell r="A714" t="str">
            <v>12517585829051</v>
          </cell>
          <cell r="B714" t="e">
            <v>#N/A</v>
          </cell>
          <cell r="C714">
            <v>24</v>
          </cell>
          <cell r="D714" t="str">
            <v>EK65</v>
          </cell>
          <cell r="E714" t="str">
            <v>579174</v>
          </cell>
          <cell r="F714" t="str">
            <v>E</v>
          </cell>
          <cell r="G714" t="str">
            <v>12517585</v>
          </cell>
          <cell r="H714" t="str">
            <v>Deckenhalter vollst.</v>
          </cell>
          <cell r="I714">
            <v>180</v>
          </cell>
          <cell r="J714" t="str">
            <v>Stk</v>
          </cell>
          <cell r="K714">
            <v>45328</v>
          </cell>
          <cell r="L714" t="str">
            <v>829051</v>
          </cell>
          <cell r="M714" t="str">
            <v/>
          </cell>
          <cell r="N714" t="str">
            <v/>
          </cell>
          <cell r="O714" t="str">
            <v/>
          </cell>
          <cell r="P714" t="str">
            <v/>
          </cell>
          <cell r="Q714" t="str">
            <v/>
          </cell>
          <cell r="R714" t="str">
            <v/>
          </cell>
          <cell r="S714" t="str">
            <v/>
          </cell>
          <cell r="T714" t="str">
            <v/>
          </cell>
          <cell r="U714" t="str">
            <v/>
          </cell>
          <cell r="V714" t="str">
            <v>N38</v>
          </cell>
          <cell r="W714" t="str">
            <v/>
          </cell>
          <cell r="X714" t="str">
            <v/>
          </cell>
          <cell r="Y714" t="str">
            <v/>
          </cell>
          <cell r="Z714" t="str">
            <v/>
          </cell>
          <cell r="AA714" t="str">
            <v/>
          </cell>
          <cell r="AB714" t="str">
            <v>PA_4355789-UA.7005-3</v>
          </cell>
          <cell r="AC714">
            <v>1</v>
          </cell>
          <cell r="AD714" t="str">
            <v/>
          </cell>
          <cell r="AE714">
            <v>0</v>
          </cell>
          <cell r="AF714" t="str">
            <v/>
          </cell>
          <cell r="AG714" t="str">
            <v>12517585</v>
          </cell>
          <cell r="AH714">
            <v>44700.886493055557</v>
          </cell>
          <cell r="AI714" t="str">
            <v>N38</v>
          </cell>
          <cell r="AJ714" t="str">
            <v>F</v>
          </cell>
          <cell r="AK714" t="str">
            <v/>
          </cell>
        </row>
        <row r="715">
          <cell r="A715" t="str">
            <v>12517585829052</v>
          </cell>
          <cell r="B715" t="e">
            <v>#N/A</v>
          </cell>
          <cell r="C715">
            <v>24</v>
          </cell>
          <cell r="D715" t="str">
            <v>EK65</v>
          </cell>
          <cell r="E715" t="str">
            <v>579175</v>
          </cell>
          <cell r="F715" t="str">
            <v>E</v>
          </cell>
          <cell r="G715" t="str">
            <v>12517585</v>
          </cell>
          <cell r="H715" t="str">
            <v>Deckenhalter vollst.</v>
          </cell>
          <cell r="I715">
            <v>124</v>
          </cell>
          <cell r="J715" t="str">
            <v>Stk</v>
          </cell>
          <cell r="K715">
            <v>45351</v>
          </cell>
          <cell r="L715" t="str">
            <v>829052</v>
          </cell>
          <cell r="M715" t="str">
            <v/>
          </cell>
          <cell r="N715" t="str">
            <v/>
          </cell>
          <cell r="O715" t="str">
            <v/>
          </cell>
          <cell r="P715" t="str">
            <v/>
          </cell>
          <cell r="Q715" t="str">
            <v/>
          </cell>
          <cell r="R715" t="str">
            <v/>
          </cell>
          <cell r="S715" t="str">
            <v/>
          </cell>
          <cell r="T715" t="str">
            <v/>
          </cell>
          <cell r="U715" t="str">
            <v/>
          </cell>
          <cell r="V715" t="str">
            <v>N38</v>
          </cell>
          <cell r="W715" t="str">
            <v/>
          </cell>
          <cell r="X715" t="str">
            <v/>
          </cell>
          <cell r="Y715" t="str">
            <v/>
          </cell>
          <cell r="Z715" t="str">
            <v/>
          </cell>
          <cell r="AA715" t="str">
            <v/>
          </cell>
          <cell r="AB715" t="str">
            <v>PA_4355789-UA.7005-3</v>
          </cell>
          <cell r="AC715">
            <v>1</v>
          </cell>
          <cell r="AD715" t="str">
            <v/>
          </cell>
          <cell r="AE715">
            <v>0</v>
          </cell>
          <cell r="AF715" t="str">
            <v/>
          </cell>
          <cell r="AG715" t="str">
            <v>12517585</v>
          </cell>
          <cell r="AH715">
            <v>44700.886493055557</v>
          </cell>
          <cell r="AI715" t="str">
            <v>N38</v>
          </cell>
          <cell r="AJ715" t="str">
            <v>F</v>
          </cell>
          <cell r="AK715" t="str">
            <v/>
          </cell>
        </row>
        <row r="716">
          <cell r="A716" t="str">
            <v>12529611829053</v>
          </cell>
          <cell r="B716" t="e">
            <v>#N/A</v>
          </cell>
          <cell r="C716">
            <v>14</v>
          </cell>
          <cell r="D716" t="str">
            <v>EK65</v>
          </cell>
          <cell r="E716" t="str">
            <v>579179</v>
          </cell>
          <cell r="F716" t="str">
            <v>E</v>
          </cell>
          <cell r="G716" t="str">
            <v>12529611</v>
          </cell>
          <cell r="H716" t="str">
            <v>Kabelleiste kpl.</v>
          </cell>
          <cell r="I716">
            <v>204</v>
          </cell>
          <cell r="J716" t="str">
            <v>Stk</v>
          </cell>
          <cell r="K716">
            <v>45212</v>
          </cell>
          <cell r="L716" t="str">
            <v>829053</v>
          </cell>
          <cell r="M716" t="str">
            <v/>
          </cell>
          <cell r="N716" t="str">
            <v/>
          </cell>
          <cell r="O716" t="str">
            <v/>
          </cell>
          <cell r="P716" t="str">
            <v/>
          </cell>
          <cell r="Q716" t="str">
            <v/>
          </cell>
          <cell r="R716" t="str">
            <v/>
          </cell>
          <cell r="S716" t="str">
            <v/>
          </cell>
          <cell r="T716" t="str">
            <v/>
          </cell>
          <cell r="U716" t="str">
            <v/>
          </cell>
          <cell r="V716" t="str">
            <v>N38</v>
          </cell>
          <cell r="W716" t="str">
            <v/>
          </cell>
          <cell r="X716" t="str">
            <v/>
          </cell>
          <cell r="Y716" t="str">
            <v/>
          </cell>
          <cell r="Z716" t="str">
            <v/>
          </cell>
          <cell r="AA716" t="str">
            <v/>
          </cell>
          <cell r="AB716" t="str">
            <v>PA_2343198-UA.7005-3</v>
          </cell>
          <cell r="AC716">
            <v>1</v>
          </cell>
          <cell r="AD716" t="str">
            <v/>
          </cell>
          <cell r="AE716">
            <v>0</v>
          </cell>
          <cell r="AF716" t="str">
            <v/>
          </cell>
          <cell r="AG716" t="str">
            <v>12529611</v>
          </cell>
          <cell r="AH716">
            <v>44700.892314814817</v>
          </cell>
          <cell r="AI716" t="str">
            <v>N38</v>
          </cell>
          <cell r="AJ716" t="str">
            <v>F</v>
          </cell>
          <cell r="AK716" t="str">
            <v/>
          </cell>
        </row>
        <row r="717">
          <cell r="A717" t="str">
            <v>12529611829051</v>
          </cell>
          <cell r="B717" t="str">
            <v>BL20230413-2</v>
          </cell>
          <cell r="C717">
            <v>14</v>
          </cell>
          <cell r="D717" t="str">
            <v>EK65</v>
          </cell>
          <cell r="E717" t="str">
            <v>579180</v>
          </cell>
          <cell r="F717" t="str">
            <v>E</v>
          </cell>
          <cell r="G717" t="str">
            <v>12529611</v>
          </cell>
          <cell r="H717" t="str">
            <v>Kabelleiste kpl.</v>
          </cell>
          <cell r="I717">
            <v>355</v>
          </cell>
          <cell r="J717" t="str">
            <v>Stk</v>
          </cell>
          <cell r="K717">
            <v>45336</v>
          </cell>
          <cell r="L717" t="str">
            <v>829051</v>
          </cell>
          <cell r="M717" t="str">
            <v/>
          </cell>
          <cell r="N717" t="str">
            <v/>
          </cell>
          <cell r="O717" t="str">
            <v/>
          </cell>
          <cell r="P717" t="str">
            <v/>
          </cell>
          <cell r="Q717" t="str">
            <v/>
          </cell>
          <cell r="R717" t="str">
            <v/>
          </cell>
          <cell r="S717" t="str">
            <v/>
          </cell>
          <cell r="T717" t="str">
            <v/>
          </cell>
          <cell r="U717" t="str">
            <v/>
          </cell>
          <cell r="V717" t="str">
            <v>N38</v>
          </cell>
          <cell r="W717" t="str">
            <v/>
          </cell>
          <cell r="X717" t="str">
            <v/>
          </cell>
          <cell r="Y717" t="str">
            <v/>
          </cell>
          <cell r="Z717" t="str">
            <v/>
          </cell>
          <cell r="AA717" t="str">
            <v/>
          </cell>
          <cell r="AB717" t="str">
            <v>PA_2343198-UA.7005-3</v>
          </cell>
          <cell r="AC717">
            <v>1</v>
          </cell>
          <cell r="AD717" t="str">
            <v/>
          </cell>
          <cell r="AE717">
            <v>0</v>
          </cell>
          <cell r="AF717" t="str">
            <v/>
          </cell>
          <cell r="AG717" t="str">
            <v>12529611</v>
          </cell>
          <cell r="AH717">
            <v>44700.892326388886</v>
          </cell>
          <cell r="AI717" t="str">
            <v>N38</v>
          </cell>
          <cell r="AJ717" t="str">
            <v>F</v>
          </cell>
          <cell r="AK717" t="str">
            <v/>
          </cell>
        </row>
        <row r="718">
          <cell r="A718" t="str">
            <v>12550903829051</v>
          </cell>
          <cell r="B718" t="e">
            <v>#N/A</v>
          </cell>
          <cell r="C718">
            <v>6</v>
          </cell>
          <cell r="D718" t="str">
            <v>EK65</v>
          </cell>
          <cell r="E718" t="str">
            <v>579194</v>
          </cell>
          <cell r="F718" t="str">
            <v>E</v>
          </cell>
          <cell r="G718" t="str">
            <v>12550903</v>
          </cell>
          <cell r="H718" t="str">
            <v>Halter Rohrschelle, vollst.</v>
          </cell>
          <cell r="I718">
            <v>91</v>
          </cell>
          <cell r="J718" t="str">
            <v>Stk</v>
          </cell>
          <cell r="K718">
            <v>45321</v>
          </cell>
          <cell r="L718" t="str">
            <v>829051</v>
          </cell>
          <cell r="M718" t="str">
            <v/>
          </cell>
          <cell r="N718" t="str">
            <v/>
          </cell>
          <cell r="O718" t="str">
            <v/>
          </cell>
          <cell r="P718" t="str">
            <v/>
          </cell>
          <cell r="Q718" t="str">
            <v/>
          </cell>
          <cell r="R718" t="str">
            <v/>
          </cell>
          <cell r="S718" t="str">
            <v/>
          </cell>
          <cell r="T718" t="str">
            <v/>
          </cell>
          <cell r="U718" t="str">
            <v/>
          </cell>
          <cell r="V718" t="str">
            <v>N38</v>
          </cell>
          <cell r="W718" t="str">
            <v/>
          </cell>
          <cell r="X718" t="str">
            <v/>
          </cell>
          <cell r="Y718" t="str">
            <v/>
          </cell>
          <cell r="Z718" t="str">
            <v/>
          </cell>
          <cell r="AA718" t="str">
            <v/>
          </cell>
          <cell r="AB718" t="str">
            <v>PA_4606872-QE.7004-4</v>
          </cell>
          <cell r="AC718">
            <v>1</v>
          </cell>
          <cell r="AD718" t="str">
            <v/>
          </cell>
          <cell r="AE718">
            <v>0</v>
          </cell>
          <cell r="AF718" t="str">
            <v/>
          </cell>
          <cell r="AG718" t="str">
            <v>12550903</v>
          </cell>
          <cell r="AH718">
            <v>44700.895983796298</v>
          </cell>
          <cell r="AI718" t="str">
            <v>N38</v>
          </cell>
          <cell r="AJ718" t="str">
            <v>F</v>
          </cell>
          <cell r="AK718" t="str">
            <v/>
          </cell>
        </row>
        <row r="719">
          <cell r="A719" t="str">
            <v>12550953829051</v>
          </cell>
          <cell r="B719" t="e">
            <v>#N/A</v>
          </cell>
          <cell r="C719">
            <v>6</v>
          </cell>
          <cell r="D719" t="str">
            <v>EK65</v>
          </cell>
          <cell r="E719" t="str">
            <v>579195</v>
          </cell>
          <cell r="F719" t="str">
            <v>E</v>
          </cell>
          <cell r="G719" t="str">
            <v>12550953</v>
          </cell>
          <cell r="H719" t="str">
            <v>Halter vollst.</v>
          </cell>
          <cell r="I719">
            <v>91</v>
          </cell>
          <cell r="J719" t="str">
            <v>Stk</v>
          </cell>
          <cell r="K719">
            <v>45321</v>
          </cell>
          <cell r="L719" t="str">
            <v>829051</v>
          </cell>
          <cell r="M719" t="str">
            <v/>
          </cell>
          <cell r="N719" t="str">
            <v/>
          </cell>
          <cell r="O719" t="str">
            <v/>
          </cell>
          <cell r="P719" t="str">
            <v/>
          </cell>
          <cell r="Q719" t="str">
            <v/>
          </cell>
          <cell r="R719" t="str">
            <v/>
          </cell>
          <cell r="S719" t="str">
            <v/>
          </cell>
          <cell r="T719" t="str">
            <v/>
          </cell>
          <cell r="U719" t="str">
            <v/>
          </cell>
          <cell r="V719" t="str">
            <v>N38</v>
          </cell>
          <cell r="W719" t="str">
            <v/>
          </cell>
          <cell r="X719" t="str">
            <v/>
          </cell>
          <cell r="Y719" t="str">
            <v/>
          </cell>
          <cell r="Z719" t="str">
            <v/>
          </cell>
          <cell r="AA719" t="str">
            <v/>
          </cell>
          <cell r="AB719" t="str">
            <v>PA_4505239-QE.7004-4</v>
          </cell>
          <cell r="AC719">
            <v>1</v>
          </cell>
          <cell r="AD719" t="str">
            <v/>
          </cell>
          <cell r="AE719">
            <v>0</v>
          </cell>
          <cell r="AF719" t="str">
            <v/>
          </cell>
          <cell r="AG719" t="str">
            <v>12550953</v>
          </cell>
          <cell r="AH719">
            <v>44700.896006944444</v>
          </cell>
          <cell r="AI719" t="str">
            <v>N38</v>
          </cell>
          <cell r="AJ719" t="str">
            <v>F</v>
          </cell>
          <cell r="AK719" t="str">
            <v/>
          </cell>
        </row>
        <row r="720">
          <cell r="A720" t="str">
            <v>12550970829051</v>
          </cell>
          <cell r="B720" t="e">
            <v>#N/A</v>
          </cell>
          <cell r="C720">
            <v>6</v>
          </cell>
          <cell r="D720" t="str">
            <v>EK65</v>
          </cell>
          <cell r="E720" t="str">
            <v>579196</v>
          </cell>
          <cell r="F720" t="str">
            <v>E</v>
          </cell>
          <cell r="G720" t="str">
            <v>12550970</v>
          </cell>
          <cell r="H720" t="str">
            <v>Halter vollst.</v>
          </cell>
          <cell r="I720">
            <v>91</v>
          </cell>
          <cell r="J720" t="str">
            <v>Stk</v>
          </cell>
          <cell r="K720">
            <v>45321</v>
          </cell>
          <cell r="L720" t="str">
            <v>829051</v>
          </cell>
          <cell r="M720" t="str">
            <v/>
          </cell>
          <cell r="N720" t="str">
            <v/>
          </cell>
          <cell r="O720" t="str">
            <v/>
          </cell>
          <cell r="P720" t="str">
            <v/>
          </cell>
          <cell r="Q720" t="str">
            <v/>
          </cell>
          <cell r="R720" t="str">
            <v/>
          </cell>
          <cell r="S720" t="str">
            <v/>
          </cell>
          <cell r="T720" t="str">
            <v/>
          </cell>
          <cell r="U720" t="str">
            <v/>
          </cell>
          <cell r="V720" t="str">
            <v>N38</v>
          </cell>
          <cell r="W720" t="str">
            <v/>
          </cell>
          <cell r="X720" t="str">
            <v/>
          </cell>
          <cell r="Y720" t="str">
            <v/>
          </cell>
          <cell r="Z720" t="str">
            <v/>
          </cell>
          <cell r="AA720" t="str">
            <v/>
          </cell>
          <cell r="AB720" t="str">
            <v>PA_4502778-QE.7004-3</v>
          </cell>
          <cell r="AC720">
            <v>1</v>
          </cell>
          <cell r="AD720" t="str">
            <v/>
          </cell>
          <cell r="AE720">
            <v>0</v>
          </cell>
          <cell r="AF720" t="str">
            <v/>
          </cell>
          <cell r="AG720" t="str">
            <v>12550970</v>
          </cell>
          <cell r="AH720">
            <v>44700.89603009259</v>
          </cell>
          <cell r="AI720" t="str">
            <v>N38</v>
          </cell>
          <cell r="AJ720" t="str">
            <v>F</v>
          </cell>
          <cell r="AK720" t="str">
            <v/>
          </cell>
        </row>
        <row r="721">
          <cell r="A721" t="str">
            <v>12556039829051</v>
          </cell>
          <cell r="B721" t="str">
            <v>BL20230413-2</v>
          </cell>
          <cell r="C721">
            <v>7</v>
          </cell>
          <cell r="D721" t="str">
            <v>EK65</v>
          </cell>
          <cell r="E721" t="str">
            <v>579792</v>
          </cell>
          <cell r="F721" t="str">
            <v>E</v>
          </cell>
          <cell r="G721" t="str">
            <v>12556039</v>
          </cell>
          <cell r="H721" t="str">
            <v>Distanzplatte 0.5mm</v>
          </cell>
          <cell r="I721">
            <v>90</v>
          </cell>
          <cell r="J721" t="str">
            <v>Stk</v>
          </cell>
          <cell r="K721">
            <v>45336</v>
          </cell>
          <cell r="L721" t="str">
            <v>829051</v>
          </cell>
          <cell r="M721" t="str">
            <v/>
          </cell>
          <cell r="N721" t="str">
            <v/>
          </cell>
          <cell r="O721" t="str">
            <v/>
          </cell>
          <cell r="P721" t="str">
            <v/>
          </cell>
          <cell r="Q721" t="str">
            <v/>
          </cell>
          <cell r="R721" t="str">
            <v/>
          </cell>
          <cell r="S721" t="str">
            <v/>
          </cell>
          <cell r="T721" t="str">
            <v/>
          </cell>
          <cell r="U721" t="str">
            <v/>
          </cell>
          <cell r="V721" t="str">
            <v>N52</v>
          </cell>
          <cell r="W721" t="str">
            <v/>
          </cell>
          <cell r="X721" t="str">
            <v/>
          </cell>
          <cell r="Y721" t="str">
            <v/>
          </cell>
          <cell r="Z721" t="str">
            <v/>
          </cell>
          <cell r="AA721" t="str">
            <v/>
          </cell>
          <cell r="AB721" t="str">
            <v>PA_4629717-DC.7004-4</v>
          </cell>
          <cell r="AC721">
            <v>1</v>
          </cell>
          <cell r="AD721" t="str">
            <v/>
          </cell>
          <cell r="AE721">
            <v>0</v>
          </cell>
          <cell r="AF721" t="str">
            <v/>
          </cell>
          <cell r="AG721" t="str">
            <v>12556039</v>
          </cell>
          <cell r="AH721">
            <v>44704.887638888889</v>
          </cell>
          <cell r="AI721" t="str">
            <v>N52</v>
          </cell>
          <cell r="AJ721" t="str">
            <v>F</v>
          </cell>
          <cell r="AK721" t="str">
            <v/>
          </cell>
        </row>
        <row r="722">
          <cell r="A722" t="str">
            <v>12553167829052</v>
          </cell>
          <cell r="B722" t="e">
            <v>#N/A</v>
          </cell>
          <cell r="C722">
            <v>6</v>
          </cell>
          <cell r="D722" t="str">
            <v>EK65</v>
          </cell>
          <cell r="E722" t="str">
            <v>580399</v>
          </cell>
          <cell r="F722" t="str">
            <v>E</v>
          </cell>
          <cell r="G722" t="str">
            <v>12553167</v>
          </cell>
          <cell r="H722" t="str">
            <v>Halter</v>
          </cell>
          <cell r="I722">
            <v>125</v>
          </cell>
          <cell r="J722" t="str">
            <v>Stk</v>
          </cell>
          <cell r="K722">
            <v>45359</v>
          </cell>
          <cell r="L722" t="str">
            <v>829052</v>
          </cell>
          <cell r="M722" t="str">
            <v/>
          </cell>
          <cell r="N722" t="str">
            <v/>
          </cell>
          <cell r="O722" t="str">
            <v/>
          </cell>
          <cell r="P722" t="str">
            <v/>
          </cell>
          <cell r="Q722" t="str">
            <v/>
          </cell>
          <cell r="R722" t="str">
            <v/>
          </cell>
          <cell r="S722" t="str">
            <v/>
          </cell>
          <cell r="T722" t="str">
            <v/>
          </cell>
          <cell r="U722" t="str">
            <v/>
          </cell>
          <cell r="V722" t="str">
            <v>N52</v>
          </cell>
          <cell r="W722" t="str">
            <v/>
          </cell>
          <cell r="X722" t="str">
            <v/>
          </cell>
          <cell r="Y722" t="str">
            <v/>
          </cell>
          <cell r="Z722" t="str">
            <v/>
          </cell>
          <cell r="AA722" t="str">
            <v/>
          </cell>
          <cell r="AB722" t="str">
            <v>PA_4511424-DC.7004-3</v>
          </cell>
          <cell r="AC722">
            <v>1</v>
          </cell>
          <cell r="AD722" t="str">
            <v/>
          </cell>
          <cell r="AE722">
            <v>0</v>
          </cell>
          <cell r="AF722" t="str">
            <v/>
          </cell>
          <cell r="AG722" t="str">
            <v>12553167</v>
          </cell>
          <cell r="AH722">
            <v>44706.888761574075</v>
          </cell>
          <cell r="AI722" t="str">
            <v>N52</v>
          </cell>
          <cell r="AJ722" t="str">
            <v>F</v>
          </cell>
          <cell r="AK722" t="str">
            <v/>
          </cell>
        </row>
        <row r="723">
          <cell r="A723" t="str">
            <v>12553162829052</v>
          </cell>
          <cell r="B723" t="e">
            <v>#N/A</v>
          </cell>
          <cell r="C723">
            <v>6</v>
          </cell>
          <cell r="D723" t="str">
            <v>EK65</v>
          </cell>
          <cell r="E723" t="str">
            <v>581075</v>
          </cell>
          <cell r="F723" t="str">
            <v>E</v>
          </cell>
          <cell r="G723" t="str">
            <v>12553162</v>
          </cell>
          <cell r="H723" t="str">
            <v>Winkel w.g.</v>
          </cell>
          <cell r="I723">
            <v>64</v>
          </cell>
          <cell r="J723" t="str">
            <v>Stk</v>
          </cell>
          <cell r="K723">
            <v>45359</v>
          </cell>
          <cell r="L723" t="str">
            <v>829052</v>
          </cell>
          <cell r="M723" t="str">
            <v/>
          </cell>
          <cell r="N723" t="str">
            <v/>
          </cell>
          <cell r="O723" t="str">
            <v/>
          </cell>
          <cell r="P723" t="str">
            <v/>
          </cell>
          <cell r="Q723" t="str">
            <v/>
          </cell>
          <cell r="R723" t="str">
            <v/>
          </cell>
          <cell r="S723" t="str">
            <v/>
          </cell>
          <cell r="T723" t="str">
            <v/>
          </cell>
          <cell r="U723" t="str">
            <v/>
          </cell>
          <cell r="V723" t="str">
            <v>N52</v>
          </cell>
          <cell r="W723" t="str">
            <v/>
          </cell>
          <cell r="X723" t="str">
            <v/>
          </cell>
          <cell r="Y723" t="str">
            <v/>
          </cell>
          <cell r="Z723" t="str">
            <v/>
          </cell>
          <cell r="AA723" t="str">
            <v/>
          </cell>
          <cell r="AB723" t="str">
            <v>PA_4413570-DC.7004-3</v>
          </cell>
          <cell r="AC723">
            <v>1</v>
          </cell>
          <cell r="AD723" t="str">
            <v/>
          </cell>
          <cell r="AE723">
            <v>0</v>
          </cell>
          <cell r="AF723" t="str">
            <v/>
          </cell>
          <cell r="AG723" t="str">
            <v>12553162</v>
          </cell>
          <cell r="AH723">
            <v>44712.887048611112</v>
          </cell>
          <cell r="AI723" t="str">
            <v>N52</v>
          </cell>
          <cell r="AJ723" t="str">
            <v>F</v>
          </cell>
          <cell r="AK723" t="str">
            <v/>
          </cell>
        </row>
        <row r="724">
          <cell r="A724" t="str">
            <v>12527123829052</v>
          </cell>
          <cell r="B724" t="e">
            <v>#N/A</v>
          </cell>
          <cell r="C724">
            <v>8</v>
          </cell>
          <cell r="D724" t="str">
            <v>EK65</v>
          </cell>
          <cell r="E724" t="str">
            <v>586440</v>
          </cell>
          <cell r="F724" t="str">
            <v>E</v>
          </cell>
          <cell r="G724" t="str">
            <v>12527123</v>
          </cell>
          <cell r="H724" t="str">
            <v>J-Dehnhuelse ID 10,5 AD 25 H13</v>
          </cell>
          <cell r="I724">
            <v>2254</v>
          </cell>
          <cell r="J724" t="str">
            <v>Stk</v>
          </cell>
          <cell r="K724">
            <v>45199</v>
          </cell>
          <cell r="L724" t="str">
            <v>829052</v>
          </cell>
          <cell r="M724" t="str">
            <v/>
          </cell>
          <cell r="N724" t="str">
            <v/>
          </cell>
          <cell r="O724" t="str">
            <v/>
          </cell>
          <cell r="P724" t="str">
            <v/>
          </cell>
          <cell r="Q724" t="str">
            <v/>
          </cell>
          <cell r="R724" t="str">
            <v/>
          </cell>
          <cell r="S724" t="str">
            <v/>
          </cell>
          <cell r="T724" t="str">
            <v/>
          </cell>
          <cell r="U724" t="str">
            <v/>
          </cell>
          <cell r="V724" t="str">
            <v>N35</v>
          </cell>
          <cell r="W724" t="str">
            <v/>
          </cell>
          <cell r="X724" t="str">
            <v/>
          </cell>
          <cell r="Y724" t="str">
            <v/>
          </cell>
          <cell r="Z724" t="str">
            <v/>
          </cell>
          <cell r="AA724" t="str">
            <v/>
          </cell>
          <cell r="AB724" t="str">
            <v>PA_4583495-NB.7004-4</v>
          </cell>
          <cell r="AC724">
            <v>4</v>
          </cell>
          <cell r="AD724" t="str">
            <v/>
          </cell>
          <cell r="AE724">
            <v>0</v>
          </cell>
          <cell r="AF724" t="str">
            <v/>
          </cell>
          <cell r="AG724" t="str">
            <v>12527123</v>
          </cell>
          <cell r="AH724">
            <v>44721.941134259258</v>
          </cell>
          <cell r="AI724" t="str">
            <v>N35</v>
          </cell>
          <cell r="AJ724" t="str">
            <v>F</v>
          </cell>
          <cell r="AK724" t="str">
            <v/>
          </cell>
        </row>
        <row r="725">
          <cell r="A725" t="str">
            <v>12527123829051</v>
          </cell>
          <cell r="B725" t="e">
            <v>#N/A</v>
          </cell>
          <cell r="C725">
            <v>8</v>
          </cell>
          <cell r="D725" t="str">
            <v>EK65</v>
          </cell>
          <cell r="E725" t="str">
            <v>586441</v>
          </cell>
          <cell r="F725" t="str">
            <v>E</v>
          </cell>
          <cell r="G725" t="str">
            <v>12527123</v>
          </cell>
          <cell r="H725" t="str">
            <v>J-Dehnhuelse ID 10,5 AD 25 H13</v>
          </cell>
          <cell r="I725">
            <v>4723</v>
          </cell>
          <cell r="J725" t="str">
            <v>Stk</v>
          </cell>
          <cell r="K725">
            <v>45321</v>
          </cell>
          <cell r="L725" t="str">
            <v>829051</v>
          </cell>
          <cell r="M725" t="str">
            <v/>
          </cell>
          <cell r="N725" t="str">
            <v/>
          </cell>
          <cell r="O725" t="str">
            <v/>
          </cell>
          <cell r="P725" t="str">
            <v/>
          </cell>
          <cell r="Q725" t="str">
            <v/>
          </cell>
          <cell r="R725" t="str">
            <v/>
          </cell>
          <cell r="S725" t="str">
            <v/>
          </cell>
          <cell r="T725" t="str">
            <v/>
          </cell>
          <cell r="U725" t="str">
            <v/>
          </cell>
          <cell r="V725" t="str">
            <v>N35</v>
          </cell>
          <cell r="W725" t="str">
            <v/>
          </cell>
          <cell r="X725" t="str">
            <v/>
          </cell>
          <cell r="Y725" t="str">
            <v/>
          </cell>
          <cell r="Z725" t="str">
            <v/>
          </cell>
          <cell r="AA725" t="str">
            <v/>
          </cell>
          <cell r="AB725" t="str">
            <v>PA_4583495-NB.7004-4</v>
          </cell>
          <cell r="AC725">
            <v>4</v>
          </cell>
          <cell r="AD725" t="str">
            <v/>
          </cell>
          <cell r="AE725">
            <v>0</v>
          </cell>
          <cell r="AF725" t="str">
            <v/>
          </cell>
          <cell r="AG725" t="str">
            <v>12527123</v>
          </cell>
          <cell r="AH725">
            <v>44721.941134259258</v>
          </cell>
          <cell r="AI725" t="str">
            <v>N35</v>
          </cell>
          <cell r="AJ725" t="str">
            <v>F</v>
          </cell>
          <cell r="AK725" t="str">
            <v/>
          </cell>
        </row>
        <row r="726">
          <cell r="A726" t="str">
            <v>12541110829052</v>
          </cell>
          <cell r="B726" t="e">
            <v>#N/A</v>
          </cell>
          <cell r="C726">
            <v>6</v>
          </cell>
          <cell r="D726" t="str">
            <v>EK65</v>
          </cell>
          <cell r="E726" t="str">
            <v>586447</v>
          </cell>
          <cell r="F726" t="str">
            <v>E</v>
          </cell>
          <cell r="G726" t="str">
            <v>12541110</v>
          </cell>
          <cell r="H726" t="str">
            <v>Halter w.g.</v>
          </cell>
          <cell r="I726">
            <v>62</v>
          </cell>
          <cell r="J726" t="str">
            <v>Stk</v>
          </cell>
          <cell r="K726">
            <v>45359</v>
          </cell>
          <cell r="L726" t="str">
            <v>829052</v>
          </cell>
          <cell r="M726" t="str">
            <v/>
          </cell>
          <cell r="N726" t="str">
            <v/>
          </cell>
          <cell r="O726" t="str">
            <v/>
          </cell>
          <cell r="P726" t="str">
            <v/>
          </cell>
          <cell r="Q726" t="str">
            <v/>
          </cell>
          <cell r="R726" t="str">
            <v/>
          </cell>
          <cell r="S726" t="str">
            <v/>
          </cell>
          <cell r="T726" t="str">
            <v/>
          </cell>
          <cell r="U726" t="str">
            <v/>
          </cell>
          <cell r="V726" t="str">
            <v>N52</v>
          </cell>
          <cell r="W726" t="str">
            <v/>
          </cell>
          <cell r="X726" t="str">
            <v/>
          </cell>
          <cell r="Y726" t="str">
            <v/>
          </cell>
          <cell r="Z726" t="str">
            <v/>
          </cell>
          <cell r="AA726" t="str">
            <v/>
          </cell>
          <cell r="AB726" t="str">
            <v>PA_4389119-CD.7004-3</v>
          </cell>
          <cell r="AC726">
            <v>1</v>
          </cell>
          <cell r="AD726" t="str">
            <v/>
          </cell>
          <cell r="AE726">
            <v>0</v>
          </cell>
          <cell r="AF726" t="str">
            <v/>
          </cell>
          <cell r="AG726" t="str">
            <v>12541110</v>
          </cell>
          <cell r="AH726">
            <v>44721.944675925923</v>
          </cell>
          <cell r="AI726" t="str">
            <v>N52</v>
          </cell>
          <cell r="AJ726" t="str">
            <v>F</v>
          </cell>
          <cell r="AK726" t="str">
            <v/>
          </cell>
        </row>
        <row r="727">
          <cell r="A727" t="str">
            <v>12541111829052</v>
          </cell>
          <cell r="B727" t="e">
            <v>#N/A</v>
          </cell>
          <cell r="C727">
            <v>5</v>
          </cell>
          <cell r="D727" t="str">
            <v>EK65</v>
          </cell>
          <cell r="E727" t="str">
            <v>586448</v>
          </cell>
          <cell r="F727" t="str">
            <v>E</v>
          </cell>
          <cell r="G727" t="str">
            <v>12541111</v>
          </cell>
          <cell r="H727" t="str">
            <v>Blech w.g.</v>
          </cell>
          <cell r="I727">
            <v>62</v>
          </cell>
          <cell r="J727" t="str">
            <v>Stk</v>
          </cell>
          <cell r="K727">
            <v>45359</v>
          </cell>
          <cell r="L727" t="str">
            <v>829052</v>
          </cell>
          <cell r="M727" t="str">
            <v/>
          </cell>
          <cell r="N727" t="str">
            <v/>
          </cell>
          <cell r="O727" t="str">
            <v/>
          </cell>
          <cell r="P727" t="str">
            <v/>
          </cell>
          <cell r="Q727" t="str">
            <v/>
          </cell>
          <cell r="R727" t="str">
            <v/>
          </cell>
          <cell r="S727" t="str">
            <v/>
          </cell>
          <cell r="T727" t="str">
            <v/>
          </cell>
          <cell r="U727" t="str">
            <v/>
          </cell>
          <cell r="V727" t="str">
            <v>N52</v>
          </cell>
          <cell r="W727" t="str">
            <v/>
          </cell>
          <cell r="X727" t="str">
            <v/>
          </cell>
          <cell r="Y727" t="str">
            <v/>
          </cell>
          <cell r="Z727" t="str">
            <v/>
          </cell>
          <cell r="AA727" t="str">
            <v/>
          </cell>
          <cell r="AB727" t="str">
            <v>PA_4445899-CD.7004-3</v>
          </cell>
          <cell r="AC727">
            <v>1</v>
          </cell>
          <cell r="AD727" t="str">
            <v/>
          </cell>
          <cell r="AE727">
            <v>0</v>
          </cell>
          <cell r="AF727" t="str">
            <v/>
          </cell>
          <cell r="AG727" t="str">
            <v>12541111</v>
          </cell>
          <cell r="AH727">
            <v>44721.944687499999</v>
          </cell>
          <cell r="AI727" t="str">
            <v>N52</v>
          </cell>
          <cell r="AJ727" t="str">
            <v>F</v>
          </cell>
          <cell r="AK727" t="str">
            <v/>
          </cell>
        </row>
        <row r="728">
          <cell r="A728" t="str">
            <v>12541113829052</v>
          </cell>
          <cell r="B728" t="e">
            <v>#N/A</v>
          </cell>
          <cell r="C728">
            <v>6</v>
          </cell>
          <cell r="D728" t="str">
            <v>EK65</v>
          </cell>
          <cell r="E728" t="str">
            <v>586449</v>
          </cell>
          <cell r="F728" t="str">
            <v>E</v>
          </cell>
          <cell r="G728" t="str">
            <v>12541113</v>
          </cell>
          <cell r="H728" t="str">
            <v>Halteblech</v>
          </cell>
          <cell r="I728">
            <v>125</v>
          </cell>
          <cell r="J728" t="str">
            <v>Stk</v>
          </cell>
          <cell r="K728">
            <v>45358</v>
          </cell>
          <cell r="L728" t="str">
            <v>829052</v>
          </cell>
          <cell r="M728" t="str">
            <v/>
          </cell>
          <cell r="N728" t="str">
            <v/>
          </cell>
          <cell r="O728" t="str">
            <v/>
          </cell>
          <cell r="P728" t="str">
            <v/>
          </cell>
          <cell r="Q728" t="str">
            <v/>
          </cell>
          <cell r="R728" t="str">
            <v/>
          </cell>
          <cell r="S728" t="str">
            <v/>
          </cell>
          <cell r="T728" t="str">
            <v/>
          </cell>
          <cell r="U728" t="str">
            <v/>
          </cell>
          <cell r="V728" t="str">
            <v>N52</v>
          </cell>
          <cell r="W728" t="str">
            <v/>
          </cell>
          <cell r="X728" t="str">
            <v/>
          </cell>
          <cell r="Y728" t="str">
            <v/>
          </cell>
          <cell r="Z728" t="str">
            <v/>
          </cell>
          <cell r="AA728" t="str">
            <v/>
          </cell>
          <cell r="AB728" t="str">
            <v>PA_4446498-CD.7004-3</v>
          </cell>
          <cell r="AC728">
            <v>1</v>
          </cell>
          <cell r="AD728" t="str">
            <v/>
          </cell>
          <cell r="AE728">
            <v>0</v>
          </cell>
          <cell r="AF728" t="str">
            <v/>
          </cell>
          <cell r="AG728" t="str">
            <v>12541113</v>
          </cell>
          <cell r="AH728">
            <v>44721.944699074076</v>
          </cell>
          <cell r="AI728" t="str">
            <v>N52</v>
          </cell>
          <cell r="AJ728" t="str">
            <v>F</v>
          </cell>
          <cell r="AK728" t="str">
            <v/>
          </cell>
        </row>
        <row r="729">
          <cell r="A729" t="str">
            <v>12541114829052</v>
          </cell>
          <cell r="B729" t="e">
            <v>#N/A</v>
          </cell>
          <cell r="C729">
            <v>6</v>
          </cell>
          <cell r="D729" t="str">
            <v>EK65</v>
          </cell>
          <cell r="E729" t="str">
            <v>586450</v>
          </cell>
          <cell r="F729" t="str">
            <v>E</v>
          </cell>
          <cell r="G729" t="str">
            <v>12541114</v>
          </cell>
          <cell r="H729" t="str">
            <v>Winkel w.g.</v>
          </cell>
          <cell r="I729">
            <v>62</v>
          </cell>
          <cell r="J729" t="str">
            <v>Stk</v>
          </cell>
          <cell r="K729">
            <v>45363</v>
          </cell>
          <cell r="L729" t="str">
            <v>829052</v>
          </cell>
          <cell r="M729" t="str">
            <v/>
          </cell>
          <cell r="N729" t="str">
            <v/>
          </cell>
          <cell r="O729" t="str">
            <v/>
          </cell>
          <cell r="P729" t="str">
            <v/>
          </cell>
          <cell r="Q729" t="str">
            <v/>
          </cell>
          <cell r="R729" t="str">
            <v/>
          </cell>
          <cell r="S729" t="str">
            <v/>
          </cell>
          <cell r="T729" t="str">
            <v/>
          </cell>
          <cell r="U729" t="str">
            <v/>
          </cell>
          <cell r="V729" t="str">
            <v>N52</v>
          </cell>
          <cell r="W729" t="str">
            <v/>
          </cell>
          <cell r="X729" t="str">
            <v/>
          </cell>
          <cell r="Y729" t="str">
            <v/>
          </cell>
          <cell r="Z729" t="str">
            <v/>
          </cell>
          <cell r="AA729" t="str">
            <v/>
          </cell>
          <cell r="AB729" t="str">
            <v>PA_4481053-CD.7004-3</v>
          </cell>
          <cell r="AC729">
            <v>1</v>
          </cell>
          <cell r="AD729" t="str">
            <v/>
          </cell>
          <cell r="AE729">
            <v>0</v>
          </cell>
          <cell r="AF729" t="str">
            <v/>
          </cell>
          <cell r="AG729" t="str">
            <v>12541114</v>
          </cell>
          <cell r="AH729">
            <v>44721.944710648146</v>
          </cell>
          <cell r="AI729" t="str">
            <v>N52</v>
          </cell>
          <cell r="AJ729" t="str">
            <v>F</v>
          </cell>
          <cell r="AK729" t="str">
            <v/>
          </cell>
        </row>
        <row r="730">
          <cell r="A730" t="str">
            <v>12541116829052</v>
          </cell>
          <cell r="B730" t="e">
            <v>#N/A</v>
          </cell>
          <cell r="C730">
            <v>6</v>
          </cell>
          <cell r="D730" t="str">
            <v>EK65</v>
          </cell>
          <cell r="E730" t="str">
            <v>586452</v>
          </cell>
          <cell r="F730" t="str">
            <v>E</v>
          </cell>
          <cell r="G730" t="str">
            <v>12541116</v>
          </cell>
          <cell r="H730" t="str">
            <v>Halter</v>
          </cell>
          <cell r="I730">
            <v>125</v>
          </cell>
          <cell r="J730" t="str">
            <v>Stk</v>
          </cell>
          <cell r="K730">
            <v>45358</v>
          </cell>
          <cell r="L730" t="str">
            <v>829052</v>
          </cell>
          <cell r="M730" t="str">
            <v/>
          </cell>
          <cell r="N730" t="str">
            <v/>
          </cell>
          <cell r="O730" t="str">
            <v/>
          </cell>
          <cell r="P730" t="str">
            <v/>
          </cell>
          <cell r="Q730" t="str">
            <v/>
          </cell>
          <cell r="R730" t="str">
            <v/>
          </cell>
          <cell r="S730" t="str">
            <v/>
          </cell>
          <cell r="T730" t="str">
            <v/>
          </cell>
          <cell r="U730" t="str">
            <v/>
          </cell>
          <cell r="V730" t="str">
            <v>N52</v>
          </cell>
          <cell r="W730" t="str">
            <v/>
          </cell>
          <cell r="X730" t="str">
            <v/>
          </cell>
          <cell r="Y730" t="str">
            <v/>
          </cell>
          <cell r="Z730" t="str">
            <v/>
          </cell>
          <cell r="AA730" t="str">
            <v/>
          </cell>
          <cell r="AB730" t="str">
            <v>PA_4488406-CD.7004-3</v>
          </cell>
          <cell r="AC730">
            <v>1</v>
          </cell>
          <cell r="AD730" t="str">
            <v/>
          </cell>
          <cell r="AE730">
            <v>0</v>
          </cell>
          <cell r="AF730" t="str">
            <v/>
          </cell>
          <cell r="AG730" t="str">
            <v>12541116</v>
          </cell>
          <cell r="AH730">
            <v>44721.944722222222</v>
          </cell>
          <cell r="AI730" t="str">
            <v>N52</v>
          </cell>
          <cell r="AJ730" t="str">
            <v>F</v>
          </cell>
          <cell r="AK730" t="str">
            <v/>
          </cell>
        </row>
        <row r="731">
          <cell r="A731" t="str">
            <v>12541128829052</v>
          </cell>
          <cell r="B731" t="e">
            <v>#N/A</v>
          </cell>
          <cell r="C731">
            <v>6</v>
          </cell>
          <cell r="D731" t="str">
            <v>EK65</v>
          </cell>
          <cell r="E731" t="str">
            <v>586453</v>
          </cell>
          <cell r="F731" t="str">
            <v>E</v>
          </cell>
          <cell r="G731" t="str">
            <v>12541128</v>
          </cell>
          <cell r="H731" t="str">
            <v>Halter sp.g.</v>
          </cell>
          <cell r="I731">
            <v>62</v>
          </cell>
          <cell r="J731" t="str">
            <v>Stk</v>
          </cell>
          <cell r="K731">
            <v>45359</v>
          </cell>
          <cell r="L731" t="str">
            <v>829052</v>
          </cell>
          <cell r="M731" t="str">
            <v/>
          </cell>
          <cell r="N731" t="str">
            <v/>
          </cell>
          <cell r="O731" t="str">
            <v/>
          </cell>
          <cell r="P731" t="str">
            <v/>
          </cell>
          <cell r="Q731" t="str">
            <v/>
          </cell>
          <cell r="R731" t="str">
            <v/>
          </cell>
          <cell r="S731" t="str">
            <v/>
          </cell>
          <cell r="T731" t="str">
            <v/>
          </cell>
          <cell r="U731" t="str">
            <v/>
          </cell>
          <cell r="V731" t="str">
            <v>N52</v>
          </cell>
          <cell r="W731" t="str">
            <v/>
          </cell>
          <cell r="X731" t="str">
            <v/>
          </cell>
          <cell r="Y731" t="str">
            <v/>
          </cell>
          <cell r="Z731" t="str">
            <v/>
          </cell>
          <cell r="AA731" t="str">
            <v/>
          </cell>
          <cell r="AB731" t="str">
            <v>PA_4389119-CD.7004-3</v>
          </cell>
          <cell r="AC731">
            <v>1</v>
          </cell>
          <cell r="AD731" t="str">
            <v/>
          </cell>
          <cell r="AE731">
            <v>0</v>
          </cell>
          <cell r="AF731" t="str">
            <v/>
          </cell>
          <cell r="AG731" t="str">
            <v>12541128</v>
          </cell>
          <cell r="AH731">
            <v>44721.944745370369</v>
          </cell>
          <cell r="AI731" t="str">
            <v>N52</v>
          </cell>
          <cell r="AJ731" t="str">
            <v>F</v>
          </cell>
          <cell r="AK731" t="str">
            <v/>
          </cell>
        </row>
        <row r="732">
          <cell r="A732" t="str">
            <v>12541129829052</v>
          </cell>
          <cell r="B732" t="e">
            <v>#N/A</v>
          </cell>
          <cell r="C732">
            <v>6</v>
          </cell>
          <cell r="D732" t="str">
            <v>EK65</v>
          </cell>
          <cell r="E732" t="str">
            <v>586454</v>
          </cell>
          <cell r="F732" t="str">
            <v>E</v>
          </cell>
          <cell r="G732" t="str">
            <v>12541129</v>
          </cell>
          <cell r="H732" t="str">
            <v>Winkel sp.g.</v>
          </cell>
          <cell r="I732">
            <v>60</v>
          </cell>
          <cell r="J732" t="str">
            <v>Stk</v>
          </cell>
          <cell r="K732">
            <v>45371</v>
          </cell>
          <cell r="L732" t="str">
            <v>829052</v>
          </cell>
          <cell r="M732" t="str">
            <v/>
          </cell>
          <cell r="N732" t="str">
            <v/>
          </cell>
          <cell r="O732" t="str">
            <v/>
          </cell>
          <cell r="P732" t="str">
            <v/>
          </cell>
          <cell r="Q732" t="str">
            <v/>
          </cell>
          <cell r="R732" t="str">
            <v/>
          </cell>
          <cell r="S732" t="str">
            <v/>
          </cell>
          <cell r="T732" t="str">
            <v/>
          </cell>
          <cell r="U732" t="str">
            <v/>
          </cell>
          <cell r="V732" t="str">
            <v>N52</v>
          </cell>
          <cell r="W732" t="str">
            <v/>
          </cell>
          <cell r="X732" t="str">
            <v/>
          </cell>
          <cell r="Y732" t="str">
            <v/>
          </cell>
          <cell r="Z732" t="str">
            <v/>
          </cell>
          <cell r="AA732" t="str">
            <v/>
          </cell>
          <cell r="AB732" t="str">
            <v>PA_4488899-CD.7004-3</v>
          </cell>
          <cell r="AC732">
            <v>1</v>
          </cell>
          <cell r="AD732" t="str">
            <v/>
          </cell>
          <cell r="AE732">
            <v>0</v>
          </cell>
          <cell r="AF732" t="str">
            <v/>
          </cell>
          <cell r="AG732" t="str">
            <v>12541129</v>
          </cell>
          <cell r="AH732">
            <v>44721.944756944446</v>
          </cell>
          <cell r="AI732" t="str">
            <v>N52</v>
          </cell>
          <cell r="AJ732" t="str">
            <v>F</v>
          </cell>
          <cell r="AK732" t="str">
            <v/>
          </cell>
        </row>
        <row r="733">
          <cell r="A733" t="str">
            <v>12541130829052</v>
          </cell>
          <cell r="B733" t="e">
            <v>#N/A</v>
          </cell>
          <cell r="C733">
            <v>6</v>
          </cell>
          <cell r="D733" t="str">
            <v>EK65</v>
          </cell>
          <cell r="E733" t="str">
            <v>586455</v>
          </cell>
          <cell r="F733" t="str">
            <v>E</v>
          </cell>
          <cell r="G733" t="str">
            <v>12541130</v>
          </cell>
          <cell r="H733" t="str">
            <v>Winkel sp.g.</v>
          </cell>
          <cell r="I733">
            <v>62</v>
          </cell>
          <cell r="J733" t="str">
            <v>Stk</v>
          </cell>
          <cell r="K733">
            <v>45359</v>
          </cell>
          <cell r="L733" t="str">
            <v>829052</v>
          </cell>
          <cell r="M733" t="str">
            <v/>
          </cell>
          <cell r="N733" t="str">
            <v/>
          </cell>
          <cell r="O733" t="str">
            <v/>
          </cell>
          <cell r="P733" t="str">
            <v/>
          </cell>
          <cell r="Q733" t="str">
            <v/>
          </cell>
          <cell r="R733" t="str">
            <v/>
          </cell>
          <cell r="S733" t="str">
            <v/>
          </cell>
          <cell r="T733" t="str">
            <v/>
          </cell>
          <cell r="U733" t="str">
            <v/>
          </cell>
          <cell r="V733" t="str">
            <v>N52</v>
          </cell>
          <cell r="W733" t="str">
            <v/>
          </cell>
          <cell r="X733" t="str">
            <v/>
          </cell>
          <cell r="Y733" t="str">
            <v/>
          </cell>
          <cell r="Z733" t="str">
            <v/>
          </cell>
          <cell r="AA733" t="str">
            <v/>
          </cell>
          <cell r="AB733" t="str">
            <v>PA_4481053-CD.7004-3</v>
          </cell>
          <cell r="AC733">
            <v>1</v>
          </cell>
          <cell r="AD733" t="str">
            <v/>
          </cell>
          <cell r="AE733">
            <v>0</v>
          </cell>
          <cell r="AF733" t="str">
            <v/>
          </cell>
          <cell r="AG733" t="str">
            <v>12541130</v>
          </cell>
          <cell r="AH733">
            <v>44721.944768518515</v>
          </cell>
          <cell r="AI733" t="str">
            <v>N52</v>
          </cell>
          <cell r="AJ733" t="str">
            <v>F</v>
          </cell>
          <cell r="AK733" t="str">
            <v/>
          </cell>
        </row>
        <row r="734">
          <cell r="A734" t="str">
            <v>12541131829052</v>
          </cell>
          <cell r="B734" t="e">
            <v>#N/A</v>
          </cell>
          <cell r="C734">
            <v>5</v>
          </cell>
          <cell r="D734" t="str">
            <v>EK65</v>
          </cell>
          <cell r="E734" t="str">
            <v>586456</v>
          </cell>
          <cell r="F734" t="str">
            <v>E</v>
          </cell>
          <cell r="G734" t="str">
            <v>12541131</v>
          </cell>
          <cell r="H734" t="str">
            <v>Blech sp.g.</v>
          </cell>
          <cell r="I734">
            <v>62</v>
          </cell>
          <cell r="J734" t="str">
            <v>Stk</v>
          </cell>
          <cell r="K734">
            <v>45359</v>
          </cell>
          <cell r="L734" t="str">
            <v>829052</v>
          </cell>
          <cell r="M734" t="str">
            <v/>
          </cell>
          <cell r="N734" t="str">
            <v/>
          </cell>
          <cell r="O734" t="str">
            <v/>
          </cell>
          <cell r="P734" t="str">
            <v/>
          </cell>
          <cell r="Q734" t="str">
            <v/>
          </cell>
          <cell r="R734" t="str">
            <v/>
          </cell>
          <cell r="S734" t="str">
            <v/>
          </cell>
          <cell r="T734" t="str">
            <v/>
          </cell>
          <cell r="U734" t="str">
            <v/>
          </cell>
          <cell r="V734" t="str">
            <v>N52</v>
          </cell>
          <cell r="W734" t="str">
            <v/>
          </cell>
          <cell r="X734" t="str">
            <v/>
          </cell>
          <cell r="Y734" t="str">
            <v/>
          </cell>
          <cell r="Z734" t="str">
            <v/>
          </cell>
          <cell r="AA734" t="str">
            <v/>
          </cell>
          <cell r="AB734" t="str">
            <v>PA_4445899-CD.7004-3</v>
          </cell>
          <cell r="AC734">
            <v>1</v>
          </cell>
          <cell r="AD734" t="str">
            <v/>
          </cell>
          <cell r="AE734">
            <v>0</v>
          </cell>
          <cell r="AF734" t="str">
            <v/>
          </cell>
          <cell r="AG734" t="str">
            <v>12541131</v>
          </cell>
          <cell r="AH734">
            <v>44721.944768518515</v>
          </cell>
          <cell r="AI734" t="str">
            <v>N52</v>
          </cell>
          <cell r="AJ734" t="str">
            <v>F</v>
          </cell>
          <cell r="AK734" t="str">
            <v/>
          </cell>
        </row>
        <row r="735">
          <cell r="A735" t="str">
            <v>12551748829051</v>
          </cell>
          <cell r="B735" t="str">
            <v>BL20230413-2</v>
          </cell>
          <cell r="C735">
            <v>6</v>
          </cell>
          <cell r="D735" t="str">
            <v>EK65</v>
          </cell>
          <cell r="E735" t="str">
            <v>586466</v>
          </cell>
          <cell r="F735" t="str">
            <v>E</v>
          </cell>
          <cell r="G735" t="str">
            <v>12551748</v>
          </cell>
          <cell r="H735" t="str">
            <v>Distanzplatte 1mm</v>
          </cell>
          <cell r="I735">
            <v>90</v>
          </cell>
          <cell r="J735" t="str">
            <v>Stk</v>
          </cell>
          <cell r="K735">
            <v>45336</v>
          </cell>
          <cell r="L735" t="str">
            <v>829051</v>
          </cell>
          <cell r="M735" t="str">
            <v/>
          </cell>
          <cell r="N735" t="str">
            <v/>
          </cell>
          <cell r="O735" t="str">
            <v/>
          </cell>
          <cell r="P735" t="str">
            <v/>
          </cell>
          <cell r="Q735" t="str">
            <v/>
          </cell>
          <cell r="R735" t="str">
            <v/>
          </cell>
          <cell r="S735" t="str">
            <v/>
          </cell>
          <cell r="T735" t="str">
            <v/>
          </cell>
          <cell r="U735" t="str">
            <v/>
          </cell>
          <cell r="V735" t="str">
            <v>N52</v>
          </cell>
          <cell r="W735" t="str">
            <v/>
          </cell>
          <cell r="X735" t="str">
            <v/>
          </cell>
          <cell r="Y735" t="str">
            <v/>
          </cell>
          <cell r="Z735" t="str">
            <v/>
          </cell>
          <cell r="AA735" t="str">
            <v/>
          </cell>
          <cell r="AB735" t="str">
            <v>PA_4621955-DC.7004-4</v>
          </cell>
          <cell r="AC735">
            <v>1</v>
          </cell>
          <cell r="AD735" t="str">
            <v/>
          </cell>
          <cell r="AE735">
            <v>0</v>
          </cell>
          <cell r="AF735" t="str">
            <v/>
          </cell>
          <cell r="AG735" t="str">
            <v>12551748</v>
          </cell>
          <cell r="AH735">
            <v>44721.946145833332</v>
          </cell>
          <cell r="AI735" t="str">
            <v>N52</v>
          </cell>
          <cell r="AJ735" t="str">
            <v>F</v>
          </cell>
          <cell r="AK735" t="str">
            <v/>
          </cell>
        </row>
        <row r="736">
          <cell r="A736" t="str">
            <v>12551752829051</v>
          </cell>
          <cell r="B736" t="str">
            <v>BL20230413-2</v>
          </cell>
          <cell r="C736">
            <v>6</v>
          </cell>
          <cell r="D736" t="str">
            <v>EK65</v>
          </cell>
          <cell r="E736" t="str">
            <v>586467</v>
          </cell>
          <cell r="F736" t="str">
            <v>E</v>
          </cell>
          <cell r="G736" t="str">
            <v>12551752</v>
          </cell>
          <cell r="H736" t="str">
            <v>Distanzplatte 2mm</v>
          </cell>
          <cell r="I736">
            <v>90</v>
          </cell>
          <cell r="J736" t="str">
            <v>Stk</v>
          </cell>
          <cell r="K736">
            <v>45336</v>
          </cell>
          <cell r="L736" t="str">
            <v>829051</v>
          </cell>
          <cell r="M736" t="str">
            <v/>
          </cell>
          <cell r="N736" t="str">
            <v/>
          </cell>
          <cell r="O736" t="str">
            <v/>
          </cell>
          <cell r="P736" t="str">
            <v/>
          </cell>
          <cell r="Q736" t="str">
            <v/>
          </cell>
          <cell r="R736" t="str">
            <v/>
          </cell>
          <cell r="S736" t="str">
            <v/>
          </cell>
          <cell r="T736" t="str">
            <v/>
          </cell>
          <cell r="U736" t="str">
            <v/>
          </cell>
          <cell r="V736" t="str">
            <v>N52</v>
          </cell>
          <cell r="W736" t="str">
            <v/>
          </cell>
          <cell r="X736" t="str">
            <v/>
          </cell>
          <cell r="Y736" t="str">
            <v/>
          </cell>
          <cell r="Z736" t="str">
            <v/>
          </cell>
          <cell r="AA736" t="str">
            <v/>
          </cell>
          <cell r="AB736" t="str">
            <v>PA_4621960-DC.7004-4</v>
          </cell>
          <cell r="AC736">
            <v>1</v>
          </cell>
          <cell r="AD736" t="str">
            <v/>
          </cell>
          <cell r="AE736">
            <v>0</v>
          </cell>
          <cell r="AF736" t="str">
            <v/>
          </cell>
          <cell r="AG736" t="str">
            <v>12551752</v>
          </cell>
          <cell r="AH736">
            <v>44721.946168981478</v>
          </cell>
          <cell r="AI736" t="str">
            <v>N52</v>
          </cell>
          <cell r="AJ736" t="str">
            <v>F</v>
          </cell>
          <cell r="AK736" t="str">
            <v/>
          </cell>
        </row>
        <row r="737">
          <cell r="A737" t="str">
            <v>12551754829051</v>
          </cell>
          <cell r="B737" t="str">
            <v>BL20230413-2</v>
          </cell>
          <cell r="C737">
            <v>6</v>
          </cell>
          <cell r="D737" t="str">
            <v>EK65</v>
          </cell>
          <cell r="E737" t="str">
            <v>586468</v>
          </cell>
          <cell r="F737" t="str">
            <v>E</v>
          </cell>
          <cell r="G737" t="str">
            <v>12551754</v>
          </cell>
          <cell r="H737" t="str">
            <v>Distanzplatte 4mm</v>
          </cell>
          <cell r="I737">
            <v>90</v>
          </cell>
          <cell r="J737" t="str">
            <v>Stk</v>
          </cell>
          <cell r="K737">
            <v>45336</v>
          </cell>
          <cell r="L737" t="str">
            <v>829051</v>
          </cell>
          <cell r="M737" t="str">
            <v/>
          </cell>
          <cell r="N737" t="str">
            <v/>
          </cell>
          <cell r="O737" t="str">
            <v/>
          </cell>
          <cell r="P737" t="str">
            <v/>
          </cell>
          <cell r="Q737" t="str">
            <v/>
          </cell>
          <cell r="R737" t="str">
            <v/>
          </cell>
          <cell r="S737" t="str">
            <v/>
          </cell>
          <cell r="T737" t="str">
            <v/>
          </cell>
          <cell r="U737" t="str">
            <v/>
          </cell>
          <cell r="V737" t="str">
            <v>N52</v>
          </cell>
          <cell r="W737" t="str">
            <v/>
          </cell>
          <cell r="X737" t="str">
            <v/>
          </cell>
          <cell r="Y737" t="str">
            <v/>
          </cell>
          <cell r="Z737" t="str">
            <v/>
          </cell>
          <cell r="AA737" t="str">
            <v/>
          </cell>
          <cell r="AB737" t="str">
            <v>PA_4621961-DC.7004-4</v>
          </cell>
          <cell r="AC737">
            <v>1</v>
          </cell>
          <cell r="AD737" t="str">
            <v/>
          </cell>
          <cell r="AE737">
            <v>0</v>
          </cell>
          <cell r="AF737" t="str">
            <v/>
          </cell>
          <cell r="AG737" t="str">
            <v>12551754</v>
          </cell>
          <cell r="AH737">
            <v>44721.946192129632</v>
          </cell>
          <cell r="AI737" t="str">
            <v>N52</v>
          </cell>
          <cell r="AJ737" t="str">
            <v>F</v>
          </cell>
          <cell r="AK737" t="str">
            <v/>
          </cell>
        </row>
        <row r="738">
          <cell r="A738" t="str">
            <v>12551757829051</v>
          </cell>
          <cell r="B738" t="e">
            <v>#N/A</v>
          </cell>
          <cell r="C738">
            <v>6</v>
          </cell>
          <cell r="D738" t="str">
            <v>EK65</v>
          </cell>
          <cell r="E738" t="str">
            <v>586469</v>
          </cell>
          <cell r="F738" t="str">
            <v>E</v>
          </cell>
          <cell r="G738" t="str">
            <v>12551757</v>
          </cell>
          <cell r="H738" t="str">
            <v>Distanzplatte 3 mm</v>
          </cell>
          <cell r="I738">
            <v>170</v>
          </cell>
          <cell r="J738" t="str">
            <v>Stk</v>
          </cell>
          <cell r="K738">
            <v>45351</v>
          </cell>
          <cell r="L738" t="str">
            <v>829051</v>
          </cell>
          <cell r="M738" t="str">
            <v/>
          </cell>
          <cell r="N738" t="str">
            <v/>
          </cell>
          <cell r="O738" t="str">
            <v/>
          </cell>
          <cell r="P738" t="str">
            <v/>
          </cell>
          <cell r="Q738" t="str">
            <v/>
          </cell>
          <cell r="R738" t="str">
            <v/>
          </cell>
          <cell r="S738" t="str">
            <v/>
          </cell>
          <cell r="T738" t="str">
            <v/>
          </cell>
          <cell r="U738" t="str">
            <v/>
          </cell>
          <cell r="V738" t="str">
            <v>N52</v>
          </cell>
          <cell r="W738" t="str">
            <v/>
          </cell>
          <cell r="X738" t="str">
            <v/>
          </cell>
          <cell r="Y738" t="str">
            <v/>
          </cell>
          <cell r="Z738" t="str">
            <v/>
          </cell>
          <cell r="AA738" t="str">
            <v/>
          </cell>
          <cell r="AB738" t="str">
            <v>PA_4676511-DC.7004-4</v>
          </cell>
          <cell r="AC738">
            <v>1</v>
          </cell>
          <cell r="AD738" t="str">
            <v/>
          </cell>
          <cell r="AE738">
            <v>0</v>
          </cell>
          <cell r="AF738" t="str">
            <v/>
          </cell>
          <cell r="AG738" t="str">
            <v>12551757</v>
          </cell>
          <cell r="AH738">
            <v>44721.946215277778</v>
          </cell>
          <cell r="AI738" t="str">
            <v>N52</v>
          </cell>
          <cell r="AJ738" t="str">
            <v>F</v>
          </cell>
          <cell r="AK738" t="str">
            <v/>
          </cell>
        </row>
        <row r="739">
          <cell r="A739" t="str">
            <v>12588626829053</v>
          </cell>
          <cell r="B739" t="e">
            <v>#N/A</v>
          </cell>
          <cell r="C739">
            <v>12</v>
          </cell>
          <cell r="D739" t="str">
            <v>EK65</v>
          </cell>
          <cell r="E739" t="str">
            <v>597220</v>
          </cell>
          <cell r="F739" t="str">
            <v>E</v>
          </cell>
          <cell r="G739" t="str">
            <v>12588626</v>
          </cell>
          <cell r="H739" t="str">
            <v>Halter gewinkelt</v>
          </cell>
          <cell r="I739">
            <v>149</v>
          </cell>
          <cell r="J739" t="str">
            <v>Stk</v>
          </cell>
          <cell r="K739">
            <v>45100</v>
          </cell>
          <cell r="L739" t="str">
            <v>829053</v>
          </cell>
          <cell r="M739" t="str">
            <v/>
          </cell>
          <cell r="N739" t="str">
            <v/>
          </cell>
          <cell r="O739" t="str">
            <v/>
          </cell>
          <cell r="P739" t="str">
            <v/>
          </cell>
          <cell r="Q739" t="str">
            <v/>
          </cell>
          <cell r="R739" t="str">
            <v/>
          </cell>
          <cell r="S739" t="str">
            <v/>
          </cell>
          <cell r="T739" t="str">
            <v/>
          </cell>
          <cell r="U739" t="str">
            <v/>
          </cell>
          <cell r="V739" t="str">
            <v>N52</v>
          </cell>
          <cell r="W739" t="str">
            <v/>
          </cell>
          <cell r="X739" t="str">
            <v/>
          </cell>
          <cell r="Y739" t="str">
            <v/>
          </cell>
          <cell r="Z739" t="str">
            <v/>
          </cell>
          <cell r="AA739" t="str">
            <v/>
          </cell>
          <cell r="AB739" t="str">
            <v>PA_4880874-TC.7005-3</v>
          </cell>
          <cell r="AC739">
            <v>1</v>
          </cell>
          <cell r="AD739" t="str">
            <v/>
          </cell>
          <cell r="AE739">
            <v>0</v>
          </cell>
          <cell r="AF739" t="str">
            <v/>
          </cell>
          <cell r="AG739" t="str">
            <v>12588626</v>
          </cell>
          <cell r="AH739">
            <v>44735.887835648151</v>
          </cell>
          <cell r="AI739" t="str">
            <v>N52</v>
          </cell>
          <cell r="AJ739" t="str">
            <v>F</v>
          </cell>
          <cell r="AK739" t="str">
            <v/>
          </cell>
        </row>
        <row r="740">
          <cell r="A740" t="str">
            <v>12527514829053</v>
          </cell>
          <cell r="B740" t="e">
            <v>#N/A</v>
          </cell>
          <cell r="C740">
            <v>10</v>
          </cell>
          <cell r="D740" t="str">
            <v>EK65</v>
          </cell>
          <cell r="E740" t="str">
            <v>597558</v>
          </cell>
          <cell r="F740" t="str">
            <v>E</v>
          </cell>
          <cell r="G740" t="str">
            <v>12527514</v>
          </cell>
          <cell r="H740" t="str">
            <v>Spez.Unterlagscheibe ID30,5 AD48 H1</v>
          </cell>
          <cell r="I740">
            <v>279</v>
          </cell>
          <cell r="J740" t="str">
            <v>Stk</v>
          </cell>
          <cell r="K740">
            <v>45209</v>
          </cell>
          <cell r="L740" t="str">
            <v>829053</v>
          </cell>
          <cell r="M740" t="str">
            <v/>
          </cell>
          <cell r="N740" t="str">
            <v/>
          </cell>
          <cell r="O740" t="str">
            <v/>
          </cell>
          <cell r="P740" t="str">
            <v/>
          </cell>
          <cell r="Q740" t="str">
            <v/>
          </cell>
          <cell r="R740" t="str">
            <v/>
          </cell>
          <cell r="S740" t="str">
            <v/>
          </cell>
          <cell r="T740" t="str">
            <v/>
          </cell>
          <cell r="U740" t="str">
            <v/>
          </cell>
          <cell r="V740" t="str">
            <v>N52</v>
          </cell>
          <cell r="W740" t="str">
            <v/>
          </cell>
          <cell r="X740" t="str">
            <v/>
          </cell>
          <cell r="Y740" t="str">
            <v/>
          </cell>
          <cell r="Z740" t="str">
            <v/>
          </cell>
          <cell r="AA740" t="str">
            <v/>
          </cell>
          <cell r="AB740" t="str">
            <v>PA_4585384-QE.7005-4</v>
          </cell>
          <cell r="AC740">
            <v>1</v>
          </cell>
          <cell r="AD740" t="str">
            <v/>
          </cell>
          <cell r="AE740">
            <v>0</v>
          </cell>
          <cell r="AF740" t="str">
            <v/>
          </cell>
          <cell r="AG740" t="str">
            <v>12527514</v>
          </cell>
          <cell r="AH740">
            <v>44739.885844907411</v>
          </cell>
          <cell r="AI740" t="str">
            <v>N52</v>
          </cell>
          <cell r="AJ740" t="str">
            <v>F</v>
          </cell>
          <cell r="AK740" t="str">
            <v/>
          </cell>
        </row>
        <row r="741">
          <cell r="A741" t="str">
            <v>12527514829054</v>
          </cell>
          <cell r="B741" t="e">
            <v>#N/A</v>
          </cell>
          <cell r="C741">
            <v>10</v>
          </cell>
          <cell r="D741" t="str">
            <v>EK65</v>
          </cell>
          <cell r="E741" t="str">
            <v>597559</v>
          </cell>
          <cell r="F741" t="str">
            <v>E</v>
          </cell>
          <cell r="G741" t="str">
            <v>12527514</v>
          </cell>
          <cell r="H741" t="str">
            <v>Spez.Unterlagscheibe ID30,5 AD48 H1</v>
          </cell>
          <cell r="I741">
            <v>36</v>
          </cell>
          <cell r="J741" t="str">
            <v>Stk</v>
          </cell>
          <cell r="K741">
            <v>45213</v>
          </cell>
          <cell r="L741" t="str">
            <v>829054</v>
          </cell>
          <cell r="M741" t="str">
            <v/>
          </cell>
          <cell r="N741" t="str">
            <v/>
          </cell>
          <cell r="O741" t="str">
            <v/>
          </cell>
          <cell r="P741" t="str">
            <v/>
          </cell>
          <cell r="Q741" t="str">
            <v/>
          </cell>
          <cell r="R741" t="str">
            <v/>
          </cell>
          <cell r="S741" t="str">
            <v/>
          </cell>
          <cell r="T741" t="str">
            <v/>
          </cell>
          <cell r="U741" t="str">
            <v/>
          </cell>
          <cell r="V741" t="str">
            <v>N52</v>
          </cell>
          <cell r="W741" t="str">
            <v/>
          </cell>
          <cell r="X741" t="str">
            <v/>
          </cell>
          <cell r="Y741" t="str">
            <v/>
          </cell>
          <cell r="Z741" t="str">
            <v/>
          </cell>
          <cell r="AA741" t="str">
            <v/>
          </cell>
          <cell r="AB741" t="str">
            <v>PA_4585384-QE.7005-4</v>
          </cell>
          <cell r="AC741">
            <v>1</v>
          </cell>
          <cell r="AD741" t="str">
            <v/>
          </cell>
          <cell r="AE741">
            <v>0</v>
          </cell>
          <cell r="AF741" t="str">
            <v/>
          </cell>
          <cell r="AG741" t="str">
            <v>12527514</v>
          </cell>
          <cell r="AH741">
            <v>44739.885844907411</v>
          </cell>
          <cell r="AI741" t="str">
            <v>N52</v>
          </cell>
          <cell r="AJ741" t="str">
            <v>F</v>
          </cell>
          <cell r="AK741" t="str">
            <v/>
          </cell>
        </row>
        <row r="742">
          <cell r="A742" t="str">
            <v>12532644829051</v>
          </cell>
          <cell r="B742" t="e">
            <v>#N/A</v>
          </cell>
          <cell r="C742">
            <v>8</v>
          </cell>
          <cell r="D742" t="str">
            <v>EK65</v>
          </cell>
          <cell r="E742" t="str">
            <v>597560</v>
          </cell>
          <cell r="F742" t="str">
            <v>E</v>
          </cell>
          <cell r="G742" t="str">
            <v>12532644</v>
          </cell>
          <cell r="H742" t="str">
            <v>J-Dehnhuelse ID10,5  AD 30 H 7</v>
          </cell>
          <cell r="I742">
            <v>5082</v>
          </cell>
          <cell r="J742" t="str">
            <v>Stk</v>
          </cell>
          <cell r="K742">
            <v>45321</v>
          </cell>
          <cell r="L742" t="str">
            <v>829051</v>
          </cell>
          <cell r="M742" t="str">
            <v/>
          </cell>
          <cell r="N742" t="str">
            <v/>
          </cell>
          <cell r="O742" t="str">
            <v/>
          </cell>
          <cell r="P742" t="str">
            <v/>
          </cell>
          <cell r="Q742" t="str">
            <v/>
          </cell>
          <cell r="R742" t="str">
            <v/>
          </cell>
          <cell r="S742" t="str">
            <v/>
          </cell>
          <cell r="T742" t="str">
            <v/>
          </cell>
          <cell r="U742" t="str">
            <v/>
          </cell>
          <cell r="V742" t="str">
            <v>N35</v>
          </cell>
          <cell r="W742" t="str">
            <v/>
          </cell>
          <cell r="X742" t="str">
            <v/>
          </cell>
          <cell r="Y742" t="str">
            <v/>
          </cell>
          <cell r="Z742" t="str">
            <v/>
          </cell>
          <cell r="AA742" t="str">
            <v/>
          </cell>
          <cell r="AB742" t="str">
            <v>PA_4605270-NB.7004-4</v>
          </cell>
          <cell r="AC742">
            <v>4</v>
          </cell>
          <cell r="AD742" t="str">
            <v/>
          </cell>
          <cell r="AE742">
            <v>0</v>
          </cell>
          <cell r="AF742" t="str">
            <v/>
          </cell>
          <cell r="AG742" t="str">
            <v>12532644</v>
          </cell>
          <cell r="AH742">
            <v>44739.887025462966</v>
          </cell>
          <cell r="AI742" t="str">
            <v>N35</v>
          </cell>
          <cell r="AJ742" t="str">
            <v>F</v>
          </cell>
          <cell r="AK742" t="str">
            <v/>
          </cell>
        </row>
        <row r="743">
          <cell r="A743" t="str">
            <v>12532644829052</v>
          </cell>
          <cell r="B743" t="e">
            <v>#N/A</v>
          </cell>
          <cell r="C743">
            <v>8</v>
          </cell>
          <cell r="D743" t="str">
            <v>EK65</v>
          </cell>
          <cell r="E743" t="str">
            <v>597561</v>
          </cell>
          <cell r="F743" t="str">
            <v>E</v>
          </cell>
          <cell r="G743" t="str">
            <v>12532644</v>
          </cell>
          <cell r="H743" t="str">
            <v>J-Dehnhuelse ID10,5  AD 30 H 7</v>
          </cell>
          <cell r="I743">
            <v>1464</v>
          </cell>
          <cell r="J743" t="str">
            <v>Stk</v>
          </cell>
          <cell r="K743">
            <v>45352</v>
          </cell>
          <cell r="L743" t="str">
            <v>829052</v>
          </cell>
          <cell r="M743" t="str">
            <v/>
          </cell>
          <cell r="N743" t="str">
            <v/>
          </cell>
          <cell r="O743" t="str">
            <v/>
          </cell>
          <cell r="P743" t="str">
            <v/>
          </cell>
          <cell r="Q743" t="str">
            <v/>
          </cell>
          <cell r="R743" t="str">
            <v/>
          </cell>
          <cell r="S743" t="str">
            <v/>
          </cell>
          <cell r="T743" t="str">
            <v/>
          </cell>
          <cell r="U743" t="str">
            <v/>
          </cell>
          <cell r="V743" t="str">
            <v>N35</v>
          </cell>
          <cell r="W743" t="str">
            <v/>
          </cell>
          <cell r="X743" t="str">
            <v/>
          </cell>
          <cell r="Y743" t="str">
            <v/>
          </cell>
          <cell r="Z743" t="str">
            <v/>
          </cell>
          <cell r="AA743" t="str">
            <v/>
          </cell>
          <cell r="AB743" t="str">
            <v>PA_4605270-NB.7004-4</v>
          </cell>
          <cell r="AC743">
            <v>4</v>
          </cell>
          <cell r="AD743" t="str">
            <v/>
          </cell>
          <cell r="AE743">
            <v>0</v>
          </cell>
          <cell r="AF743" t="str">
            <v/>
          </cell>
          <cell r="AG743" t="str">
            <v>12532644</v>
          </cell>
          <cell r="AH743">
            <v>44739.887025462966</v>
          </cell>
          <cell r="AI743" t="str">
            <v>N35</v>
          </cell>
          <cell r="AJ743" t="str">
            <v>F</v>
          </cell>
          <cell r="AK743" t="str">
            <v/>
          </cell>
        </row>
        <row r="744">
          <cell r="A744" t="str">
            <v>12558799829051</v>
          </cell>
          <cell r="B744" t="e">
            <v>#N/A</v>
          </cell>
          <cell r="C744" t="e">
            <v>#N/A</v>
          </cell>
          <cell r="D744" t="str">
            <v>EK65</v>
          </cell>
          <cell r="E744" t="str">
            <v>598292</v>
          </cell>
          <cell r="F744" t="str">
            <v>E</v>
          </cell>
          <cell r="G744" t="str">
            <v>12558799</v>
          </cell>
          <cell r="H744" t="str">
            <v>Schottblech vollst.</v>
          </cell>
          <cell r="I744">
            <v>90</v>
          </cell>
          <cell r="J744" t="str">
            <v>Stk</v>
          </cell>
          <cell r="K744">
            <v>45323</v>
          </cell>
          <cell r="L744" t="str">
            <v>829051</v>
          </cell>
          <cell r="M744" t="str">
            <v/>
          </cell>
          <cell r="N744" t="str">
            <v/>
          </cell>
          <cell r="O744" t="str">
            <v/>
          </cell>
          <cell r="P744" t="str">
            <v/>
          </cell>
          <cell r="Q744" t="str">
            <v/>
          </cell>
          <cell r="R744" t="str">
            <v/>
          </cell>
          <cell r="S744" t="str">
            <v/>
          </cell>
          <cell r="T744" t="str">
            <v/>
          </cell>
          <cell r="U744" t="str">
            <v/>
          </cell>
          <cell r="V744" t="str">
            <v>N38</v>
          </cell>
          <cell r="W744" t="str">
            <v/>
          </cell>
          <cell r="X744" t="str">
            <v/>
          </cell>
          <cell r="Y744" t="str">
            <v/>
          </cell>
          <cell r="Z744" t="str">
            <v/>
          </cell>
          <cell r="AA744" t="str">
            <v/>
          </cell>
          <cell r="AB744" t="str">
            <v>PA_4500901-QE.7004-3</v>
          </cell>
          <cell r="AC744">
            <v>1</v>
          </cell>
          <cell r="AD744" t="str">
            <v/>
          </cell>
          <cell r="AE744">
            <v>0</v>
          </cell>
          <cell r="AF744" t="str">
            <v/>
          </cell>
          <cell r="AG744" t="str">
            <v>12558799</v>
          </cell>
          <cell r="AH744">
            <v>44739.946886574071</v>
          </cell>
          <cell r="AI744" t="str">
            <v>N38</v>
          </cell>
          <cell r="AJ744" t="str">
            <v>F</v>
          </cell>
          <cell r="AK744" t="str">
            <v>A</v>
          </cell>
        </row>
        <row r="745">
          <cell r="A745" t="str">
            <v>12558799829052</v>
          </cell>
          <cell r="B745" t="e">
            <v>#N/A</v>
          </cell>
          <cell r="C745" t="e">
            <v>#N/A</v>
          </cell>
          <cell r="D745" t="str">
            <v>EK65</v>
          </cell>
          <cell r="E745" t="str">
            <v>598293</v>
          </cell>
          <cell r="F745" t="str">
            <v>E</v>
          </cell>
          <cell r="G745" t="str">
            <v>12558799</v>
          </cell>
          <cell r="H745" t="str">
            <v>Schottblech vollst.</v>
          </cell>
          <cell r="I745">
            <v>31</v>
          </cell>
          <cell r="J745" t="str">
            <v>Stk</v>
          </cell>
          <cell r="K745">
            <v>45349</v>
          </cell>
          <cell r="L745" t="str">
            <v>829052</v>
          </cell>
          <cell r="M745" t="str">
            <v/>
          </cell>
          <cell r="N745" t="str">
            <v/>
          </cell>
          <cell r="O745" t="str">
            <v/>
          </cell>
          <cell r="P745" t="str">
            <v/>
          </cell>
          <cell r="Q745" t="str">
            <v/>
          </cell>
          <cell r="R745" t="str">
            <v/>
          </cell>
          <cell r="S745" t="str">
            <v/>
          </cell>
          <cell r="T745" t="str">
            <v/>
          </cell>
          <cell r="U745" t="str">
            <v/>
          </cell>
          <cell r="V745" t="str">
            <v>N38</v>
          </cell>
          <cell r="W745" t="str">
            <v/>
          </cell>
          <cell r="X745" t="str">
            <v/>
          </cell>
          <cell r="Y745" t="str">
            <v/>
          </cell>
          <cell r="Z745" t="str">
            <v/>
          </cell>
          <cell r="AA745" t="str">
            <v/>
          </cell>
          <cell r="AB745" t="str">
            <v>PA_4500901-QE.7004-3</v>
          </cell>
          <cell r="AC745">
            <v>1</v>
          </cell>
          <cell r="AD745" t="str">
            <v/>
          </cell>
          <cell r="AE745">
            <v>0</v>
          </cell>
          <cell r="AF745" t="str">
            <v/>
          </cell>
          <cell r="AG745" t="str">
            <v>12558799</v>
          </cell>
          <cell r="AH745">
            <v>44739.946898148148</v>
          </cell>
          <cell r="AI745" t="str">
            <v>N38</v>
          </cell>
          <cell r="AJ745" t="str">
            <v>F</v>
          </cell>
          <cell r="AK745" t="str">
            <v>A</v>
          </cell>
        </row>
        <row r="746">
          <cell r="A746" t="str">
            <v>12538667829052</v>
          </cell>
          <cell r="B746" t="e">
            <v>#N/A</v>
          </cell>
          <cell r="C746">
            <v>4</v>
          </cell>
          <cell r="D746" t="str">
            <v>EK65</v>
          </cell>
          <cell r="E746" t="str">
            <v>602904</v>
          </cell>
          <cell r="F746" t="str">
            <v>E</v>
          </cell>
          <cell r="G746" t="str">
            <v>12538667</v>
          </cell>
          <cell r="H746" t="str">
            <v>Dehnhuelse</v>
          </cell>
          <cell r="I746">
            <v>121</v>
          </cell>
          <cell r="J746" t="str">
            <v>Stk</v>
          </cell>
          <cell r="K746">
            <v>45365</v>
          </cell>
          <cell r="L746" t="str">
            <v>829052</v>
          </cell>
          <cell r="M746" t="str">
            <v/>
          </cell>
          <cell r="N746" t="str">
            <v/>
          </cell>
          <cell r="O746" t="str">
            <v/>
          </cell>
          <cell r="P746" t="str">
            <v/>
          </cell>
          <cell r="Q746" t="str">
            <v/>
          </cell>
          <cell r="R746" t="str">
            <v/>
          </cell>
          <cell r="S746" t="str">
            <v/>
          </cell>
          <cell r="T746" t="str">
            <v/>
          </cell>
          <cell r="U746" t="str">
            <v/>
          </cell>
          <cell r="V746" t="str">
            <v>N52</v>
          </cell>
          <cell r="W746" t="str">
            <v/>
          </cell>
          <cell r="X746" t="str">
            <v/>
          </cell>
          <cell r="Y746" t="str">
            <v/>
          </cell>
          <cell r="Z746" t="str">
            <v/>
          </cell>
          <cell r="AA746" t="str">
            <v/>
          </cell>
          <cell r="AB746" t="str">
            <v>PA_4641572-DF.7004-4</v>
          </cell>
          <cell r="AC746">
            <v>1</v>
          </cell>
          <cell r="AD746" t="str">
            <v/>
          </cell>
          <cell r="AE746">
            <v>0</v>
          </cell>
          <cell r="AF746" t="str">
            <v/>
          </cell>
          <cell r="AG746" t="str">
            <v>12538667</v>
          </cell>
          <cell r="AH746">
            <v>44744.055451388886</v>
          </cell>
          <cell r="AI746" t="str">
            <v>N52</v>
          </cell>
          <cell r="AJ746" t="str">
            <v>F</v>
          </cell>
          <cell r="AK746" t="str">
            <v/>
          </cell>
        </row>
        <row r="747">
          <cell r="A747" t="str">
            <v>12538668829052</v>
          </cell>
          <cell r="B747" t="e">
            <v>#N/A</v>
          </cell>
          <cell r="C747">
            <v>3</v>
          </cell>
          <cell r="D747" t="str">
            <v>EK65</v>
          </cell>
          <cell r="E747" t="str">
            <v>602905</v>
          </cell>
          <cell r="F747" t="str">
            <v>E</v>
          </cell>
          <cell r="G747" t="str">
            <v>12538668</v>
          </cell>
          <cell r="H747" t="str">
            <v>Dehnhuelse</v>
          </cell>
          <cell r="I747">
            <v>121</v>
          </cell>
          <cell r="J747" t="str">
            <v>Stk</v>
          </cell>
          <cell r="K747">
            <v>45365</v>
          </cell>
          <cell r="L747" t="str">
            <v>829052</v>
          </cell>
          <cell r="M747" t="str">
            <v/>
          </cell>
          <cell r="N747" t="str">
            <v/>
          </cell>
          <cell r="O747" t="str">
            <v/>
          </cell>
          <cell r="P747" t="str">
            <v/>
          </cell>
          <cell r="Q747" t="str">
            <v/>
          </cell>
          <cell r="R747" t="str">
            <v/>
          </cell>
          <cell r="S747" t="str">
            <v/>
          </cell>
          <cell r="T747" t="str">
            <v/>
          </cell>
          <cell r="U747" t="str">
            <v/>
          </cell>
          <cell r="V747" t="str">
            <v>N52</v>
          </cell>
          <cell r="W747" t="str">
            <v/>
          </cell>
          <cell r="X747" t="str">
            <v/>
          </cell>
          <cell r="Y747" t="str">
            <v/>
          </cell>
          <cell r="Z747" t="str">
            <v/>
          </cell>
          <cell r="AA747" t="str">
            <v/>
          </cell>
          <cell r="AB747" t="str">
            <v>PA_4641573-DF.7004-4</v>
          </cell>
          <cell r="AC747">
            <v>1</v>
          </cell>
          <cell r="AD747" t="str">
            <v/>
          </cell>
          <cell r="AE747">
            <v>0</v>
          </cell>
          <cell r="AF747" t="str">
            <v/>
          </cell>
          <cell r="AG747" t="str">
            <v>12538668</v>
          </cell>
          <cell r="AH747">
            <v>44744.055462962962</v>
          </cell>
          <cell r="AI747" t="str">
            <v>N52</v>
          </cell>
          <cell r="AJ747" t="str">
            <v>F</v>
          </cell>
          <cell r="AK747" t="str">
            <v/>
          </cell>
        </row>
        <row r="748">
          <cell r="A748" t="str">
            <v>12575245829052</v>
          </cell>
          <cell r="B748" t="e">
            <v>#N/A</v>
          </cell>
          <cell r="C748">
            <v>12</v>
          </cell>
          <cell r="D748" t="str">
            <v>EK65</v>
          </cell>
          <cell r="E748" t="str">
            <v>610588</v>
          </cell>
          <cell r="F748" t="str">
            <v>E</v>
          </cell>
          <cell r="G748" t="str">
            <v>12575245</v>
          </cell>
          <cell r="H748" t="str">
            <v>Halter Kabelbund 3x vollst.</v>
          </cell>
          <cell r="I748">
            <v>31</v>
          </cell>
          <cell r="J748" t="str">
            <v>Stk</v>
          </cell>
          <cell r="K748">
            <v>45351</v>
          </cell>
          <cell r="L748" t="str">
            <v>829052</v>
          </cell>
          <cell r="M748" t="str">
            <v/>
          </cell>
          <cell r="N748" t="str">
            <v/>
          </cell>
          <cell r="O748" t="str">
            <v/>
          </cell>
          <cell r="P748" t="str">
            <v/>
          </cell>
          <cell r="Q748" t="str">
            <v/>
          </cell>
          <cell r="R748" t="str">
            <v/>
          </cell>
          <cell r="S748" t="str">
            <v/>
          </cell>
          <cell r="T748" t="str">
            <v/>
          </cell>
          <cell r="U748" t="str">
            <v/>
          </cell>
          <cell r="V748" t="str">
            <v>N38</v>
          </cell>
          <cell r="W748" t="str">
            <v/>
          </cell>
          <cell r="X748" t="str">
            <v/>
          </cell>
          <cell r="Y748" t="str">
            <v/>
          </cell>
          <cell r="Z748" t="str">
            <v/>
          </cell>
          <cell r="AA748" t="str">
            <v/>
          </cell>
          <cell r="AB748" t="str">
            <v>PA_4818861-UA.7004-3</v>
          </cell>
          <cell r="AC748">
            <v>1</v>
          </cell>
          <cell r="AD748" t="str">
            <v/>
          </cell>
          <cell r="AE748">
            <v>0</v>
          </cell>
          <cell r="AF748" t="str">
            <v/>
          </cell>
          <cell r="AG748" t="str">
            <v>12575245</v>
          </cell>
          <cell r="AH748">
            <v>44750.016192129631</v>
          </cell>
          <cell r="AI748" t="str">
            <v>N38</v>
          </cell>
          <cell r="AJ748" t="str">
            <v>F</v>
          </cell>
          <cell r="AK748" t="str">
            <v/>
          </cell>
        </row>
        <row r="749">
          <cell r="A749" t="str">
            <v>12589672829053</v>
          </cell>
          <cell r="B749" t="e">
            <v>#N/A</v>
          </cell>
          <cell r="C749">
            <v>24</v>
          </cell>
          <cell r="D749" t="str">
            <v>EK65</v>
          </cell>
          <cell r="E749" t="str">
            <v>610589</v>
          </cell>
          <cell r="F749" t="str">
            <v>E</v>
          </cell>
          <cell r="G749" t="str">
            <v>12589672</v>
          </cell>
          <cell r="H749" t="str">
            <v>Deckenhalter</v>
          </cell>
          <cell r="I749">
            <v>24</v>
          </cell>
          <cell r="J749" t="str">
            <v>Stk</v>
          </cell>
          <cell r="K749">
            <v>45153</v>
          </cell>
          <cell r="L749" t="str">
            <v>829053</v>
          </cell>
          <cell r="M749" t="str">
            <v/>
          </cell>
          <cell r="N749" t="str">
            <v/>
          </cell>
          <cell r="O749" t="str">
            <v/>
          </cell>
          <cell r="P749" t="str">
            <v/>
          </cell>
          <cell r="Q749" t="str">
            <v/>
          </cell>
          <cell r="R749" t="str">
            <v/>
          </cell>
          <cell r="S749" t="str">
            <v/>
          </cell>
          <cell r="T749" t="str">
            <v/>
          </cell>
          <cell r="U749" t="str">
            <v/>
          </cell>
          <cell r="V749" t="str">
            <v>N52</v>
          </cell>
          <cell r="W749" t="str">
            <v/>
          </cell>
          <cell r="X749" t="str">
            <v/>
          </cell>
          <cell r="Y749" t="str">
            <v/>
          </cell>
          <cell r="Z749" t="str">
            <v/>
          </cell>
          <cell r="AA749" t="str">
            <v/>
          </cell>
          <cell r="AB749" t="str">
            <v>PA_4865671-UA.7004-2</v>
          </cell>
          <cell r="AC749">
            <v>1</v>
          </cell>
          <cell r="AD749" t="str">
            <v/>
          </cell>
          <cell r="AE749">
            <v>0</v>
          </cell>
          <cell r="AF749" t="str">
            <v/>
          </cell>
          <cell r="AG749" t="str">
            <v>12589672</v>
          </cell>
          <cell r="AH749">
            <v>44750.016226851854</v>
          </cell>
          <cell r="AI749" t="str">
            <v>N52</v>
          </cell>
          <cell r="AJ749" t="str">
            <v>F</v>
          </cell>
          <cell r="AK749" t="str">
            <v/>
          </cell>
        </row>
        <row r="750">
          <cell r="A750" t="str">
            <v>12574020829053</v>
          </cell>
          <cell r="B750" t="e">
            <v>#N/A</v>
          </cell>
          <cell r="C750">
            <v>12</v>
          </cell>
          <cell r="D750" t="str">
            <v>EK65</v>
          </cell>
          <cell r="E750" t="str">
            <v>614778</v>
          </cell>
          <cell r="F750" t="str">
            <v>E</v>
          </cell>
          <cell r="G750" t="str">
            <v>12574020</v>
          </cell>
          <cell r="H750" t="str">
            <v>Platte</v>
          </cell>
          <cell r="I750">
            <v>214</v>
          </cell>
          <cell r="J750" t="str">
            <v>Stk</v>
          </cell>
          <cell r="K750">
            <v>45191</v>
          </cell>
          <cell r="L750" t="str">
            <v>829053</v>
          </cell>
          <cell r="M750" t="str">
            <v/>
          </cell>
          <cell r="N750" t="str">
            <v/>
          </cell>
          <cell r="O750" t="str">
            <v/>
          </cell>
          <cell r="P750" t="str">
            <v/>
          </cell>
          <cell r="Q750" t="str">
            <v/>
          </cell>
          <cell r="R750" t="str">
            <v/>
          </cell>
          <cell r="S750" t="str">
            <v/>
          </cell>
          <cell r="T750" t="str">
            <v/>
          </cell>
          <cell r="U750" t="str">
            <v/>
          </cell>
          <cell r="V750" t="str">
            <v>N52</v>
          </cell>
          <cell r="W750" t="str">
            <v/>
          </cell>
          <cell r="X750" t="str">
            <v/>
          </cell>
          <cell r="Y750" t="str">
            <v/>
          </cell>
          <cell r="Z750" t="str">
            <v/>
          </cell>
          <cell r="AA750" t="str">
            <v/>
          </cell>
          <cell r="AB750" t="str">
            <v>PA_2329798-EA.7005-3</v>
          </cell>
          <cell r="AC750">
            <v>1</v>
          </cell>
          <cell r="AD750" t="str">
            <v/>
          </cell>
          <cell r="AE750">
            <v>0</v>
          </cell>
          <cell r="AF750" t="str">
            <v/>
          </cell>
          <cell r="AG750" t="str">
            <v>12574020</v>
          </cell>
          <cell r="AH750">
            <v>44756.880150462966</v>
          </cell>
          <cell r="AI750" t="str">
            <v>N52</v>
          </cell>
          <cell r="AJ750" t="str">
            <v>F</v>
          </cell>
          <cell r="AK750" t="str">
            <v/>
          </cell>
        </row>
        <row r="751">
          <cell r="A751" t="str">
            <v>12574020829054</v>
          </cell>
          <cell r="B751" t="e">
            <v>#N/A</v>
          </cell>
          <cell r="C751">
            <v>12</v>
          </cell>
          <cell r="D751" t="str">
            <v>EK65</v>
          </cell>
          <cell r="E751" t="str">
            <v>614779</v>
          </cell>
          <cell r="F751" t="str">
            <v>E</v>
          </cell>
          <cell r="G751" t="str">
            <v>12574020</v>
          </cell>
          <cell r="H751" t="str">
            <v>Platte</v>
          </cell>
          <cell r="I751">
            <v>64</v>
          </cell>
          <cell r="J751" t="str">
            <v>Stk</v>
          </cell>
          <cell r="K751">
            <v>45227</v>
          </cell>
          <cell r="L751" t="str">
            <v>829054</v>
          </cell>
          <cell r="M751" t="str">
            <v/>
          </cell>
          <cell r="N751" t="str">
            <v/>
          </cell>
          <cell r="O751" t="str">
            <v/>
          </cell>
          <cell r="P751" t="str">
            <v/>
          </cell>
          <cell r="Q751" t="str">
            <v/>
          </cell>
          <cell r="R751" t="str">
            <v/>
          </cell>
          <cell r="S751" t="str">
            <v/>
          </cell>
          <cell r="T751" t="str">
            <v/>
          </cell>
          <cell r="U751" t="str">
            <v/>
          </cell>
          <cell r="V751" t="str">
            <v>N52</v>
          </cell>
          <cell r="W751" t="str">
            <v/>
          </cell>
          <cell r="X751" t="str">
            <v/>
          </cell>
          <cell r="Y751" t="str">
            <v/>
          </cell>
          <cell r="Z751" t="str">
            <v/>
          </cell>
          <cell r="AA751" t="str">
            <v/>
          </cell>
          <cell r="AB751" t="str">
            <v>PA_2329798-EA.7005-3</v>
          </cell>
          <cell r="AC751">
            <v>1</v>
          </cell>
          <cell r="AD751" t="str">
            <v/>
          </cell>
          <cell r="AE751">
            <v>0</v>
          </cell>
          <cell r="AF751" t="str">
            <v/>
          </cell>
          <cell r="AG751" t="str">
            <v>12574020</v>
          </cell>
          <cell r="AH751">
            <v>44756.880150462966</v>
          </cell>
          <cell r="AI751" t="str">
            <v>N52</v>
          </cell>
          <cell r="AJ751" t="str">
            <v>F</v>
          </cell>
          <cell r="AK751" t="str">
            <v/>
          </cell>
        </row>
        <row r="752">
          <cell r="A752" t="str">
            <v>12540991829051</v>
          </cell>
          <cell r="B752" t="str">
            <v>BL20230413-2</v>
          </cell>
          <cell r="C752">
            <v>12</v>
          </cell>
          <cell r="D752" t="str">
            <v>EK65</v>
          </cell>
          <cell r="E752" t="str">
            <v>615178</v>
          </cell>
          <cell r="F752" t="str">
            <v>E</v>
          </cell>
          <cell r="G752" t="str">
            <v>12540991</v>
          </cell>
          <cell r="H752" t="str">
            <v>Winkel oben links kpl.</v>
          </cell>
          <cell r="I752">
            <v>540</v>
          </cell>
          <cell r="J752" t="str">
            <v>Stk</v>
          </cell>
          <cell r="K752">
            <v>45336</v>
          </cell>
          <cell r="L752" t="str">
            <v>829051</v>
          </cell>
          <cell r="M752" t="str">
            <v/>
          </cell>
          <cell r="N752" t="str">
            <v/>
          </cell>
          <cell r="O752" t="str">
            <v/>
          </cell>
          <cell r="P752" t="str">
            <v/>
          </cell>
          <cell r="Q752" t="str">
            <v/>
          </cell>
          <cell r="R752" t="str">
            <v/>
          </cell>
          <cell r="S752" t="str">
            <v/>
          </cell>
          <cell r="T752" t="str">
            <v/>
          </cell>
          <cell r="U752" t="str">
            <v/>
          </cell>
          <cell r="V752" t="str">
            <v>N38</v>
          </cell>
          <cell r="W752" t="str">
            <v/>
          </cell>
          <cell r="X752" t="str">
            <v/>
          </cell>
          <cell r="Y752" t="str">
            <v/>
          </cell>
          <cell r="Z752" t="str">
            <v/>
          </cell>
          <cell r="AA752" t="str">
            <v/>
          </cell>
          <cell r="AB752" t="str">
            <v>PA_4602038-CD.7004-4</v>
          </cell>
          <cell r="AC752">
            <v>1</v>
          </cell>
          <cell r="AD752" t="str">
            <v/>
          </cell>
          <cell r="AE752">
            <v>0</v>
          </cell>
          <cell r="AF752" t="str">
            <v/>
          </cell>
          <cell r="AG752" t="str">
            <v>12540991</v>
          </cell>
          <cell r="AH752">
            <v>44761.88486111111</v>
          </cell>
          <cell r="AI752" t="str">
            <v>N38</v>
          </cell>
          <cell r="AJ752" t="str">
            <v>F</v>
          </cell>
          <cell r="AK752" t="str">
            <v>A</v>
          </cell>
        </row>
        <row r="753">
          <cell r="A753" t="str">
            <v>12540991829052</v>
          </cell>
          <cell r="B753" t="e">
            <v>#N/A</v>
          </cell>
          <cell r="C753">
            <v>12</v>
          </cell>
          <cell r="D753" t="str">
            <v>EK65</v>
          </cell>
          <cell r="E753" t="str">
            <v>615179</v>
          </cell>
          <cell r="F753" t="str">
            <v>E</v>
          </cell>
          <cell r="G753" t="str">
            <v>12540991</v>
          </cell>
          <cell r="H753" t="str">
            <v>Winkel oben links kpl.</v>
          </cell>
          <cell r="I753">
            <v>185</v>
          </cell>
          <cell r="J753" t="str">
            <v>Stk</v>
          </cell>
          <cell r="K753">
            <v>45363</v>
          </cell>
          <cell r="L753" t="str">
            <v>829052</v>
          </cell>
          <cell r="M753" t="str">
            <v/>
          </cell>
          <cell r="N753" t="str">
            <v/>
          </cell>
          <cell r="O753" t="str">
            <v/>
          </cell>
          <cell r="P753" t="str">
            <v/>
          </cell>
          <cell r="Q753" t="str">
            <v/>
          </cell>
          <cell r="R753" t="str">
            <v/>
          </cell>
          <cell r="S753" t="str">
            <v/>
          </cell>
          <cell r="T753" t="str">
            <v/>
          </cell>
          <cell r="U753" t="str">
            <v/>
          </cell>
          <cell r="V753" t="str">
            <v>N38</v>
          </cell>
          <cell r="W753" t="str">
            <v/>
          </cell>
          <cell r="X753" t="str">
            <v/>
          </cell>
          <cell r="Y753" t="str">
            <v/>
          </cell>
          <cell r="Z753" t="str">
            <v/>
          </cell>
          <cell r="AA753" t="str">
            <v/>
          </cell>
          <cell r="AB753" t="str">
            <v>PA_4602038-CD.7004-4</v>
          </cell>
          <cell r="AC753">
            <v>1</v>
          </cell>
          <cell r="AD753" t="str">
            <v/>
          </cell>
          <cell r="AE753">
            <v>0</v>
          </cell>
          <cell r="AF753" t="str">
            <v/>
          </cell>
          <cell r="AG753" t="str">
            <v>12540991</v>
          </cell>
          <cell r="AH753">
            <v>44761.884872685187</v>
          </cell>
          <cell r="AI753" t="str">
            <v>N38</v>
          </cell>
          <cell r="AJ753" t="str">
            <v>F</v>
          </cell>
          <cell r="AK753" t="str">
            <v>A</v>
          </cell>
        </row>
        <row r="754">
          <cell r="A754" t="str">
            <v>12540992829051</v>
          </cell>
          <cell r="B754" t="str">
            <v>BL20230413-2</v>
          </cell>
          <cell r="C754">
            <v>12</v>
          </cell>
          <cell r="D754" t="str">
            <v>EK65</v>
          </cell>
          <cell r="E754" t="str">
            <v>615180</v>
          </cell>
          <cell r="F754" t="str">
            <v>E</v>
          </cell>
          <cell r="G754" t="str">
            <v>12540992</v>
          </cell>
          <cell r="H754" t="str">
            <v>Winkel oben rechts kpl.</v>
          </cell>
          <cell r="I754">
            <v>540</v>
          </cell>
          <cell r="J754" t="str">
            <v>Stk</v>
          </cell>
          <cell r="K754">
            <v>45336</v>
          </cell>
          <cell r="L754" t="str">
            <v>829051</v>
          </cell>
          <cell r="M754" t="str">
            <v/>
          </cell>
          <cell r="N754" t="str">
            <v/>
          </cell>
          <cell r="O754" t="str">
            <v/>
          </cell>
          <cell r="P754" t="str">
            <v/>
          </cell>
          <cell r="Q754" t="str">
            <v/>
          </cell>
          <cell r="R754" t="str">
            <v/>
          </cell>
          <cell r="S754" t="str">
            <v/>
          </cell>
          <cell r="T754" t="str">
            <v/>
          </cell>
          <cell r="U754" t="str">
            <v/>
          </cell>
          <cell r="V754" t="str">
            <v>N38</v>
          </cell>
          <cell r="W754" t="str">
            <v/>
          </cell>
          <cell r="X754" t="str">
            <v/>
          </cell>
          <cell r="Y754" t="str">
            <v/>
          </cell>
          <cell r="Z754" t="str">
            <v/>
          </cell>
          <cell r="AA754" t="str">
            <v/>
          </cell>
          <cell r="AB754" t="str">
            <v>PA_4603448-CD.7004-4</v>
          </cell>
          <cell r="AC754">
            <v>1</v>
          </cell>
          <cell r="AD754" t="str">
            <v/>
          </cell>
          <cell r="AE754">
            <v>0</v>
          </cell>
          <cell r="AF754" t="str">
            <v/>
          </cell>
          <cell r="AG754" t="str">
            <v>12540992</v>
          </cell>
          <cell r="AH754">
            <v>44761.884895833333</v>
          </cell>
          <cell r="AI754" t="str">
            <v>N38</v>
          </cell>
          <cell r="AJ754" t="str">
            <v>F</v>
          </cell>
          <cell r="AK754" t="str">
            <v>A</v>
          </cell>
        </row>
        <row r="755">
          <cell r="A755" t="str">
            <v>12540992829052</v>
          </cell>
          <cell r="B755" t="e">
            <v>#N/A</v>
          </cell>
          <cell r="C755">
            <v>12</v>
          </cell>
          <cell r="D755" t="str">
            <v>EK65</v>
          </cell>
          <cell r="E755" t="str">
            <v>615181</v>
          </cell>
          <cell r="F755" t="str">
            <v>E</v>
          </cell>
          <cell r="G755" t="str">
            <v>12540992</v>
          </cell>
          <cell r="H755" t="str">
            <v>Winkel oben rechts kpl.</v>
          </cell>
          <cell r="I755">
            <v>185</v>
          </cell>
          <cell r="J755" t="str">
            <v>Stk</v>
          </cell>
          <cell r="K755">
            <v>45363</v>
          </cell>
          <cell r="L755" t="str">
            <v>829052</v>
          </cell>
          <cell r="M755" t="str">
            <v/>
          </cell>
          <cell r="N755" t="str">
            <v/>
          </cell>
          <cell r="O755" t="str">
            <v/>
          </cell>
          <cell r="P755" t="str">
            <v/>
          </cell>
          <cell r="Q755" t="str">
            <v/>
          </cell>
          <cell r="R755" t="str">
            <v/>
          </cell>
          <cell r="S755" t="str">
            <v/>
          </cell>
          <cell r="T755" t="str">
            <v/>
          </cell>
          <cell r="U755" t="str">
            <v/>
          </cell>
          <cell r="V755" t="str">
            <v>N38</v>
          </cell>
          <cell r="W755" t="str">
            <v/>
          </cell>
          <cell r="X755" t="str">
            <v/>
          </cell>
          <cell r="Y755" t="str">
            <v/>
          </cell>
          <cell r="Z755" t="str">
            <v/>
          </cell>
          <cell r="AA755" t="str">
            <v/>
          </cell>
          <cell r="AB755" t="str">
            <v>PA_4603448-CD.7004-4</v>
          </cell>
          <cell r="AC755">
            <v>1</v>
          </cell>
          <cell r="AD755" t="str">
            <v/>
          </cell>
          <cell r="AE755">
            <v>0</v>
          </cell>
          <cell r="AF755" t="str">
            <v/>
          </cell>
          <cell r="AG755" t="str">
            <v>12540992</v>
          </cell>
          <cell r="AH755">
            <v>44761.884895833333</v>
          </cell>
          <cell r="AI755" t="str">
            <v>N38</v>
          </cell>
          <cell r="AJ755" t="str">
            <v>F</v>
          </cell>
          <cell r="AK755" t="str">
            <v>A</v>
          </cell>
        </row>
        <row r="756">
          <cell r="A756" t="str">
            <v>12486554829053</v>
          </cell>
          <cell r="B756" t="e">
            <v>#N/A</v>
          </cell>
          <cell r="C756">
            <v>6</v>
          </cell>
          <cell r="D756" t="str">
            <v>EK65</v>
          </cell>
          <cell r="E756" t="str">
            <v>615540</v>
          </cell>
          <cell r="F756" t="str">
            <v>E</v>
          </cell>
          <cell r="G756" t="str">
            <v>12486554</v>
          </cell>
          <cell r="H756" t="str">
            <v>Haltewinkel</v>
          </cell>
          <cell r="I756">
            <v>24</v>
          </cell>
          <cell r="J756" t="str">
            <v>Stk</v>
          </cell>
          <cell r="K756">
            <v>45216</v>
          </cell>
          <cell r="L756" t="str">
            <v>829053</v>
          </cell>
          <cell r="M756" t="str">
            <v/>
          </cell>
          <cell r="N756" t="str">
            <v/>
          </cell>
          <cell r="O756" t="str">
            <v/>
          </cell>
          <cell r="P756" t="str">
            <v/>
          </cell>
          <cell r="Q756" t="str">
            <v/>
          </cell>
          <cell r="R756" t="str">
            <v/>
          </cell>
          <cell r="S756" t="str">
            <v/>
          </cell>
          <cell r="T756" t="str">
            <v/>
          </cell>
          <cell r="U756" t="str">
            <v/>
          </cell>
          <cell r="V756" t="str">
            <v>N52</v>
          </cell>
          <cell r="W756" t="str">
            <v/>
          </cell>
          <cell r="X756" t="str">
            <v/>
          </cell>
          <cell r="Y756" t="str">
            <v/>
          </cell>
          <cell r="Z756" t="str">
            <v/>
          </cell>
          <cell r="AA756" t="str">
            <v/>
          </cell>
          <cell r="AB756" t="str">
            <v>PA_4407333-QE.7005-4</v>
          </cell>
          <cell r="AC756">
            <v>1</v>
          </cell>
          <cell r="AD756" t="str">
            <v/>
          </cell>
          <cell r="AE756">
            <v>0</v>
          </cell>
          <cell r="AF756" t="str">
            <v/>
          </cell>
          <cell r="AG756" t="str">
            <v>12486554</v>
          </cell>
          <cell r="AH756">
            <v>44762.874479166669</v>
          </cell>
          <cell r="AI756" t="str">
            <v>N52</v>
          </cell>
          <cell r="AJ756" t="str">
            <v>F</v>
          </cell>
          <cell r="AK756" t="str">
            <v>A</v>
          </cell>
        </row>
        <row r="757">
          <cell r="A757" t="str">
            <v>12486752829053</v>
          </cell>
          <cell r="B757" t="e">
            <v>#N/A</v>
          </cell>
          <cell r="C757">
            <v>6</v>
          </cell>
          <cell r="D757" t="str">
            <v>EK65</v>
          </cell>
          <cell r="E757" t="str">
            <v>615541</v>
          </cell>
          <cell r="F757" t="str">
            <v>E</v>
          </cell>
          <cell r="G757" t="str">
            <v>12486752</v>
          </cell>
          <cell r="H757" t="str">
            <v>Haltewinkel</v>
          </cell>
          <cell r="I757">
            <v>25</v>
          </cell>
          <cell r="J757" t="str">
            <v>Stk</v>
          </cell>
          <cell r="K757">
            <v>45204</v>
          </cell>
          <cell r="L757" t="str">
            <v>829053</v>
          </cell>
          <cell r="M757" t="str">
            <v/>
          </cell>
          <cell r="N757" t="str">
            <v/>
          </cell>
          <cell r="O757" t="str">
            <v/>
          </cell>
          <cell r="P757" t="str">
            <v/>
          </cell>
          <cell r="Q757" t="str">
            <v/>
          </cell>
          <cell r="R757" t="str">
            <v/>
          </cell>
          <cell r="S757" t="str">
            <v/>
          </cell>
          <cell r="T757" t="str">
            <v/>
          </cell>
          <cell r="U757" t="str">
            <v/>
          </cell>
          <cell r="V757" t="str">
            <v>N52</v>
          </cell>
          <cell r="W757" t="str">
            <v/>
          </cell>
          <cell r="X757" t="str">
            <v/>
          </cell>
          <cell r="Y757" t="str">
            <v/>
          </cell>
          <cell r="Z757" t="str">
            <v/>
          </cell>
          <cell r="AA757" t="str">
            <v/>
          </cell>
          <cell r="AB757" t="str">
            <v>PA_4406732-QE.7005-3</v>
          </cell>
          <cell r="AC757">
            <v>1</v>
          </cell>
          <cell r="AD757" t="str">
            <v/>
          </cell>
          <cell r="AE757">
            <v>0</v>
          </cell>
          <cell r="AF757" t="str">
            <v/>
          </cell>
          <cell r="AG757" t="str">
            <v>12486752</v>
          </cell>
          <cell r="AH757">
            <v>44762.874525462961</v>
          </cell>
          <cell r="AI757" t="str">
            <v>N52</v>
          </cell>
          <cell r="AJ757" t="str">
            <v>F</v>
          </cell>
          <cell r="AK757" t="str">
            <v>A</v>
          </cell>
        </row>
        <row r="758">
          <cell r="A758" t="str">
            <v>12553117829051</v>
          </cell>
          <cell r="B758" t="str">
            <v>BL20230413-2</v>
          </cell>
          <cell r="C758">
            <v>6</v>
          </cell>
          <cell r="D758" t="str">
            <v>EK65</v>
          </cell>
          <cell r="E758" t="str">
            <v>616492</v>
          </cell>
          <cell r="F758" t="str">
            <v>E</v>
          </cell>
          <cell r="G758" t="str">
            <v>12553117</v>
          </cell>
          <cell r="H758" t="str">
            <v>Winkel</v>
          </cell>
          <cell r="I758">
            <v>90</v>
          </cell>
          <cell r="J758" t="str">
            <v>Stk</v>
          </cell>
          <cell r="K758">
            <v>45336</v>
          </cell>
          <cell r="L758" t="str">
            <v>829051</v>
          </cell>
          <cell r="M758" t="str">
            <v/>
          </cell>
          <cell r="N758" t="str">
            <v/>
          </cell>
          <cell r="O758" t="str">
            <v/>
          </cell>
          <cell r="P758" t="str">
            <v/>
          </cell>
          <cell r="Q758" t="str">
            <v/>
          </cell>
          <cell r="R758" t="str">
            <v/>
          </cell>
          <cell r="S758" t="str">
            <v/>
          </cell>
          <cell r="T758" t="str">
            <v/>
          </cell>
          <cell r="U758" t="str">
            <v/>
          </cell>
          <cell r="V758" t="str">
            <v>N52</v>
          </cell>
          <cell r="W758" t="str">
            <v/>
          </cell>
          <cell r="X758" t="str">
            <v/>
          </cell>
          <cell r="Y758" t="str">
            <v/>
          </cell>
          <cell r="Z758" t="str">
            <v/>
          </cell>
          <cell r="AA758" t="str">
            <v/>
          </cell>
          <cell r="AB758" t="str">
            <v>PA_4578485-DC.7004-4</v>
          </cell>
          <cell r="AC758">
            <v>1</v>
          </cell>
          <cell r="AD758" t="str">
            <v/>
          </cell>
          <cell r="AE758">
            <v>0</v>
          </cell>
          <cell r="AF758" t="str">
            <v/>
          </cell>
          <cell r="AG758" t="str">
            <v>12553117</v>
          </cell>
          <cell r="AH758">
            <v>44767.875763888886</v>
          </cell>
          <cell r="AI758" t="str">
            <v>N52</v>
          </cell>
          <cell r="AJ758" t="str">
            <v>F</v>
          </cell>
          <cell r="AK758" t="str">
            <v/>
          </cell>
        </row>
        <row r="759">
          <cell r="A759" t="str">
            <v>12532809829051</v>
          </cell>
          <cell r="B759" t="e">
            <v>#N/A</v>
          </cell>
          <cell r="C759">
            <v>6</v>
          </cell>
          <cell r="D759" t="str">
            <v>EK65</v>
          </cell>
          <cell r="E759" t="str">
            <v>616876</v>
          </cell>
          <cell r="F759" t="str">
            <v>E</v>
          </cell>
          <cell r="G759" t="str">
            <v>12532809</v>
          </cell>
          <cell r="H759" t="str">
            <v>Winkel</v>
          </cell>
          <cell r="I759">
            <v>181</v>
          </cell>
          <cell r="J759" t="str">
            <v>Stk</v>
          </cell>
          <cell r="K759">
            <v>45205</v>
          </cell>
          <cell r="L759" t="str">
            <v>829051</v>
          </cell>
          <cell r="M759" t="str">
            <v/>
          </cell>
          <cell r="N759" t="str">
            <v/>
          </cell>
          <cell r="O759" t="str">
            <v/>
          </cell>
          <cell r="P759" t="str">
            <v/>
          </cell>
          <cell r="Q759" t="str">
            <v/>
          </cell>
          <cell r="R759" t="str">
            <v/>
          </cell>
          <cell r="S759" t="str">
            <v/>
          </cell>
          <cell r="T759" t="str">
            <v/>
          </cell>
          <cell r="U759" t="str">
            <v/>
          </cell>
          <cell r="V759" t="str">
            <v>N52</v>
          </cell>
          <cell r="W759" t="str">
            <v/>
          </cell>
          <cell r="X759" t="str">
            <v/>
          </cell>
          <cell r="Y759" t="str">
            <v/>
          </cell>
          <cell r="Z759" t="str">
            <v/>
          </cell>
          <cell r="AA759" t="str">
            <v/>
          </cell>
          <cell r="AB759" t="str">
            <v>PA_4612257-TC.7005-3</v>
          </cell>
          <cell r="AC759">
            <v>1</v>
          </cell>
          <cell r="AD759" t="str">
            <v/>
          </cell>
          <cell r="AE759">
            <v>0</v>
          </cell>
          <cell r="AF759" t="str">
            <v/>
          </cell>
          <cell r="AG759" t="str">
            <v>12532809</v>
          </cell>
          <cell r="AH759">
            <v>44768.885416666664</v>
          </cell>
          <cell r="AI759" t="str">
            <v>N52</v>
          </cell>
          <cell r="AJ759" t="str">
            <v>F</v>
          </cell>
          <cell r="AK759" t="str">
            <v>A</v>
          </cell>
        </row>
        <row r="760">
          <cell r="A760" t="str">
            <v>12528338829053</v>
          </cell>
          <cell r="B760" t="e">
            <v>#N/A</v>
          </cell>
          <cell r="C760">
            <v>14</v>
          </cell>
          <cell r="D760" t="str">
            <v>EK65</v>
          </cell>
          <cell r="E760" t="str">
            <v>617643</v>
          </cell>
          <cell r="F760" t="str">
            <v>E</v>
          </cell>
          <cell r="G760" t="str">
            <v>12528338</v>
          </cell>
          <cell r="H760" t="str">
            <v>Beilage 70x45x1</v>
          </cell>
          <cell r="I760">
            <v>92</v>
          </cell>
          <cell r="J760" t="str">
            <v>Stk</v>
          </cell>
          <cell r="K760">
            <v>45232</v>
          </cell>
          <cell r="L760" t="str">
            <v>829053</v>
          </cell>
          <cell r="M760" t="str">
            <v/>
          </cell>
          <cell r="N760" t="str">
            <v/>
          </cell>
          <cell r="O760" t="str">
            <v/>
          </cell>
          <cell r="P760" t="str">
            <v/>
          </cell>
          <cell r="Q760" t="str">
            <v/>
          </cell>
          <cell r="R760" t="str">
            <v/>
          </cell>
          <cell r="S760" t="str">
            <v/>
          </cell>
          <cell r="T760" t="str">
            <v/>
          </cell>
          <cell r="U760" t="str">
            <v/>
          </cell>
          <cell r="V760" t="str">
            <v>N52</v>
          </cell>
          <cell r="W760" t="str">
            <v/>
          </cell>
          <cell r="X760" t="str">
            <v/>
          </cell>
          <cell r="Y760" t="str">
            <v/>
          </cell>
          <cell r="Z760" t="str">
            <v/>
          </cell>
          <cell r="AA760" t="str">
            <v/>
          </cell>
          <cell r="AB760" t="str">
            <v>BU_4162929-CF.7005-4</v>
          </cell>
          <cell r="AC760">
            <v>1</v>
          </cell>
          <cell r="AD760" t="str">
            <v/>
          </cell>
          <cell r="AE760">
            <v>0</v>
          </cell>
          <cell r="AF760" t="str">
            <v/>
          </cell>
          <cell r="AG760" t="str">
            <v>12528338</v>
          </cell>
          <cell r="AH760">
            <v>44770.877442129633</v>
          </cell>
          <cell r="AI760" t="str">
            <v>N52</v>
          </cell>
          <cell r="AJ760" t="str">
            <v>F</v>
          </cell>
          <cell r="AK760" t="str">
            <v>A</v>
          </cell>
        </row>
        <row r="761">
          <cell r="A761" t="str">
            <v>12528338829051</v>
          </cell>
          <cell r="B761" t="e">
            <v>#N/A</v>
          </cell>
          <cell r="C761">
            <v>14</v>
          </cell>
          <cell r="D761" t="str">
            <v>EK65</v>
          </cell>
          <cell r="E761" t="str">
            <v>617644</v>
          </cell>
          <cell r="F761" t="str">
            <v>E</v>
          </cell>
          <cell r="G761" t="str">
            <v>12528338</v>
          </cell>
          <cell r="H761" t="str">
            <v>Beilage 70x45x1</v>
          </cell>
          <cell r="I761">
            <v>90</v>
          </cell>
          <cell r="J761" t="str">
            <v>Stk</v>
          </cell>
          <cell r="K761">
            <v>45330</v>
          </cell>
          <cell r="L761" t="str">
            <v>829051</v>
          </cell>
          <cell r="M761" t="str">
            <v/>
          </cell>
          <cell r="N761" t="str">
            <v/>
          </cell>
          <cell r="O761" t="str">
            <v/>
          </cell>
          <cell r="P761" t="str">
            <v/>
          </cell>
          <cell r="Q761" t="str">
            <v/>
          </cell>
          <cell r="R761" t="str">
            <v/>
          </cell>
          <cell r="S761" t="str">
            <v/>
          </cell>
          <cell r="T761" t="str">
            <v/>
          </cell>
          <cell r="U761" t="str">
            <v/>
          </cell>
          <cell r="V761" t="str">
            <v>N52</v>
          </cell>
          <cell r="W761" t="str">
            <v/>
          </cell>
          <cell r="X761" t="str">
            <v/>
          </cell>
          <cell r="Y761" t="str">
            <v/>
          </cell>
          <cell r="Z761" t="str">
            <v/>
          </cell>
          <cell r="AA761" t="str">
            <v/>
          </cell>
          <cell r="AB761" t="str">
            <v>BU_4162929-CF.7005-4</v>
          </cell>
          <cell r="AC761">
            <v>1</v>
          </cell>
          <cell r="AD761" t="str">
            <v/>
          </cell>
          <cell r="AE761">
            <v>0</v>
          </cell>
          <cell r="AF761" t="str">
            <v/>
          </cell>
          <cell r="AG761" t="str">
            <v>12528338</v>
          </cell>
          <cell r="AH761">
            <v>44770.877442129633</v>
          </cell>
          <cell r="AI761" t="str">
            <v>N52</v>
          </cell>
          <cell r="AJ761" t="str">
            <v>F</v>
          </cell>
          <cell r="AK761" t="str">
            <v>A</v>
          </cell>
        </row>
        <row r="762">
          <cell r="A762" t="str">
            <v>12528344829053</v>
          </cell>
          <cell r="B762" t="e">
            <v>#N/A</v>
          </cell>
          <cell r="C762">
            <v>10</v>
          </cell>
          <cell r="D762" t="str">
            <v>EK65</v>
          </cell>
          <cell r="E762" t="str">
            <v>617645</v>
          </cell>
          <cell r="F762" t="str">
            <v>E</v>
          </cell>
          <cell r="G762" t="str">
            <v>12528344</v>
          </cell>
          <cell r="H762" t="str">
            <v>Beilage 70x45x2</v>
          </cell>
          <cell r="I762">
            <v>92</v>
          </cell>
          <cell r="J762" t="str">
            <v>Stk</v>
          </cell>
          <cell r="K762">
            <v>45232</v>
          </cell>
          <cell r="L762" t="str">
            <v>829053</v>
          </cell>
          <cell r="M762" t="str">
            <v/>
          </cell>
          <cell r="N762" t="str">
            <v/>
          </cell>
          <cell r="O762" t="str">
            <v/>
          </cell>
          <cell r="P762" t="str">
            <v/>
          </cell>
          <cell r="Q762" t="str">
            <v/>
          </cell>
          <cell r="R762" t="str">
            <v/>
          </cell>
          <cell r="S762" t="str">
            <v/>
          </cell>
          <cell r="T762" t="str">
            <v/>
          </cell>
          <cell r="U762" t="str">
            <v/>
          </cell>
          <cell r="V762" t="str">
            <v>N52</v>
          </cell>
          <cell r="W762" t="str">
            <v/>
          </cell>
          <cell r="X762" t="str">
            <v/>
          </cell>
          <cell r="Y762" t="str">
            <v/>
          </cell>
          <cell r="Z762" t="str">
            <v/>
          </cell>
          <cell r="AA762" t="str">
            <v/>
          </cell>
          <cell r="AB762" t="str">
            <v>BU_4162930-CF.7005-4</v>
          </cell>
          <cell r="AC762">
            <v>1</v>
          </cell>
          <cell r="AD762" t="str">
            <v/>
          </cell>
          <cell r="AE762">
            <v>0</v>
          </cell>
          <cell r="AF762" t="str">
            <v/>
          </cell>
          <cell r="AG762" t="str">
            <v>12528344</v>
          </cell>
          <cell r="AH762">
            <v>44770.877476851849</v>
          </cell>
          <cell r="AI762" t="str">
            <v>N52</v>
          </cell>
          <cell r="AJ762" t="str">
            <v>F</v>
          </cell>
          <cell r="AK762" t="str">
            <v>A</v>
          </cell>
        </row>
        <row r="763">
          <cell r="A763" t="str">
            <v>12528344829051</v>
          </cell>
          <cell r="B763" t="e">
            <v>#N/A</v>
          </cell>
          <cell r="C763">
            <v>10</v>
          </cell>
          <cell r="D763" t="str">
            <v>EK65</v>
          </cell>
          <cell r="E763" t="str">
            <v>617646</v>
          </cell>
          <cell r="F763" t="str">
            <v>E</v>
          </cell>
          <cell r="G763" t="str">
            <v>12528344</v>
          </cell>
          <cell r="H763" t="str">
            <v>Beilage 70x45x2</v>
          </cell>
          <cell r="I763">
            <v>90</v>
          </cell>
          <cell r="J763" t="str">
            <v>Stk</v>
          </cell>
          <cell r="K763">
            <v>45330</v>
          </cell>
          <cell r="L763" t="str">
            <v>829051</v>
          </cell>
          <cell r="M763" t="str">
            <v/>
          </cell>
          <cell r="N763" t="str">
            <v/>
          </cell>
          <cell r="O763" t="str">
            <v/>
          </cell>
          <cell r="P763" t="str">
            <v/>
          </cell>
          <cell r="Q763" t="str">
            <v/>
          </cell>
          <cell r="R763" t="str">
            <v/>
          </cell>
          <cell r="S763" t="str">
            <v/>
          </cell>
          <cell r="T763" t="str">
            <v/>
          </cell>
          <cell r="U763" t="str">
            <v/>
          </cell>
          <cell r="V763" t="str">
            <v>N52</v>
          </cell>
          <cell r="W763" t="str">
            <v/>
          </cell>
          <cell r="X763" t="str">
            <v/>
          </cell>
          <cell r="Y763" t="str">
            <v/>
          </cell>
          <cell r="Z763" t="str">
            <v/>
          </cell>
          <cell r="AA763" t="str">
            <v/>
          </cell>
          <cell r="AB763" t="str">
            <v>BU_4162930-CF.7005-4</v>
          </cell>
          <cell r="AC763">
            <v>1</v>
          </cell>
          <cell r="AD763" t="str">
            <v/>
          </cell>
          <cell r="AE763">
            <v>0</v>
          </cell>
          <cell r="AF763" t="str">
            <v/>
          </cell>
          <cell r="AG763" t="str">
            <v>12528344</v>
          </cell>
          <cell r="AH763">
            <v>44770.877476851849</v>
          </cell>
          <cell r="AI763" t="str">
            <v>N52</v>
          </cell>
          <cell r="AJ763" t="str">
            <v>F</v>
          </cell>
          <cell r="AK763" t="str">
            <v>A</v>
          </cell>
        </row>
        <row r="764">
          <cell r="A764" t="str">
            <v>12527526829053</v>
          </cell>
          <cell r="B764" t="e">
            <v>#N/A</v>
          </cell>
          <cell r="C764">
            <v>6</v>
          </cell>
          <cell r="D764" t="str">
            <v>EK65</v>
          </cell>
          <cell r="E764" t="str">
            <v>617847</v>
          </cell>
          <cell r="F764" t="str">
            <v>E</v>
          </cell>
          <cell r="G764" t="str">
            <v>12527526</v>
          </cell>
          <cell r="H764" t="str">
            <v>Halter</v>
          </cell>
          <cell r="I764">
            <v>23</v>
          </cell>
          <cell r="J764" t="str">
            <v>Stk</v>
          </cell>
          <cell r="K764">
            <v>45219</v>
          </cell>
          <cell r="L764" t="str">
            <v>829053</v>
          </cell>
          <cell r="M764" t="str">
            <v/>
          </cell>
          <cell r="N764" t="str">
            <v/>
          </cell>
          <cell r="O764" t="str">
            <v/>
          </cell>
          <cell r="P764" t="str">
            <v/>
          </cell>
          <cell r="Q764" t="str">
            <v/>
          </cell>
          <cell r="R764" t="str">
            <v/>
          </cell>
          <cell r="S764" t="str">
            <v/>
          </cell>
          <cell r="T764" t="str">
            <v/>
          </cell>
          <cell r="U764" t="str">
            <v/>
          </cell>
          <cell r="V764" t="str">
            <v>N38</v>
          </cell>
          <cell r="W764" t="str">
            <v/>
          </cell>
          <cell r="X764" t="str">
            <v/>
          </cell>
          <cell r="Y764" t="str">
            <v/>
          </cell>
          <cell r="Z764" t="str">
            <v/>
          </cell>
          <cell r="AA764" t="str">
            <v/>
          </cell>
          <cell r="AB764" t="str">
            <v>PA_4413204-UA.7005-3</v>
          </cell>
          <cell r="AC764">
            <v>1</v>
          </cell>
          <cell r="AD764" t="str">
            <v/>
          </cell>
          <cell r="AE764">
            <v>0</v>
          </cell>
          <cell r="AF764" t="str">
            <v/>
          </cell>
          <cell r="AG764" t="str">
            <v>12527526</v>
          </cell>
          <cell r="AH764">
            <v>44771.873738425929</v>
          </cell>
          <cell r="AI764" t="str">
            <v>N38</v>
          </cell>
          <cell r="AJ764" t="str">
            <v>F</v>
          </cell>
          <cell r="AK764" t="str">
            <v/>
          </cell>
        </row>
        <row r="765">
          <cell r="A765" t="str">
            <v>12527610829053</v>
          </cell>
          <cell r="B765" t="e">
            <v>#N/A</v>
          </cell>
          <cell r="C765">
            <v>20</v>
          </cell>
          <cell r="D765" t="str">
            <v>EK65</v>
          </cell>
          <cell r="E765" t="str">
            <v>617848</v>
          </cell>
          <cell r="F765" t="str">
            <v>E</v>
          </cell>
          <cell r="G765" t="str">
            <v>12527610</v>
          </cell>
          <cell r="H765" t="str">
            <v>Halter vollst.</v>
          </cell>
          <cell r="I765">
            <v>51</v>
          </cell>
          <cell r="J765" t="str">
            <v>Stk</v>
          </cell>
          <cell r="K765">
            <v>45198</v>
          </cell>
          <cell r="L765" t="str">
            <v>829053</v>
          </cell>
          <cell r="M765" t="str">
            <v/>
          </cell>
          <cell r="N765" t="str">
            <v/>
          </cell>
          <cell r="O765" t="str">
            <v/>
          </cell>
          <cell r="P765" t="str">
            <v/>
          </cell>
          <cell r="Q765" t="str">
            <v/>
          </cell>
          <cell r="R765" t="str">
            <v/>
          </cell>
          <cell r="S765" t="str">
            <v/>
          </cell>
          <cell r="T765" t="str">
            <v/>
          </cell>
          <cell r="U765" t="str">
            <v/>
          </cell>
          <cell r="V765" t="str">
            <v>N38</v>
          </cell>
          <cell r="W765" t="str">
            <v/>
          </cell>
          <cell r="X765" t="str">
            <v/>
          </cell>
          <cell r="Y765" t="str">
            <v/>
          </cell>
          <cell r="Z765" t="str">
            <v/>
          </cell>
          <cell r="AA765" t="str">
            <v/>
          </cell>
          <cell r="AB765" t="str">
            <v>PA_4417148-UA.7005-4</v>
          </cell>
          <cell r="AC765">
            <v>1</v>
          </cell>
          <cell r="AD765" t="str">
            <v/>
          </cell>
          <cell r="AE765">
            <v>0</v>
          </cell>
          <cell r="AF765" t="str">
            <v/>
          </cell>
          <cell r="AG765" t="str">
            <v>12527610</v>
          </cell>
          <cell r="AH765">
            <v>44771.873796296299</v>
          </cell>
          <cell r="AI765" t="str">
            <v>N38</v>
          </cell>
          <cell r="AJ765" t="str">
            <v>F</v>
          </cell>
          <cell r="AK765" t="str">
            <v/>
          </cell>
        </row>
        <row r="766">
          <cell r="A766" t="str">
            <v>12527610829054</v>
          </cell>
          <cell r="B766" t="e">
            <v>#N/A</v>
          </cell>
          <cell r="C766">
            <v>20</v>
          </cell>
          <cell r="D766" t="str">
            <v>EK65</v>
          </cell>
          <cell r="E766" t="str">
            <v>617849</v>
          </cell>
          <cell r="F766" t="str">
            <v>E</v>
          </cell>
          <cell r="G766" t="str">
            <v>12527610</v>
          </cell>
          <cell r="H766" t="str">
            <v>Halter vollst.</v>
          </cell>
          <cell r="I766">
            <v>17</v>
          </cell>
          <cell r="J766" t="str">
            <v>Stk</v>
          </cell>
          <cell r="K766">
            <v>45210</v>
          </cell>
          <cell r="L766" t="str">
            <v>829054</v>
          </cell>
          <cell r="M766" t="str">
            <v/>
          </cell>
          <cell r="N766" t="str">
            <v/>
          </cell>
          <cell r="O766" t="str">
            <v/>
          </cell>
          <cell r="P766" t="str">
            <v/>
          </cell>
          <cell r="Q766" t="str">
            <v/>
          </cell>
          <cell r="R766" t="str">
            <v/>
          </cell>
          <cell r="S766" t="str">
            <v/>
          </cell>
          <cell r="T766" t="str">
            <v/>
          </cell>
          <cell r="U766" t="str">
            <v/>
          </cell>
          <cell r="V766" t="str">
            <v>N38</v>
          </cell>
          <cell r="W766" t="str">
            <v/>
          </cell>
          <cell r="X766" t="str">
            <v/>
          </cell>
          <cell r="Y766" t="str">
            <v/>
          </cell>
          <cell r="Z766" t="str">
            <v/>
          </cell>
          <cell r="AA766" t="str">
            <v/>
          </cell>
          <cell r="AB766" t="str">
            <v>PA_4417148-UA.7005-4</v>
          </cell>
          <cell r="AC766">
            <v>1</v>
          </cell>
          <cell r="AD766" t="str">
            <v/>
          </cell>
          <cell r="AE766">
            <v>0</v>
          </cell>
          <cell r="AF766" t="str">
            <v/>
          </cell>
          <cell r="AG766" t="str">
            <v>12527610</v>
          </cell>
          <cell r="AH766">
            <v>44771.873796296299</v>
          </cell>
          <cell r="AI766" t="str">
            <v>N38</v>
          </cell>
          <cell r="AJ766" t="str">
            <v>F</v>
          </cell>
          <cell r="AK766" t="str">
            <v/>
          </cell>
        </row>
        <row r="767">
          <cell r="A767" t="str">
            <v>12527610829051</v>
          </cell>
          <cell r="B767" t="e">
            <v>#N/A</v>
          </cell>
          <cell r="C767">
            <v>20</v>
          </cell>
          <cell r="D767" t="str">
            <v>EK65</v>
          </cell>
          <cell r="E767" t="str">
            <v>617850</v>
          </cell>
          <cell r="F767" t="str">
            <v>E</v>
          </cell>
          <cell r="G767" t="str">
            <v>12527610</v>
          </cell>
          <cell r="H767" t="str">
            <v>Halter vollst.</v>
          </cell>
          <cell r="I767">
            <v>90</v>
          </cell>
          <cell r="J767" t="str">
            <v>Stk</v>
          </cell>
          <cell r="K767">
            <v>45322</v>
          </cell>
          <cell r="L767" t="str">
            <v>829051</v>
          </cell>
          <cell r="M767" t="str">
            <v/>
          </cell>
          <cell r="N767" t="str">
            <v/>
          </cell>
          <cell r="O767" t="str">
            <v/>
          </cell>
          <cell r="P767" t="str">
            <v/>
          </cell>
          <cell r="Q767" t="str">
            <v/>
          </cell>
          <cell r="R767" t="str">
            <v/>
          </cell>
          <cell r="S767" t="str">
            <v/>
          </cell>
          <cell r="T767" t="str">
            <v/>
          </cell>
          <cell r="U767" t="str">
            <v/>
          </cell>
          <cell r="V767" t="str">
            <v>N38</v>
          </cell>
          <cell r="W767" t="str">
            <v/>
          </cell>
          <cell r="X767" t="str">
            <v/>
          </cell>
          <cell r="Y767" t="str">
            <v/>
          </cell>
          <cell r="Z767" t="str">
            <v/>
          </cell>
          <cell r="AA767" t="str">
            <v/>
          </cell>
          <cell r="AB767" t="str">
            <v>PA_4417148-UA.7005-4</v>
          </cell>
          <cell r="AC767">
            <v>1</v>
          </cell>
          <cell r="AD767" t="str">
            <v/>
          </cell>
          <cell r="AE767">
            <v>0</v>
          </cell>
          <cell r="AF767" t="str">
            <v/>
          </cell>
          <cell r="AG767" t="str">
            <v>12527610</v>
          </cell>
          <cell r="AH767">
            <v>44771.873807870368</v>
          </cell>
          <cell r="AI767" t="str">
            <v>N38</v>
          </cell>
          <cell r="AJ767" t="str">
            <v>F</v>
          </cell>
          <cell r="AK767" t="str">
            <v/>
          </cell>
        </row>
        <row r="768">
          <cell r="A768" t="str">
            <v>12527610829052</v>
          </cell>
          <cell r="B768" t="str">
            <v>BL20230413-2</v>
          </cell>
          <cell r="C768">
            <v>20</v>
          </cell>
          <cell r="D768" t="str">
            <v>EK65</v>
          </cell>
          <cell r="E768" t="str">
            <v>617851</v>
          </cell>
          <cell r="F768" t="str">
            <v>E</v>
          </cell>
          <cell r="G768" t="str">
            <v>12527610</v>
          </cell>
          <cell r="H768" t="str">
            <v>Halter vollst.</v>
          </cell>
          <cell r="I768">
            <v>31</v>
          </cell>
          <cell r="J768" t="str">
            <v>Stk</v>
          </cell>
          <cell r="K768">
            <v>45345</v>
          </cell>
          <cell r="L768" t="str">
            <v>829052</v>
          </cell>
          <cell r="M768" t="str">
            <v/>
          </cell>
          <cell r="N768" t="str">
            <v/>
          </cell>
          <cell r="O768" t="str">
            <v/>
          </cell>
          <cell r="P768" t="str">
            <v/>
          </cell>
          <cell r="Q768" t="str">
            <v/>
          </cell>
          <cell r="R768" t="str">
            <v/>
          </cell>
          <cell r="S768" t="str">
            <v/>
          </cell>
          <cell r="T768" t="str">
            <v/>
          </cell>
          <cell r="U768" t="str">
            <v/>
          </cell>
          <cell r="V768" t="str">
            <v>N38</v>
          </cell>
          <cell r="W768" t="str">
            <v/>
          </cell>
          <cell r="X768" t="str">
            <v/>
          </cell>
          <cell r="Y768" t="str">
            <v/>
          </cell>
          <cell r="Z768" t="str">
            <v/>
          </cell>
          <cell r="AA768" t="str">
            <v/>
          </cell>
          <cell r="AB768" t="str">
            <v>PA_4417148-UA.7005-4</v>
          </cell>
          <cell r="AC768">
            <v>1</v>
          </cell>
          <cell r="AD768" t="str">
            <v/>
          </cell>
          <cell r="AE768">
            <v>0</v>
          </cell>
          <cell r="AF768" t="str">
            <v/>
          </cell>
          <cell r="AG768" t="str">
            <v>12527610</v>
          </cell>
          <cell r="AH768">
            <v>44771.873807870368</v>
          </cell>
          <cell r="AI768" t="str">
            <v>N38</v>
          </cell>
          <cell r="AJ768" t="str">
            <v>F</v>
          </cell>
          <cell r="AK768" t="str">
            <v/>
          </cell>
        </row>
        <row r="769">
          <cell r="A769" t="str">
            <v>12541115829052</v>
          </cell>
          <cell r="B769" t="e">
            <v>#N/A</v>
          </cell>
          <cell r="C769">
            <v>6</v>
          </cell>
          <cell r="D769" t="str">
            <v>EK65</v>
          </cell>
          <cell r="E769" t="str">
            <v>618156</v>
          </cell>
          <cell r="F769" t="str">
            <v>E</v>
          </cell>
          <cell r="G769" t="str">
            <v>12541115</v>
          </cell>
          <cell r="H769" t="str">
            <v>Winkel w.g.</v>
          </cell>
          <cell r="I769">
            <v>60</v>
          </cell>
          <cell r="J769" t="str">
            <v>Stk</v>
          </cell>
          <cell r="K769">
            <v>45371</v>
          </cell>
          <cell r="L769" t="str">
            <v>829052</v>
          </cell>
          <cell r="M769" t="str">
            <v/>
          </cell>
          <cell r="N769" t="str">
            <v/>
          </cell>
          <cell r="O769" t="str">
            <v/>
          </cell>
          <cell r="P769" t="str">
            <v/>
          </cell>
          <cell r="Q769" t="str">
            <v/>
          </cell>
          <cell r="R769" t="str">
            <v/>
          </cell>
          <cell r="S769" t="str">
            <v/>
          </cell>
          <cell r="T769" t="str">
            <v/>
          </cell>
          <cell r="U769" t="str">
            <v/>
          </cell>
          <cell r="V769" t="str">
            <v>N52</v>
          </cell>
          <cell r="W769" t="str">
            <v/>
          </cell>
          <cell r="X769" t="str">
            <v/>
          </cell>
          <cell r="Y769" t="str">
            <v/>
          </cell>
          <cell r="Z769" t="str">
            <v/>
          </cell>
          <cell r="AA769" t="str">
            <v/>
          </cell>
          <cell r="AB769" t="str">
            <v>PA_4488899-CD.7004-3</v>
          </cell>
          <cell r="AC769">
            <v>1</v>
          </cell>
          <cell r="AD769" t="str">
            <v/>
          </cell>
          <cell r="AE769">
            <v>0</v>
          </cell>
          <cell r="AF769" t="str">
            <v/>
          </cell>
          <cell r="AG769" t="str">
            <v>12541115</v>
          </cell>
          <cell r="AH769">
            <v>44775.047581018516</v>
          </cell>
          <cell r="AI769" t="str">
            <v>N52</v>
          </cell>
          <cell r="AJ769" t="str">
            <v>F</v>
          </cell>
          <cell r="AK769" t="str">
            <v>A</v>
          </cell>
        </row>
        <row r="770">
          <cell r="A770" t="str">
            <v>12519209829054</v>
          </cell>
          <cell r="B770" t="e">
            <v>#N/A</v>
          </cell>
          <cell r="C770">
            <v>12</v>
          </cell>
          <cell r="D770" t="str">
            <v>EK65</v>
          </cell>
          <cell r="E770" t="str">
            <v>623995</v>
          </cell>
          <cell r="F770" t="str">
            <v>E</v>
          </cell>
          <cell r="G770" t="str">
            <v>12519209</v>
          </cell>
          <cell r="H770" t="str">
            <v>Deckplatte</v>
          </cell>
          <cell r="I770">
            <v>33</v>
          </cell>
          <cell r="J770" t="str">
            <v>Stk</v>
          </cell>
          <cell r="K770">
            <v>45216</v>
          </cell>
          <cell r="L770" t="str">
            <v>829054</v>
          </cell>
          <cell r="M770" t="str">
            <v/>
          </cell>
          <cell r="N770" t="str">
            <v/>
          </cell>
          <cell r="O770" t="str">
            <v/>
          </cell>
          <cell r="P770" t="str">
            <v/>
          </cell>
          <cell r="Q770" t="str">
            <v/>
          </cell>
          <cell r="R770" t="str">
            <v/>
          </cell>
          <cell r="S770" t="str">
            <v/>
          </cell>
          <cell r="T770" t="str">
            <v/>
          </cell>
          <cell r="U770" t="str">
            <v/>
          </cell>
          <cell r="V770" t="str">
            <v>N52</v>
          </cell>
          <cell r="W770" t="str">
            <v/>
          </cell>
          <cell r="X770" t="str">
            <v/>
          </cell>
          <cell r="Y770" t="str">
            <v/>
          </cell>
          <cell r="Z770" t="str">
            <v/>
          </cell>
          <cell r="AA770" t="str">
            <v/>
          </cell>
          <cell r="AB770" t="str">
            <v>PA_4296427-QE.7005-4</v>
          </cell>
          <cell r="AC770">
            <v>1</v>
          </cell>
          <cell r="AD770" t="str">
            <v/>
          </cell>
          <cell r="AE770">
            <v>0</v>
          </cell>
          <cell r="AF770" t="str">
            <v/>
          </cell>
          <cell r="AG770" t="str">
            <v>12519209</v>
          </cell>
          <cell r="AH770">
            <v>44776.901250000003</v>
          </cell>
          <cell r="AI770" t="str">
            <v>N52</v>
          </cell>
          <cell r="AJ770" t="str">
            <v>F</v>
          </cell>
          <cell r="AK770" t="str">
            <v>A</v>
          </cell>
        </row>
        <row r="771">
          <cell r="A771" t="str">
            <v>12519209829053</v>
          </cell>
          <cell r="B771" t="e">
            <v>#N/A</v>
          </cell>
          <cell r="C771">
            <v>12</v>
          </cell>
          <cell r="D771" t="str">
            <v>EK65</v>
          </cell>
          <cell r="E771" t="str">
            <v>623996</v>
          </cell>
          <cell r="F771" t="str">
            <v>E</v>
          </cell>
          <cell r="G771" t="str">
            <v>12519209</v>
          </cell>
          <cell r="H771" t="str">
            <v>Deckplatte</v>
          </cell>
          <cell r="I771">
            <v>92</v>
          </cell>
          <cell r="J771" t="str">
            <v>Stk</v>
          </cell>
          <cell r="K771">
            <v>45224</v>
          </cell>
          <cell r="L771" t="str">
            <v>829053</v>
          </cell>
          <cell r="M771" t="str">
            <v/>
          </cell>
          <cell r="N771" t="str">
            <v/>
          </cell>
          <cell r="O771" t="str">
            <v/>
          </cell>
          <cell r="P771" t="str">
            <v/>
          </cell>
          <cell r="Q771" t="str">
            <v/>
          </cell>
          <cell r="R771" t="str">
            <v/>
          </cell>
          <cell r="S771" t="str">
            <v/>
          </cell>
          <cell r="T771" t="str">
            <v/>
          </cell>
          <cell r="U771" t="str">
            <v/>
          </cell>
          <cell r="V771" t="str">
            <v>N52</v>
          </cell>
          <cell r="W771" t="str">
            <v/>
          </cell>
          <cell r="X771" t="str">
            <v/>
          </cell>
          <cell r="Y771" t="str">
            <v/>
          </cell>
          <cell r="Z771" t="str">
            <v/>
          </cell>
          <cell r="AA771" t="str">
            <v/>
          </cell>
          <cell r="AB771" t="str">
            <v>PA_4296427-QE.7005-4</v>
          </cell>
          <cell r="AC771">
            <v>1</v>
          </cell>
          <cell r="AD771" t="str">
            <v/>
          </cell>
          <cell r="AE771">
            <v>0</v>
          </cell>
          <cell r="AF771" t="str">
            <v/>
          </cell>
          <cell r="AG771" t="str">
            <v>12519209</v>
          </cell>
          <cell r="AH771">
            <v>44776.901250000003</v>
          </cell>
          <cell r="AI771" t="str">
            <v>N52</v>
          </cell>
          <cell r="AJ771" t="str">
            <v>F</v>
          </cell>
          <cell r="AK771" t="str">
            <v>A</v>
          </cell>
        </row>
        <row r="772">
          <cell r="A772" t="str">
            <v>12560249829054</v>
          </cell>
          <cell r="B772" t="e">
            <v>#N/A</v>
          </cell>
          <cell r="C772">
            <v>15</v>
          </cell>
          <cell r="D772" t="str">
            <v>EK65</v>
          </cell>
          <cell r="E772" t="str">
            <v>624000</v>
          </cell>
          <cell r="F772" t="str">
            <v>E</v>
          </cell>
          <cell r="G772" t="str">
            <v>12560249</v>
          </cell>
          <cell r="H772" t="str">
            <v>Bruecke</v>
          </cell>
          <cell r="I772">
            <v>35</v>
          </cell>
          <cell r="J772" t="str">
            <v>Stk</v>
          </cell>
          <cell r="K772">
            <v>45213</v>
          </cell>
          <cell r="L772" t="str">
            <v>829054</v>
          </cell>
          <cell r="M772" t="str">
            <v/>
          </cell>
          <cell r="N772" t="str">
            <v/>
          </cell>
          <cell r="O772" t="str">
            <v/>
          </cell>
          <cell r="P772" t="str">
            <v/>
          </cell>
          <cell r="Q772" t="str">
            <v/>
          </cell>
          <cell r="R772" t="str">
            <v/>
          </cell>
          <cell r="S772" t="str">
            <v/>
          </cell>
          <cell r="T772" t="str">
            <v/>
          </cell>
          <cell r="U772" t="str">
            <v/>
          </cell>
          <cell r="V772" t="str">
            <v>N52</v>
          </cell>
          <cell r="W772" t="str">
            <v/>
          </cell>
          <cell r="X772" t="str">
            <v/>
          </cell>
          <cell r="Y772" t="str">
            <v/>
          </cell>
          <cell r="Z772" t="str">
            <v/>
          </cell>
          <cell r="AA772" t="str">
            <v/>
          </cell>
          <cell r="AB772" t="str">
            <v>PA_4738345-UA.7005-4</v>
          </cell>
          <cell r="AC772">
            <v>1</v>
          </cell>
          <cell r="AD772" t="str">
            <v/>
          </cell>
          <cell r="AE772">
            <v>0</v>
          </cell>
          <cell r="AF772" t="str">
            <v/>
          </cell>
          <cell r="AG772" t="str">
            <v>12560249</v>
          </cell>
          <cell r="AH772">
            <v>44776.923831018517</v>
          </cell>
          <cell r="AI772" t="str">
            <v>N52</v>
          </cell>
          <cell r="AJ772" t="str">
            <v>F</v>
          </cell>
          <cell r="AK772" t="str">
            <v>A</v>
          </cell>
        </row>
        <row r="773">
          <cell r="A773" t="str">
            <v>12560249829053</v>
          </cell>
          <cell r="B773" t="e">
            <v>#N/A</v>
          </cell>
          <cell r="C773">
            <v>15</v>
          </cell>
          <cell r="D773" t="str">
            <v>EK65</v>
          </cell>
          <cell r="E773" t="str">
            <v>624001</v>
          </cell>
          <cell r="F773" t="str">
            <v>E</v>
          </cell>
          <cell r="G773" t="str">
            <v>12560249</v>
          </cell>
          <cell r="H773" t="str">
            <v>Bruecke</v>
          </cell>
          <cell r="I773">
            <v>45</v>
          </cell>
          <cell r="J773" t="str">
            <v>Stk</v>
          </cell>
          <cell r="K773">
            <v>45231</v>
          </cell>
          <cell r="L773" t="str">
            <v>829053</v>
          </cell>
          <cell r="M773" t="str">
            <v/>
          </cell>
          <cell r="N773" t="str">
            <v/>
          </cell>
          <cell r="O773" t="str">
            <v/>
          </cell>
          <cell r="P773" t="str">
            <v/>
          </cell>
          <cell r="Q773" t="str">
            <v/>
          </cell>
          <cell r="R773" t="str">
            <v/>
          </cell>
          <cell r="S773" t="str">
            <v/>
          </cell>
          <cell r="T773" t="str">
            <v/>
          </cell>
          <cell r="U773" t="str">
            <v/>
          </cell>
          <cell r="V773" t="str">
            <v>N52</v>
          </cell>
          <cell r="W773" t="str">
            <v/>
          </cell>
          <cell r="X773" t="str">
            <v/>
          </cell>
          <cell r="Y773" t="str">
            <v/>
          </cell>
          <cell r="Z773" t="str">
            <v/>
          </cell>
          <cell r="AA773" t="str">
            <v/>
          </cell>
          <cell r="AB773" t="str">
            <v>PA_4738345-UA.7005-4</v>
          </cell>
          <cell r="AC773">
            <v>1</v>
          </cell>
          <cell r="AD773" t="str">
            <v/>
          </cell>
          <cell r="AE773">
            <v>0</v>
          </cell>
          <cell r="AF773" t="str">
            <v/>
          </cell>
          <cell r="AG773" t="str">
            <v>12560249</v>
          </cell>
          <cell r="AH773">
            <v>44776.923831018517</v>
          </cell>
          <cell r="AI773" t="str">
            <v>N52</v>
          </cell>
          <cell r="AJ773" t="str">
            <v>F</v>
          </cell>
          <cell r="AK773" t="str">
            <v>A</v>
          </cell>
        </row>
        <row r="774">
          <cell r="A774" t="str">
            <v>12560249829051</v>
          </cell>
          <cell r="B774" t="e">
            <v>#N/A</v>
          </cell>
          <cell r="C774">
            <v>15</v>
          </cell>
          <cell r="D774" t="str">
            <v>EK65</v>
          </cell>
          <cell r="E774" t="str">
            <v>624002</v>
          </cell>
          <cell r="F774" t="str">
            <v>E</v>
          </cell>
          <cell r="G774" t="str">
            <v>12560249</v>
          </cell>
          <cell r="H774" t="str">
            <v>Bruecke</v>
          </cell>
          <cell r="I774">
            <v>90</v>
          </cell>
          <cell r="J774" t="str">
            <v>Stk</v>
          </cell>
          <cell r="K774">
            <v>45328</v>
          </cell>
          <cell r="L774" t="str">
            <v>829051</v>
          </cell>
          <cell r="M774" t="str">
            <v/>
          </cell>
          <cell r="N774" t="str">
            <v/>
          </cell>
          <cell r="O774" t="str">
            <v/>
          </cell>
          <cell r="P774" t="str">
            <v/>
          </cell>
          <cell r="Q774" t="str">
            <v/>
          </cell>
          <cell r="R774" t="str">
            <v/>
          </cell>
          <cell r="S774" t="str">
            <v/>
          </cell>
          <cell r="T774" t="str">
            <v/>
          </cell>
          <cell r="U774" t="str">
            <v/>
          </cell>
          <cell r="V774" t="str">
            <v>N52</v>
          </cell>
          <cell r="W774" t="str">
            <v/>
          </cell>
          <cell r="X774" t="str">
            <v/>
          </cell>
          <cell r="Y774" t="str">
            <v/>
          </cell>
          <cell r="Z774" t="str">
            <v/>
          </cell>
          <cell r="AA774" t="str">
            <v/>
          </cell>
          <cell r="AB774" t="str">
            <v>PA_4738345-UA.7005-4</v>
          </cell>
          <cell r="AC774">
            <v>1</v>
          </cell>
          <cell r="AD774" t="str">
            <v/>
          </cell>
          <cell r="AE774">
            <v>0</v>
          </cell>
          <cell r="AF774" t="str">
            <v/>
          </cell>
          <cell r="AG774" t="str">
            <v>12560249</v>
          </cell>
          <cell r="AH774">
            <v>44776.923831018517</v>
          </cell>
          <cell r="AI774" t="str">
            <v>N52</v>
          </cell>
          <cell r="AJ774" t="str">
            <v>F</v>
          </cell>
          <cell r="AK774" t="str">
            <v>A</v>
          </cell>
        </row>
        <row r="775">
          <cell r="A775" t="str">
            <v>12560249829052</v>
          </cell>
          <cell r="B775" t="e">
            <v>#N/A</v>
          </cell>
          <cell r="C775">
            <v>15</v>
          </cell>
          <cell r="D775" t="str">
            <v>EK65</v>
          </cell>
          <cell r="E775" t="str">
            <v>624003</v>
          </cell>
          <cell r="F775" t="str">
            <v>E</v>
          </cell>
          <cell r="G775" t="str">
            <v>12560249</v>
          </cell>
          <cell r="H775" t="str">
            <v>Bruecke</v>
          </cell>
          <cell r="I775">
            <v>62</v>
          </cell>
          <cell r="J775" t="str">
            <v>Stk</v>
          </cell>
          <cell r="K775">
            <v>45351</v>
          </cell>
          <cell r="L775" t="str">
            <v>829052</v>
          </cell>
          <cell r="M775" t="str">
            <v/>
          </cell>
          <cell r="N775" t="str">
            <v/>
          </cell>
          <cell r="O775" t="str">
            <v/>
          </cell>
          <cell r="P775" t="str">
            <v/>
          </cell>
          <cell r="Q775" t="str">
            <v/>
          </cell>
          <cell r="R775" t="str">
            <v/>
          </cell>
          <cell r="S775" t="str">
            <v/>
          </cell>
          <cell r="T775" t="str">
            <v/>
          </cell>
          <cell r="U775" t="str">
            <v/>
          </cell>
          <cell r="V775" t="str">
            <v>N52</v>
          </cell>
          <cell r="W775" t="str">
            <v/>
          </cell>
          <cell r="X775" t="str">
            <v/>
          </cell>
          <cell r="Y775" t="str">
            <v/>
          </cell>
          <cell r="Z775" t="str">
            <v/>
          </cell>
          <cell r="AA775" t="str">
            <v/>
          </cell>
          <cell r="AB775" t="str">
            <v>PA_4738345-UA.7005-4</v>
          </cell>
          <cell r="AC775">
            <v>1</v>
          </cell>
          <cell r="AD775" t="str">
            <v/>
          </cell>
          <cell r="AE775">
            <v>0</v>
          </cell>
          <cell r="AF775" t="str">
            <v/>
          </cell>
          <cell r="AG775" t="str">
            <v>12560249</v>
          </cell>
          <cell r="AH775">
            <v>44776.923831018517</v>
          </cell>
          <cell r="AI775" t="str">
            <v>N52</v>
          </cell>
          <cell r="AJ775" t="str">
            <v>F</v>
          </cell>
          <cell r="AK775" t="str">
            <v>A</v>
          </cell>
        </row>
        <row r="776">
          <cell r="A776" t="str">
            <v>12598082829053</v>
          </cell>
          <cell r="B776" t="e">
            <v>#N/A</v>
          </cell>
          <cell r="C776">
            <v>36</v>
          </cell>
          <cell r="D776" t="str">
            <v>EK65</v>
          </cell>
          <cell r="E776" t="str">
            <v>625525</v>
          </cell>
          <cell r="F776" t="str">
            <v>E</v>
          </cell>
          <cell r="G776" t="str">
            <v>12598082</v>
          </cell>
          <cell r="H776" t="str">
            <v>Beilage C-Schiene</v>
          </cell>
          <cell r="I776">
            <v>428</v>
          </cell>
          <cell r="J776" t="str">
            <v>Stk</v>
          </cell>
          <cell r="K776">
            <v>45196</v>
          </cell>
          <cell r="L776" t="str">
            <v>829053</v>
          </cell>
          <cell r="M776" t="str">
            <v/>
          </cell>
          <cell r="N776" t="str">
            <v/>
          </cell>
          <cell r="O776" t="str">
            <v/>
          </cell>
          <cell r="P776" t="str">
            <v/>
          </cell>
          <cell r="Q776" t="str">
            <v/>
          </cell>
          <cell r="R776" t="str">
            <v/>
          </cell>
          <cell r="S776" t="str">
            <v/>
          </cell>
          <cell r="T776" t="str">
            <v/>
          </cell>
          <cell r="U776" t="str">
            <v/>
          </cell>
          <cell r="V776" t="str">
            <v>N52</v>
          </cell>
          <cell r="W776" t="str">
            <v/>
          </cell>
          <cell r="X776" t="str">
            <v/>
          </cell>
          <cell r="Y776" t="str">
            <v/>
          </cell>
          <cell r="Z776" t="str">
            <v/>
          </cell>
          <cell r="AA776" t="str">
            <v/>
          </cell>
          <cell r="AB776" t="str">
            <v>PA_4937517-QE.7005-4</v>
          </cell>
          <cell r="AC776">
            <v>1</v>
          </cell>
          <cell r="AD776" t="str">
            <v/>
          </cell>
          <cell r="AE776">
            <v>0</v>
          </cell>
          <cell r="AF776" t="str">
            <v/>
          </cell>
          <cell r="AG776" t="str">
            <v>12598082</v>
          </cell>
          <cell r="AH776">
            <v>44778.950937499998</v>
          </cell>
          <cell r="AI776" t="str">
            <v>N52</v>
          </cell>
          <cell r="AJ776" t="str">
            <v>F</v>
          </cell>
          <cell r="AK776" t="str">
            <v/>
          </cell>
        </row>
        <row r="777">
          <cell r="A777" t="str">
            <v>12598082829054</v>
          </cell>
          <cell r="B777" t="e">
            <v>#N/A</v>
          </cell>
          <cell r="C777">
            <v>36</v>
          </cell>
          <cell r="D777" t="str">
            <v>EK65</v>
          </cell>
          <cell r="E777" t="str">
            <v>625526</v>
          </cell>
          <cell r="F777" t="str">
            <v>E</v>
          </cell>
          <cell r="G777" t="str">
            <v>12598082</v>
          </cell>
          <cell r="H777" t="str">
            <v>Beilage C-Schiene</v>
          </cell>
          <cell r="I777">
            <v>120</v>
          </cell>
          <cell r="J777" t="str">
            <v>Stk</v>
          </cell>
          <cell r="K777">
            <v>45232</v>
          </cell>
          <cell r="L777" t="str">
            <v>829054</v>
          </cell>
          <cell r="M777" t="str">
            <v/>
          </cell>
          <cell r="N777" t="str">
            <v/>
          </cell>
          <cell r="O777" t="str">
            <v/>
          </cell>
          <cell r="P777" t="str">
            <v/>
          </cell>
          <cell r="Q777" t="str">
            <v/>
          </cell>
          <cell r="R777" t="str">
            <v/>
          </cell>
          <cell r="S777" t="str">
            <v/>
          </cell>
          <cell r="T777" t="str">
            <v/>
          </cell>
          <cell r="U777" t="str">
            <v/>
          </cell>
          <cell r="V777" t="str">
            <v>N52</v>
          </cell>
          <cell r="W777" t="str">
            <v/>
          </cell>
          <cell r="X777" t="str">
            <v/>
          </cell>
          <cell r="Y777" t="str">
            <v/>
          </cell>
          <cell r="Z777" t="str">
            <v/>
          </cell>
          <cell r="AA777" t="str">
            <v/>
          </cell>
          <cell r="AB777" t="str">
            <v>PA_4937517-QE.7005-4</v>
          </cell>
          <cell r="AC777">
            <v>1</v>
          </cell>
          <cell r="AD777" t="str">
            <v/>
          </cell>
          <cell r="AE777">
            <v>0</v>
          </cell>
          <cell r="AF777" t="str">
            <v/>
          </cell>
          <cell r="AG777" t="str">
            <v>12598082</v>
          </cell>
          <cell r="AH777">
            <v>44778.950937499998</v>
          </cell>
          <cell r="AI777" t="str">
            <v>N52</v>
          </cell>
          <cell r="AJ777" t="str">
            <v>F</v>
          </cell>
          <cell r="AK777" t="str">
            <v/>
          </cell>
        </row>
        <row r="778">
          <cell r="A778" t="str">
            <v>12598082829051</v>
          </cell>
          <cell r="B778" t="e">
            <v>#N/A</v>
          </cell>
          <cell r="C778">
            <v>36</v>
          </cell>
          <cell r="D778" t="str">
            <v>EK65</v>
          </cell>
          <cell r="E778" t="str">
            <v>625527</v>
          </cell>
          <cell r="F778" t="str">
            <v>E</v>
          </cell>
          <cell r="G778" t="str">
            <v>12598082</v>
          </cell>
          <cell r="H778" t="str">
            <v>Beilage C-Schiene</v>
          </cell>
          <cell r="I778">
            <v>706</v>
          </cell>
          <cell r="J778" t="str">
            <v>Stk</v>
          </cell>
          <cell r="K778">
            <v>45324</v>
          </cell>
          <cell r="L778" t="str">
            <v>829051</v>
          </cell>
          <cell r="M778" t="str">
            <v/>
          </cell>
          <cell r="N778" t="str">
            <v/>
          </cell>
          <cell r="O778" t="str">
            <v/>
          </cell>
          <cell r="P778" t="str">
            <v/>
          </cell>
          <cell r="Q778" t="str">
            <v/>
          </cell>
          <cell r="R778" t="str">
            <v/>
          </cell>
          <cell r="S778" t="str">
            <v/>
          </cell>
          <cell r="T778" t="str">
            <v/>
          </cell>
          <cell r="U778" t="str">
            <v/>
          </cell>
          <cell r="V778" t="str">
            <v>N52</v>
          </cell>
          <cell r="W778" t="str">
            <v/>
          </cell>
          <cell r="X778" t="str">
            <v/>
          </cell>
          <cell r="Y778" t="str">
            <v/>
          </cell>
          <cell r="Z778" t="str">
            <v/>
          </cell>
          <cell r="AA778" t="str">
            <v/>
          </cell>
          <cell r="AB778" t="str">
            <v>PA_4937517-QE.7005-4</v>
          </cell>
          <cell r="AC778">
            <v>1</v>
          </cell>
          <cell r="AD778" t="str">
            <v/>
          </cell>
          <cell r="AE778">
            <v>0</v>
          </cell>
          <cell r="AF778" t="str">
            <v/>
          </cell>
          <cell r="AG778" t="str">
            <v>12598082</v>
          </cell>
          <cell r="AH778">
            <v>44778.950937499998</v>
          </cell>
          <cell r="AI778" t="str">
            <v>N52</v>
          </cell>
          <cell r="AJ778" t="str">
            <v>F</v>
          </cell>
          <cell r="AK778" t="str">
            <v/>
          </cell>
        </row>
        <row r="779">
          <cell r="A779" t="str">
            <v>12598082829052</v>
          </cell>
          <cell r="B779" t="e">
            <v>#N/A</v>
          </cell>
          <cell r="C779">
            <v>36</v>
          </cell>
          <cell r="D779" t="str">
            <v>EK65</v>
          </cell>
          <cell r="E779" t="str">
            <v>627602</v>
          </cell>
          <cell r="F779" t="str">
            <v>E</v>
          </cell>
          <cell r="G779" t="str">
            <v>12598082</v>
          </cell>
          <cell r="H779" t="str">
            <v>Beilage C-Schiene</v>
          </cell>
          <cell r="I779">
            <v>239</v>
          </cell>
          <cell r="J779" t="str">
            <v>Stk</v>
          </cell>
          <cell r="K779">
            <v>45357</v>
          </cell>
          <cell r="L779" t="str">
            <v>829052</v>
          </cell>
          <cell r="M779" t="str">
            <v/>
          </cell>
          <cell r="N779" t="str">
            <v/>
          </cell>
          <cell r="O779" t="str">
            <v/>
          </cell>
          <cell r="P779" t="str">
            <v/>
          </cell>
          <cell r="Q779" t="str">
            <v/>
          </cell>
          <cell r="R779" t="str">
            <v/>
          </cell>
          <cell r="S779" t="str">
            <v/>
          </cell>
          <cell r="T779" t="str">
            <v/>
          </cell>
          <cell r="U779" t="str">
            <v/>
          </cell>
          <cell r="V779" t="str">
            <v>N52</v>
          </cell>
          <cell r="W779" t="str">
            <v/>
          </cell>
          <cell r="X779" t="str">
            <v/>
          </cell>
          <cell r="Y779" t="str">
            <v/>
          </cell>
          <cell r="Z779" t="str">
            <v/>
          </cell>
          <cell r="AA779" t="str">
            <v/>
          </cell>
          <cell r="AB779" t="str">
            <v>PA_4937517-QE.7005-4</v>
          </cell>
          <cell r="AC779">
            <v>1</v>
          </cell>
          <cell r="AD779" t="str">
            <v/>
          </cell>
          <cell r="AE779">
            <v>0</v>
          </cell>
          <cell r="AF779" t="str">
            <v/>
          </cell>
          <cell r="AG779" t="str">
            <v>12598082</v>
          </cell>
          <cell r="AH779">
            <v>44781.921712962961</v>
          </cell>
          <cell r="AI779" t="str">
            <v>N52</v>
          </cell>
          <cell r="AJ779" t="str">
            <v>F</v>
          </cell>
          <cell r="AK779" t="str">
            <v/>
          </cell>
        </row>
        <row r="780">
          <cell r="A780" t="str">
            <v>12528369829053</v>
          </cell>
          <cell r="B780" t="e">
            <v>#N/A</v>
          </cell>
          <cell r="C780">
            <v>5</v>
          </cell>
          <cell r="D780" t="str">
            <v>EK65</v>
          </cell>
          <cell r="E780" t="str">
            <v>628166</v>
          </cell>
          <cell r="F780" t="str">
            <v>E</v>
          </cell>
          <cell r="G780" t="str">
            <v>12528369</v>
          </cell>
          <cell r="H780" t="str">
            <v>Beilage</v>
          </cell>
          <cell r="I780">
            <v>96</v>
          </cell>
          <cell r="J780" t="str">
            <v>Stk</v>
          </cell>
          <cell r="K780">
            <v>45230</v>
          </cell>
          <cell r="L780" t="str">
            <v>829053</v>
          </cell>
          <cell r="M780" t="str">
            <v/>
          </cell>
          <cell r="N780" t="str">
            <v/>
          </cell>
          <cell r="O780" t="str">
            <v/>
          </cell>
          <cell r="P780" t="str">
            <v/>
          </cell>
          <cell r="Q780" t="str">
            <v/>
          </cell>
          <cell r="R780" t="str">
            <v/>
          </cell>
          <cell r="S780" t="str">
            <v/>
          </cell>
          <cell r="T780" t="str">
            <v/>
          </cell>
          <cell r="U780" t="str">
            <v/>
          </cell>
          <cell r="V780" t="str">
            <v>N52</v>
          </cell>
          <cell r="W780" t="str">
            <v/>
          </cell>
          <cell r="X780" t="str">
            <v/>
          </cell>
          <cell r="Y780" t="str">
            <v/>
          </cell>
          <cell r="Z780" t="str">
            <v/>
          </cell>
          <cell r="AA780" t="str">
            <v/>
          </cell>
          <cell r="AB780" t="str">
            <v>PA_4383418-CF.7005-4</v>
          </cell>
          <cell r="AC780">
            <v>1</v>
          </cell>
          <cell r="AD780" t="str">
            <v/>
          </cell>
          <cell r="AE780">
            <v>0</v>
          </cell>
          <cell r="AF780" t="str">
            <v/>
          </cell>
          <cell r="AG780" t="str">
            <v>12528369</v>
          </cell>
          <cell r="AH780">
            <v>44783.889525462961</v>
          </cell>
          <cell r="AI780" t="str">
            <v>N52</v>
          </cell>
          <cell r="AJ780" t="str">
            <v>F</v>
          </cell>
          <cell r="AK780" t="str">
            <v>A</v>
          </cell>
        </row>
        <row r="781">
          <cell r="A781" t="str">
            <v>12600190829053</v>
          </cell>
          <cell r="B781" t="e">
            <v>#N/A</v>
          </cell>
          <cell r="C781">
            <v>1</v>
          </cell>
          <cell r="D781" t="str">
            <v>EK65</v>
          </cell>
          <cell r="E781" t="str">
            <v>628195</v>
          </cell>
          <cell r="F781" t="str">
            <v>E</v>
          </cell>
          <cell r="G781" t="str">
            <v>12600190</v>
          </cell>
          <cell r="H781" t="str">
            <v>Distanzbuchse  ID8,5 AD24 H35</v>
          </cell>
          <cell r="I781">
            <v>413</v>
          </cell>
          <cell r="J781" t="str">
            <v>Stk</v>
          </cell>
          <cell r="K781">
            <v>45205</v>
          </cell>
          <cell r="L781" t="str">
            <v>829053</v>
          </cell>
          <cell r="M781" t="str">
            <v/>
          </cell>
          <cell r="N781" t="str">
            <v/>
          </cell>
          <cell r="O781" t="str">
            <v/>
          </cell>
          <cell r="P781" t="str">
            <v/>
          </cell>
          <cell r="Q781" t="str">
            <v/>
          </cell>
          <cell r="R781" t="str">
            <v/>
          </cell>
          <cell r="S781" t="str">
            <v/>
          </cell>
          <cell r="T781" t="str">
            <v/>
          </cell>
          <cell r="U781" t="str">
            <v/>
          </cell>
          <cell r="V781" t="str">
            <v>N52</v>
          </cell>
          <cell r="W781" t="str">
            <v/>
          </cell>
          <cell r="X781" t="str">
            <v/>
          </cell>
          <cell r="Y781" t="str">
            <v/>
          </cell>
          <cell r="Z781" t="str">
            <v/>
          </cell>
          <cell r="AA781" t="str">
            <v/>
          </cell>
          <cell r="AB781" t="str">
            <v>PA_4938768-TB.7005-4</v>
          </cell>
          <cell r="AC781">
            <v>1</v>
          </cell>
          <cell r="AD781" t="str">
            <v/>
          </cell>
          <cell r="AE781">
            <v>0</v>
          </cell>
          <cell r="AF781" t="str">
            <v/>
          </cell>
          <cell r="AG781" t="str">
            <v>12600190</v>
          </cell>
          <cell r="AH781">
            <v>44783.891585648147</v>
          </cell>
          <cell r="AI781" t="str">
            <v>N52</v>
          </cell>
          <cell r="AJ781" t="str">
            <v>F</v>
          </cell>
          <cell r="AK781" t="str">
            <v/>
          </cell>
        </row>
        <row r="782">
          <cell r="A782" t="str">
            <v>12509789829053</v>
          </cell>
          <cell r="B782" t="e">
            <v>#N/A</v>
          </cell>
          <cell r="C782">
            <v>18</v>
          </cell>
          <cell r="D782" t="str">
            <v>EK65</v>
          </cell>
          <cell r="E782" t="str">
            <v>629397</v>
          </cell>
          <cell r="F782" t="str">
            <v>E</v>
          </cell>
          <cell r="G782" t="str">
            <v>12509789</v>
          </cell>
          <cell r="H782" t="str">
            <v>Hinterlage</v>
          </cell>
          <cell r="I782">
            <v>621</v>
          </cell>
          <cell r="J782" t="str">
            <v>Stk</v>
          </cell>
          <cell r="K782">
            <v>45210</v>
          </cell>
          <cell r="L782" t="str">
            <v>829053</v>
          </cell>
          <cell r="M782" t="str">
            <v/>
          </cell>
          <cell r="N782" t="str">
            <v/>
          </cell>
          <cell r="O782" t="str">
            <v/>
          </cell>
          <cell r="P782" t="str">
            <v/>
          </cell>
          <cell r="Q782" t="str">
            <v/>
          </cell>
          <cell r="R782" t="str">
            <v/>
          </cell>
          <cell r="S782" t="str">
            <v/>
          </cell>
          <cell r="T782" t="str">
            <v/>
          </cell>
          <cell r="U782" t="str">
            <v/>
          </cell>
          <cell r="V782" t="str">
            <v>N52</v>
          </cell>
          <cell r="W782" t="str">
            <v/>
          </cell>
          <cell r="X782" t="str">
            <v/>
          </cell>
          <cell r="Y782" t="str">
            <v/>
          </cell>
          <cell r="Z782" t="str">
            <v/>
          </cell>
          <cell r="AA782" t="str">
            <v/>
          </cell>
          <cell r="AB782" t="str">
            <v>PA_4477750-DC.7005-4</v>
          </cell>
          <cell r="AC782">
            <v>4</v>
          </cell>
          <cell r="AD782" t="str">
            <v/>
          </cell>
          <cell r="AE782">
            <v>0</v>
          </cell>
          <cell r="AF782" t="str">
            <v/>
          </cell>
          <cell r="AG782" t="str">
            <v>12509789</v>
          </cell>
          <cell r="AH782">
            <v>44788.882604166669</v>
          </cell>
          <cell r="AI782" t="str">
            <v>N52</v>
          </cell>
          <cell r="AJ782" t="str">
            <v>F</v>
          </cell>
          <cell r="AK782" t="str">
            <v/>
          </cell>
        </row>
        <row r="783">
          <cell r="A783" t="str">
            <v>12509789829051</v>
          </cell>
          <cell r="B783" t="e">
            <v>#N/A</v>
          </cell>
          <cell r="C783">
            <v>18</v>
          </cell>
          <cell r="D783" t="str">
            <v>EK65</v>
          </cell>
          <cell r="E783" t="str">
            <v>629398</v>
          </cell>
          <cell r="F783" t="str">
            <v>E</v>
          </cell>
          <cell r="G783" t="str">
            <v>12509789</v>
          </cell>
          <cell r="H783" t="str">
            <v>Hinterlage</v>
          </cell>
          <cell r="I783">
            <v>4080</v>
          </cell>
          <cell r="J783" t="str">
            <v>Stk</v>
          </cell>
          <cell r="K783">
            <v>45329</v>
          </cell>
          <cell r="L783" t="str">
            <v>829051</v>
          </cell>
          <cell r="M783" t="str">
            <v/>
          </cell>
          <cell r="N783" t="str">
            <v/>
          </cell>
          <cell r="O783" t="str">
            <v/>
          </cell>
          <cell r="P783" t="str">
            <v/>
          </cell>
          <cell r="Q783" t="str">
            <v/>
          </cell>
          <cell r="R783" t="str">
            <v/>
          </cell>
          <cell r="S783" t="str">
            <v/>
          </cell>
          <cell r="T783" t="str">
            <v/>
          </cell>
          <cell r="U783" t="str">
            <v/>
          </cell>
          <cell r="V783" t="str">
            <v>N52</v>
          </cell>
          <cell r="W783" t="str">
            <v/>
          </cell>
          <cell r="X783" t="str">
            <v/>
          </cell>
          <cell r="Y783" t="str">
            <v/>
          </cell>
          <cell r="Z783" t="str">
            <v/>
          </cell>
          <cell r="AA783" t="str">
            <v/>
          </cell>
          <cell r="AB783" t="str">
            <v>PA_4477750-DC.7005-4</v>
          </cell>
          <cell r="AC783">
            <v>4</v>
          </cell>
          <cell r="AD783" t="str">
            <v/>
          </cell>
          <cell r="AE783">
            <v>0</v>
          </cell>
          <cell r="AF783" t="str">
            <v/>
          </cell>
          <cell r="AG783" t="str">
            <v>12509789</v>
          </cell>
          <cell r="AH783">
            <v>44788.882604166669</v>
          </cell>
          <cell r="AI783" t="str">
            <v>N52</v>
          </cell>
          <cell r="AJ783" t="str">
            <v>F</v>
          </cell>
          <cell r="AK783" t="str">
            <v/>
          </cell>
        </row>
        <row r="784">
          <cell r="A784" t="str">
            <v>12601805829053</v>
          </cell>
          <cell r="B784" t="e">
            <v>#N/A</v>
          </cell>
          <cell r="C784">
            <v>12</v>
          </cell>
          <cell r="D784" t="str">
            <v>EK65</v>
          </cell>
          <cell r="E784" t="str">
            <v>629402</v>
          </cell>
          <cell r="F784" t="str">
            <v>E</v>
          </cell>
          <cell r="G784" t="str">
            <v>12601805</v>
          </cell>
          <cell r="H784" t="str">
            <v>Gewindeplatte</v>
          </cell>
          <cell r="I784">
            <v>103</v>
          </cell>
          <cell r="J784" t="str">
            <v>Stk</v>
          </cell>
          <cell r="K784">
            <v>45210</v>
          </cell>
          <cell r="L784" t="str">
            <v>829053</v>
          </cell>
          <cell r="M784" t="str">
            <v/>
          </cell>
          <cell r="N784" t="str">
            <v/>
          </cell>
          <cell r="O784" t="str">
            <v/>
          </cell>
          <cell r="P784" t="str">
            <v/>
          </cell>
          <cell r="Q784" t="str">
            <v/>
          </cell>
          <cell r="R784" t="str">
            <v/>
          </cell>
          <cell r="S784" t="str">
            <v/>
          </cell>
          <cell r="T784" t="str">
            <v/>
          </cell>
          <cell r="U784" t="str">
            <v/>
          </cell>
          <cell r="V784" t="str">
            <v>N52</v>
          </cell>
          <cell r="W784" t="str">
            <v/>
          </cell>
          <cell r="X784" t="str">
            <v/>
          </cell>
          <cell r="Y784" t="str">
            <v/>
          </cell>
          <cell r="Z784" t="str">
            <v/>
          </cell>
          <cell r="AA784" t="str">
            <v/>
          </cell>
          <cell r="AB784" t="str">
            <v>PA_4356698-UA.7004-4</v>
          </cell>
          <cell r="AC784">
            <v>1</v>
          </cell>
          <cell r="AD784" t="str">
            <v/>
          </cell>
          <cell r="AE784">
            <v>0</v>
          </cell>
          <cell r="AF784" t="str">
            <v/>
          </cell>
          <cell r="AG784" t="str">
            <v>12601805</v>
          </cell>
          <cell r="AH784">
            <v>44788.893125000002</v>
          </cell>
          <cell r="AI784" t="str">
            <v>N52</v>
          </cell>
          <cell r="AJ784" t="str">
            <v>F</v>
          </cell>
          <cell r="AK784" t="str">
            <v/>
          </cell>
        </row>
        <row r="785">
          <cell r="A785" t="str">
            <v>12601805829054</v>
          </cell>
          <cell r="B785" t="e">
            <v>#N/A</v>
          </cell>
          <cell r="C785">
            <v>12</v>
          </cell>
          <cell r="D785" t="str">
            <v>EK65</v>
          </cell>
          <cell r="E785" t="str">
            <v>629403</v>
          </cell>
          <cell r="F785" t="str">
            <v>E</v>
          </cell>
          <cell r="G785" t="str">
            <v>12601805</v>
          </cell>
          <cell r="H785" t="str">
            <v>Gewindeplatte</v>
          </cell>
          <cell r="I785">
            <v>72</v>
          </cell>
          <cell r="J785" t="str">
            <v>Stk</v>
          </cell>
          <cell r="K785">
            <v>45213</v>
          </cell>
          <cell r="L785" t="str">
            <v>829054</v>
          </cell>
          <cell r="M785" t="str">
            <v/>
          </cell>
          <cell r="N785" t="str">
            <v/>
          </cell>
          <cell r="O785" t="str">
            <v/>
          </cell>
          <cell r="P785" t="str">
            <v/>
          </cell>
          <cell r="Q785" t="str">
            <v/>
          </cell>
          <cell r="R785" t="str">
            <v/>
          </cell>
          <cell r="S785" t="str">
            <v/>
          </cell>
          <cell r="T785" t="str">
            <v/>
          </cell>
          <cell r="U785" t="str">
            <v/>
          </cell>
          <cell r="V785" t="str">
            <v>N52</v>
          </cell>
          <cell r="W785" t="str">
            <v/>
          </cell>
          <cell r="X785" t="str">
            <v/>
          </cell>
          <cell r="Y785" t="str">
            <v/>
          </cell>
          <cell r="Z785" t="str">
            <v/>
          </cell>
          <cell r="AA785" t="str">
            <v/>
          </cell>
          <cell r="AB785" t="str">
            <v>PA_4356698-UA.7004-4</v>
          </cell>
          <cell r="AC785">
            <v>1</v>
          </cell>
          <cell r="AD785" t="str">
            <v/>
          </cell>
          <cell r="AE785">
            <v>0</v>
          </cell>
          <cell r="AF785" t="str">
            <v/>
          </cell>
          <cell r="AG785" t="str">
            <v>12601805</v>
          </cell>
          <cell r="AH785">
            <v>44788.893125000002</v>
          </cell>
          <cell r="AI785" t="str">
            <v>N52</v>
          </cell>
          <cell r="AJ785" t="str">
            <v>F</v>
          </cell>
          <cell r="AK785" t="str">
            <v/>
          </cell>
        </row>
        <row r="786">
          <cell r="A786" t="str">
            <v>12532596829053</v>
          </cell>
          <cell r="B786" t="e">
            <v>#N/A</v>
          </cell>
          <cell r="C786">
            <v>20</v>
          </cell>
          <cell r="D786" t="str">
            <v>EK65</v>
          </cell>
          <cell r="E786" t="str">
            <v>632112</v>
          </cell>
          <cell r="F786" t="str">
            <v>E</v>
          </cell>
          <cell r="G786" t="str">
            <v>12532596</v>
          </cell>
          <cell r="H786" t="str">
            <v>Halter</v>
          </cell>
          <cell r="I786">
            <v>51</v>
          </cell>
          <cell r="J786" t="str">
            <v>Stk</v>
          </cell>
          <cell r="K786">
            <v>45196</v>
          </cell>
          <cell r="L786" t="str">
            <v>829053</v>
          </cell>
          <cell r="M786" t="str">
            <v/>
          </cell>
          <cell r="N786" t="str">
            <v/>
          </cell>
          <cell r="O786" t="str">
            <v/>
          </cell>
          <cell r="P786" t="str">
            <v/>
          </cell>
          <cell r="Q786" t="str">
            <v/>
          </cell>
          <cell r="R786" t="str">
            <v/>
          </cell>
          <cell r="S786" t="str">
            <v/>
          </cell>
          <cell r="T786" t="str">
            <v/>
          </cell>
          <cell r="U786" t="str">
            <v/>
          </cell>
          <cell r="V786" t="str">
            <v>N52</v>
          </cell>
          <cell r="W786" t="str">
            <v/>
          </cell>
          <cell r="X786" t="str">
            <v/>
          </cell>
          <cell r="Y786" t="str">
            <v/>
          </cell>
          <cell r="Z786" t="str">
            <v/>
          </cell>
          <cell r="AA786" t="str">
            <v/>
          </cell>
          <cell r="AB786" t="str">
            <v>PA_4496336-UA.7005-2</v>
          </cell>
          <cell r="AC786">
            <v>1</v>
          </cell>
          <cell r="AD786" t="str">
            <v/>
          </cell>
          <cell r="AE786">
            <v>0</v>
          </cell>
          <cell r="AF786" t="str">
            <v/>
          </cell>
          <cell r="AG786" t="str">
            <v>12532596</v>
          </cell>
          <cell r="AH786">
            <v>44790.937164351853</v>
          </cell>
          <cell r="AI786" t="str">
            <v>N52</v>
          </cell>
          <cell r="AJ786" t="str">
            <v>F</v>
          </cell>
          <cell r="AK786" t="str">
            <v>A</v>
          </cell>
        </row>
        <row r="787">
          <cell r="A787" t="str">
            <v>12532596829054</v>
          </cell>
          <cell r="B787" t="e">
            <v>#N/A</v>
          </cell>
          <cell r="C787">
            <v>20</v>
          </cell>
          <cell r="D787" t="str">
            <v>EK65</v>
          </cell>
          <cell r="E787" t="str">
            <v>632113</v>
          </cell>
          <cell r="F787" t="str">
            <v>E</v>
          </cell>
          <cell r="G787" t="str">
            <v>12532596</v>
          </cell>
          <cell r="H787" t="str">
            <v>Halter</v>
          </cell>
          <cell r="I787">
            <v>13</v>
          </cell>
          <cell r="J787" t="str">
            <v>Stk</v>
          </cell>
          <cell r="K787">
            <v>45252</v>
          </cell>
          <cell r="L787" t="str">
            <v>829054</v>
          </cell>
          <cell r="M787" t="str">
            <v/>
          </cell>
          <cell r="N787" t="str">
            <v/>
          </cell>
          <cell r="O787" t="str">
            <v/>
          </cell>
          <cell r="P787" t="str">
            <v/>
          </cell>
          <cell r="Q787" t="str">
            <v/>
          </cell>
          <cell r="R787" t="str">
            <v/>
          </cell>
          <cell r="S787" t="str">
            <v/>
          </cell>
          <cell r="T787" t="str">
            <v/>
          </cell>
          <cell r="U787" t="str">
            <v/>
          </cell>
          <cell r="V787" t="str">
            <v>N52</v>
          </cell>
          <cell r="W787" t="str">
            <v/>
          </cell>
          <cell r="X787" t="str">
            <v/>
          </cell>
          <cell r="Y787" t="str">
            <v/>
          </cell>
          <cell r="Z787" t="str">
            <v/>
          </cell>
          <cell r="AA787" t="str">
            <v/>
          </cell>
          <cell r="AB787" t="str">
            <v>PA_4496336-UA.7005-2</v>
          </cell>
          <cell r="AC787">
            <v>1</v>
          </cell>
          <cell r="AD787" t="str">
            <v/>
          </cell>
          <cell r="AE787">
            <v>0</v>
          </cell>
          <cell r="AF787" t="str">
            <v/>
          </cell>
          <cell r="AG787" t="str">
            <v>12532596</v>
          </cell>
          <cell r="AH787">
            <v>44790.937164351853</v>
          </cell>
          <cell r="AI787" t="str">
            <v>N52</v>
          </cell>
          <cell r="AJ787" t="str">
            <v>F</v>
          </cell>
          <cell r="AK787" t="str">
            <v>A</v>
          </cell>
        </row>
        <row r="788">
          <cell r="A788" t="str">
            <v>12532596829051</v>
          </cell>
          <cell r="B788" t="e">
            <v>#N/A</v>
          </cell>
          <cell r="C788">
            <v>20</v>
          </cell>
          <cell r="D788" t="str">
            <v>EK65</v>
          </cell>
          <cell r="E788" t="str">
            <v>632114</v>
          </cell>
          <cell r="F788" t="str">
            <v>E</v>
          </cell>
          <cell r="G788" t="str">
            <v>12532596</v>
          </cell>
          <cell r="H788" t="str">
            <v>Halter</v>
          </cell>
          <cell r="I788">
            <v>89</v>
          </cell>
          <cell r="J788" t="str">
            <v>Stk</v>
          </cell>
          <cell r="K788">
            <v>45324</v>
          </cell>
          <cell r="L788" t="str">
            <v>829051</v>
          </cell>
          <cell r="M788" t="str">
            <v/>
          </cell>
          <cell r="N788" t="str">
            <v/>
          </cell>
          <cell r="O788" t="str">
            <v/>
          </cell>
          <cell r="P788" t="str">
            <v/>
          </cell>
          <cell r="Q788" t="str">
            <v/>
          </cell>
          <cell r="R788" t="str">
            <v/>
          </cell>
          <cell r="S788" t="str">
            <v/>
          </cell>
          <cell r="T788" t="str">
            <v/>
          </cell>
          <cell r="U788" t="str">
            <v/>
          </cell>
          <cell r="V788" t="str">
            <v>N52</v>
          </cell>
          <cell r="W788" t="str">
            <v/>
          </cell>
          <cell r="X788" t="str">
            <v/>
          </cell>
          <cell r="Y788" t="str">
            <v/>
          </cell>
          <cell r="Z788" t="str">
            <v/>
          </cell>
          <cell r="AA788" t="str">
            <v/>
          </cell>
          <cell r="AB788" t="str">
            <v>PA_4496336-UA.7005-2</v>
          </cell>
          <cell r="AC788">
            <v>1</v>
          </cell>
          <cell r="AD788" t="str">
            <v/>
          </cell>
          <cell r="AE788">
            <v>0</v>
          </cell>
          <cell r="AF788" t="str">
            <v/>
          </cell>
          <cell r="AG788" t="str">
            <v>12532596</v>
          </cell>
          <cell r="AH788">
            <v>44790.937164351853</v>
          </cell>
          <cell r="AI788" t="str">
            <v>N52</v>
          </cell>
          <cell r="AJ788" t="str">
            <v>F</v>
          </cell>
          <cell r="AK788" t="str">
            <v>A</v>
          </cell>
        </row>
        <row r="789">
          <cell r="A789" t="str">
            <v>12532596829052</v>
          </cell>
          <cell r="B789" t="str">
            <v>BL20230413-2</v>
          </cell>
          <cell r="C789">
            <v>20</v>
          </cell>
          <cell r="D789" t="str">
            <v>EK65</v>
          </cell>
          <cell r="E789" t="str">
            <v>632115</v>
          </cell>
          <cell r="F789" t="str">
            <v>E</v>
          </cell>
          <cell r="G789" t="str">
            <v>12532596</v>
          </cell>
          <cell r="H789" t="str">
            <v>Halter</v>
          </cell>
          <cell r="I789">
            <v>31</v>
          </cell>
          <cell r="J789" t="str">
            <v>Stk</v>
          </cell>
          <cell r="K789">
            <v>45345</v>
          </cell>
          <cell r="L789" t="str">
            <v>829052</v>
          </cell>
          <cell r="M789" t="str">
            <v/>
          </cell>
          <cell r="N789" t="str">
            <v/>
          </cell>
          <cell r="O789" t="str">
            <v/>
          </cell>
          <cell r="P789" t="str">
            <v/>
          </cell>
          <cell r="Q789" t="str">
            <v/>
          </cell>
          <cell r="R789" t="str">
            <v/>
          </cell>
          <cell r="S789" t="str">
            <v/>
          </cell>
          <cell r="T789" t="str">
            <v/>
          </cell>
          <cell r="U789" t="str">
            <v/>
          </cell>
          <cell r="V789" t="str">
            <v>N52</v>
          </cell>
          <cell r="W789" t="str">
            <v/>
          </cell>
          <cell r="X789" t="str">
            <v/>
          </cell>
          <cell r="Y789" t="str">
            <v/>
          </cell>
          <cell r="Z789" t="str">
            <v/>
          </cell>
          <cell r="AA789" t="str">
            <v/>
          </cell>
          <cell r="AB789" t="str">
            <v>PA_4496336-UA.7005-2</v>
          </cell>
          <cell r="AC789">
            <v>1</v>
          </cell>
          <cell r="AD789" t="str">
            <v/>
          </cell>
          <cell r="AE789">
            <v>0</v>
          </cell>
          <cell r="AF789" t="str">
            <v/>
          </cell>
          <cell r="AG789" t="str">
            <v>12532596</v>
          </cell>
          <cell r="AH789">
            <v>44790.937175925923</v>
          </cell>
          <cell r="AI789" t="str">
            <v>N52</v>
          </cell>
          <cell r="AJ789" t="str">
            <v>F</v>
          </cell>
          <cell r="AK789" t="str">
            <v>A</v>
          </cell>
        </row>
        <row r="790">
          <cell r="A790" t="str">
            <v>12519119829051</v>
          </cell>
          <cell r="B790" t="e">
            <v>#N/A</v>
          </cell>
          <cell r="C790">
            <v>12</v>
          </cell>
          <cell r="D790" t="str">
            <v>EK65</v>
          </cell>
          <cell r="E790" t="str">
            <v>639859</v>
          </cell>
          <cell r="F790" t="str">
            <v>E</v>
          </cell>
          <cell r="G790" t="str">
            <v>12519119</v>
          </cell>
          <cell r="H790" t="str">
            <v>Halter</v>
          </cell>
          <cell r="I790">
            <v>106</v>
          </cell>
          <cell r="J790" t="str">
            <v>Stk</v>
          </cell>
          <cell r="K790">
            <v>45254</v>
          </cell>
          <cell r="L790" t="str">
            <v>829051</v>
          </cell>
          <cell r="M790" t="str">
            <v/>
          </cell>
          <cell r="N790" t="str">
            <v/>
          </cell>
          <cell r="O790" t="str">
            <v/>
          </cell>
          <cell r="P790" t="str">
            <v/>
          </cell>
          <cell r="Q790" t="str">
            <v/>
          </cell>
          <cell r="R790" t="str">
            <v/>
          </cell>
          <cell r="S790" t="str">
            <v/>
          </cell>
          <cell r="T790" t="str">
            <v/>
          </cell>
          <cell r="U790" t="str">
            <v/>
          </cell>
          <cell r="V790" t="str">
            <v>N52</v>
          </cell>
          <cell r="W790" t="str">
            <v/>
          </cell>
          <cell r="X790" t="str">
            <v/>
          </cell>
          <cell r="Y790" t="str">
            <v/>
          </cell>
          <cell r="Z790" t="str">
            <v/>
          </cell>
          <cell r="AA790" t="str">
            <v/>
          </cell>
          <cell r="AB790" t="str">
            <v>PA_4475737-UA.7005-3</v>
          </cell>
          <cell r="AC790">
            <v>1</v>
          </cell>
          <cell r="AD790" t="str">
            <v/>
          </cell>
          <cell r="AE790">
            <v>0</v>
          </cell>
          <cell r="AF790" t="str">
            <v/>
          </cell>
          <cell r="AG790" t="str">
            <v>12519119</v>
          </cell>
          <cell r="AH790">
            <v>44816.889166666668</v>
          </cell>
          <cell r="AI790" t="str">
            <v>N52</v>
          </cell>
          <cell r="AJ790" t="str">
            <v>F</v>
          </cell>
          <cell r="AK790" t="str">
            <v>A</v>
          </cell>
        </row>
        <row r="791">
          <cell r="A791" t="str">
            <v>12519119829053</v>
          </cell>
          <cell r="B791" t="e">
            <v>#N/A</v>
          </cell>
          <cell r="C791">
            <v>12</v>
          </cell>
          <cell r="D791" t="str">
            <v>EK65</v>
          </cell>
          <cell r="E791" t="str">
            <v>639860</v>
          </cell>
          <cell r="F791" t="str">
            <v>E</v>
          </cell>
          <cell r="G791" t="str">
            <v>12519119</v>
          </cell>
          <cell r="H791" t="str">
            <v>Halter</v>
          </cell>
          <cell r="I791">
            <v>35</v>
          </cell>
          <cell r="J791" t="str">
            <v>Stk</v>
          </cell>
          <cell r="K791">
            <v>45272</v>
          </cell>
          <cell r="L791" t="str">
            <v>829053</v>
          </cell>
          <cell r="M791" t="str">
            <v/>
          </cell>
          <cell r="N791" t="str">
            <v/>
          </cell>
          <cell r="O791" t="str">
            <v/>
          </cell>
          <cell r="P791" t="str">
            <v/>
          </cell>
          <cell r="Q791" t="str">
            <v/>
          </cell>
          <cell r="R791" t="str">
            <v/>
          </cell>
          <cell r="S791" t="str">
            <v/>
          </cell>
          <cell r="T791" t="str">
            <v/>
          </cell>
          <cell r="U791" t="str">
            <v/>
          </cell>
          <cell r="V791" t="str">
            <v>N52</v>
          </cell>
          <cell r="W791" t="str">
            <v/>
          </cell>
          <cell r="X791" t="str">
            <v/>
          </cell>
          <cell r="Y791" t="str">
            <v/>
          </cell>
          <cell r="Z791" t="str">
            <v/>
          </cell>
          <cell r="AA791" t="str">
            <v/>
          </cell>
          <cell r="AB791" t="str">
            <v>PA_4475737-UA.7005-3</v>
          </cell>
          <cell r="AC791">
            <v>1</v>
          </cell>
          <cell r="AD791" t="str">
            <v/>
          </cell>
          <cell r="AE791">
            <v>0</v>
          </cell>
          <cell r="AF791" t="str">
            <v/>
          </cell>
          <cell r="AG791" t="str">
            <v>12519119</v>
          </cell>
          <cell r="AH791">
            <v>44816.889178240737</v>
          </cell>
          <cell r="AI791" t="str">
            <v>N52</v>
          </cell>
          <cell r="AJ791" t="str">
            <v>F</v>
          </cell>
          <cell r="AK791" t="str">
            <v>A</v>
          </cell>
        </row>
        <row r="792">
          <cell r="A792" t="str">
            <v>12483278829054</v>
          </cell>
          <cell r="B792" t="e">
            <v>#N/A</v>
          </cell>
          <cell r="C792">
            <v>21</v>
          </cell>
          <cell r="D792" t="str">
            <v>EK65</v>
          </cell>
          <cell r="E792" t="str">
            <v>640324</v>
          </cell>
          <cell r="F792" t="str">
            <v>E</v>
          </cell>
          <cell r="G792" t="str">
            <v>12483278</v>
          </cell>
          <cell r="H792" t="str">
            <v>Anpressklotz</v>
          </cell>
          <cell r="I792">
            <v>36</v>
          </cell>
          <cell r="J792" t="str">
            <v>Stk</v>
          </cell>
          <cell r="K792">
            <v>45217</v>
          </cell>
          <cell r="L792" t="str">
            <v>829054</v>
          </cell>
          <cell r="M792" t="str">
            <v/>
          </cell>
          <cell r="N792" t="str">
            <v/>
          </cell>
          <cell r="O792" t="str">
            <v/>
          </cell>
          <cell r="P792" t="str">
            <v/>
          </cell>
          <cell r="Q792" t="str">
            <v/>
          </cell>
          <cell r="R792" t="str">
            <v/>
          </cell>
          <cell r="S792" t="str">
            <v/>
          </cell>
          <cell r="T792" t="str">
            <v/>
          </cell>
          <cell r="U792" t="str">
            <v/>
          </cell>
          <cell r="V792" t="str">
            <v>N52</v>
          </cell>
          <cell r="W792" t="str">
            <v/>
          </cell>
          <cell r="X792" t="str">
            <v/>
          </cell>
          <cell r="Y792" t="str">
            <v/>
          </cell>
          <cell r="Z792" t="str">
            <v/>
          </cell>
          <cell r="AA792" t="str">
            <v/>
          </cell>
          <cell r="AB792" t="str">
            <v>PA_2344609-CF.7005-4</v>
          </cell>
          <cell r="AC792">
            <v>1</v>
          </cell>
          <cell r="AD792" t="str">
            <v/>
          </cell>
          <cell r="AE792">
            <v>0</v>
          </cell>
          <cell r="AF792" t="str">
            <v/>
          </cell>
          <cell r="AG792" t="str">
            <v>12483278</v>
          </cell>
          <cell r="AH792">
            <v>44818.940300925926</v>
          </cell>
          <cell r="AI792" t="str">
            <v>N52</v>
          </cell>
          <cell r="AJ792" t="str">
            <v>F</v>
          </cell>
          <cell r="AK792" t="str">
            <v>A</v>
          </cell>
        </row>
        <row r="793">
          <cell r="A793" t="str">
            <v>12483278829053</v>
          </cell>
          <cell r="B793" t="e">
            <v>#N/A</v>
          </cell>
          <cell r="C793">
            <v>21</v>
          </cell>
          <cell r="D793" t="str">
            <v>EK65</v>
          </cell>
          <cell r="E793" t="str">
            <v>640325</v>
          </cell>
          <cell r="F793" t="str">
            <v>E</v>
          </cell>
          <cell r="G793" t="str">
            <v>12483278</v>
          </cell>
          <cell r="H793" t="str">
            <v>Anpressklotz</v>
          </cell>
          <cell r="I793">
            <v>94</v>
          </cell>
          <cell r="J793" t="str">
            <v>Stk</v>
          </cell>
          <cell r="K793">
            <v>45232</v>
          </cell>
          <cell r="L793" t="str">
            <v>829053</v>
          </cell>
          <cell r="M793" t="str">
            <v/>
          </cell>
          <cell r="N793" t="str">
            <v/>
          </cell>
          <cell r="O793" t="str">
            <v/>
          </cell>
          <cell r="P793" t="str">
            <v/>
          </cell>
          <cell r="Q793" t="str">
            <v/>
          </cell>
          <cell r="R793" t="str">
            <v/>
          </cell>
          <cell r="S793" t="str">
            <v/>
          </cell>
          <cell r="T793" t="str">
            <v/>
          </cell>
          <cell r="U793" t="str">
            <v/>
          </cell>
          <cell r="V793" t="str">
            <v>N52</v>
          </cell>
          <cell r="W793" t="str">
            <v/>
          </cell>
          <cell r="X793" t="str">
            <v/>
          </cell>
          <cell r="Y793" t="str">
            <v/>
          </cell>
          <cell r="Z793" t="str">
            <v/>
          </cell>
          <cell r="AA793" t="str">
            <v/>
          </cell>
          <cell r="AB793" t="str">
            <v>PA_2344609-CF.7005-4</v>
          </cell>
          <cell r="AC793">
            <v>1</v>
          </cell>
          <cell r="AD793" t="str">
            <v/>
          </cell>
          <cell r="AE793">
            <v>0</v>
          </cell>
          <cell r="AF793" t="str">
            <v/>
          </cell>
          <cell r="AG793" t="str">
            <v>12483278</v>
          </cell>
          <cell r="AH793">
            <v>44818.940300925926</v>
          </cell>
          <cell r="AI793" t="str">
            <v>N52</v>
          </cell>
          <cell r="AJ793" t="str">
            <v>F</v>
          </cell>
          <cell r="AK793" t="str">
            <v>A</v>
          </cell>
        </row>
        <row r="794">
          <cell r="A794" t="str">
            <v>12483278829051</v>
          </cell>
          <cell r="B794" t="str">
            <v>BL20230413-2</v>
          </cell>
          <cell r="C794">
            <v>21</v>
          </cell>
          <cell r="D794" t="str">
            <v>EK65</v>
          </cell>
          <cell r="E794" t="str">
            <v>640326</v>
          </cell>
          <cell r="F794" t="str">
            <v>E</v>
          </cell>
          <cell r="G794" t="str">
            <v>12483278</v>
          </cell>
          <cell r="H794" t="str">
            <v>Anpressklotz</v>
          </cell>
          <cell r="I794">
            <v>179</v>
          </cell>
          <cell r="J794" t="str">
            <v>Stk</v>
          </cell>
          <cell r="K794">
            <v>45331</v>
          </cell>
          <cell r="L794" t="str">
            <v>829051</v>
          </cell>
          <cell r="M794" t="str">
            <v/>
          </cell>
          <cell r="N794" t="str">
            <v/>
          </cell>
          <cell r="O794" t="str">
            <v/>
          </cell>
          <cell r="P794" t="str">
            <v/>
          </cell>
          <cell r="Q794" t="str">
            <v/>
          </cell>
          <cell r="R794" t="str">
            <v/>
          </cell>
          <cell r="S794" t="str">
            <v/>
          </cell>
          <cell r="T794" t="str">
            <v/>
          </cell>
          <cell r="U794" t="str">
            <v/>
          </cell>
          <cell r="V794" t="str">
            <v>N52</v>
          </cell>
          <cell r="W794" t="str">
            <v/>
          </cell>
          <cell r="X794" t="str">
            <v/>
          </cell>
          <cell r="Y794" t="str">
            <v/>
          </cell>
          <cell r="Z794" t="str">
            <v/>
          </cell>
          <cell r="AA794" t="str">
            <v/>
          </cell>
          <cell r="AB794" t="str">
            <v>PA_2344609-CF.7005-4</v>
          </cell>
          <cell r="AC794">
            <v>1</v>
          </cell>
          <cell r="AD794" t="str">
            <v/>
          </cell>
          <cell r="AE794">
            <v>0</v>
          </cell>
          <cell r="AF794" t="str">
            <v/>
          </cell>
          <cell r="AG794" t="str">
            <v>12483278</v>
          </cell>
          <cell r="AH794">
            <v>44818.940300925926</v>
          </cell>
          <cell r="AI794" t="str">
            <v>N52</v>
          </cell>
          <cell r="AJ794" t="str">
            <v>F</v>
          </cell>
          <cell r="AK794" t="str">
            <v>A</v>
          </cell>
        </row>
        <row r="795">
          <cell r="A795" t="str">
            <v>12483278829052</v>
          </cell>
          <cell r="B795" t="e">
            <v>#N/A</v>
          </cell>
          <cell r="C795">
            <v>21</v>
          </cell>
          <cell r="D795" t="str">
            <v>EK65</v>
          </cell>
          <cell r="E795" t="str">
            <v>640327</v>
          </cell>
          <cell r="F795" t="str">
            <v>E</v>
          </cell>
          <cell r="G795" t="str">
            <v>12483278</v>
          </cell>
          <cell r="H795" t="str">
            <v>Anpressklotz</v>
          </cell>
          <cell r="I795">
            <v>60</v>
          </cell>
          <cell r="J795" t="str">
            <v>Stk</v>
          </cell>
          <cell r="K795">
            <v>45366</v>
          </cell>
          <cell r="L795" t="str">
            <v>829052</v>
          </cell>
          <cell r="M795" t="str">
            <v/>
          </cell>
          <cell r="N795" t="str">
            <v/>
          </cell>
          <cell r="O795" t="str">
            <v/>
          </cell>
          <cell r="P795" t="str">
            <v/>
          </cell>
          <cell r="Q795" t="str">
            <v/>
          </cell>
          <cell r="R795" t="str">
            <v/>
          </cell>
          <cell r="S795" t="str">
            <v/>
          </cell>
          <cell r="T795" t="str">
            <v/>
          </cell>
          <cell r="U795" t="str">
            <v/>
          </cell>
          <cell r="V795" t="str">
            <v>N52</v>
          </cell>
          <cell r="W795" t="str">
            <v/>
          </cell>
          <cell r="X795" t="str">
            <v/>
          </cell>
          <cell r="Y795" t="str">
            <v/>
          </cell>
          <cell r="Z795" t="str">
            <v/>
          </cell>
          <cell r="AA795" t="str">
            <v/>
          </cell>
          <cell r="AB795" t="str">
            <v>PA_2344609-CF.7005-4</v>
          </cell>
          <cell r="AC795">
            <v>1</v>
          </cell>
          <cell r="AD795" t="str">
            <v/>
          </cell>
          <cell r="AE795">
            <v>0</v>
          </cell>
          <cell r="AF795" t="str">
            <v/>
          </cell>
          <cell r="AG795" t="str">
            <v>12483278</v>
          </cell>
          <cell r="AH795">
            <v>44818.940300925926</v>
          </cell>
          <cell r="AI795" t="str">
            <v>N52</v>
          </cell>
          <cell r="AJ795" t="str">
            <v>F</v>
          </cell>
          <cell r="AK795" t="str">
            <v>A</v>
          </cell>
        </row>
        <row r="796">
          <cell r="A796" t="str">
            <v>12601594829053</v>
          </cell>
          <cell r="B796" t="e">
            <v>#N/A</v>
          </cell>
          <cell r="C796">
            <v>10</v>
          </cell>
          <cell r="D796" t="str">
            <v>EK65</v>
          </cell>
          <cell r="E796" t="str">
            <v>640455</v>
          </cell>
          <cell r="F796" t="str">
            <v>E</v>
          </cell>
          <cell r="G796" t="str">
            <v>12601594</v>
          </cell>
          <cell r="H796" t="str">
            <v>Blech vollst.</v>
          </cell>
          <cell r="I796">
            <v>87</v>
          </cell>
          <cell r="J796" t="str">
            <v>Stk</v>
          </cell>
          <cell r="K796">
            <v>45230</v>
          </cell>
          <cell r="L796" t="str">
            <v>829053</v>
          </cell>
          <cell r="M796" t="str">
            <v/>
          </cell>
          <cell r="N796" t="str">
            <v/>
          </cell>
          <cell r="O796" t="str">
            <v/>
          </cell>
          <cell r="P796" t="str">
            <v/>
          </cell>
          <cell r="Q796" t="str">
            <v/>
          </cell>
          <cell r="R796" t="str">
            <v/>
          </cell>
          <cell r="S796" t="str">
            <v/>
          </cell>
          <cell r="T796" t="str">
            <v/>
          </cell>
          <cell r="U796" t="str">
            <v/>
          </cell>
          <cell r="V796" t="str">
            <v>N38</v>
          </cell>
          <cell r="W796" t="str">
            <v/>
          </cell>
          <cell r="X796" t="str">
            <v/>
          </cell>
          <cell r="Y796" t="str">
            <v/>
          </cell>
          <cell r="Z796" t="str">
            <v/>
          </cell>
          <cell r="AA796" t="str">
            <v/>
          </cell>
          <cell r="AB796" t="str">
            <v>PA_4956710-UA.7005-3</v>
          </cell>
          <cell r="AC796">
            <v>1</v>
          </cell>
          <cell r="AD796" t="str">
            <v/>
          </cell>
          <cell r="AE796">
            <v>0</v>
          </cell>
          <cell r="AF796" t="str">
            <v/>
          </cell>
          <cell r="AG796" t="str">
            <v>12601594</v>
          </cell>
          <cell r="AH796">
            <v>44819.884351851855</v>
          </cell>
          <cell r="AI796" t="str">
            <v>N38</v>
          </cell>
          <cell r="AJ796" t="str">
            <v>F</v>
          </cell>
          <cell r="AK796" t="str">
            <v/>
          </cell>
        </row>
        <row r="797">
          <cell r="A797" t="str">
            <v>12601594829054</v>
          </cell>
          <cell r="B797" t="e">
            <v>#N/A</v>
          </cell>
          <cell r="C797">
            <v>10</v>
          </cell>
          <cell r="D797" t="str">
            <v>EK65</v>
          </cell>
          <cell r="E797" t="str">
            <v>640456</v>
          </cell>
          <cell r="F797" t="str">
            <v>E</v>
          </cell>
          <cell r="G797" t="str">
            <v>12601594</v>
          </cell>
          <cell r="H797" t="str">
            <v>Blech vollst.</v>
          </cell>
          <cell r="I797">
            <v>64</v>
          </cell>
          <cell r="J797" t="str">
            <v>Stk</v>
          </cell>
          <cell r="K797">
            <v>45231</v>
          </cell>
          <cell r="L797" t="str">
            <v>829054</v>
          </cell>
          <cell r="M797" t="str">
            <v/>
          </cell>
          <cell r="N797" t="str">
            <v/>
          </cell>
          <cell r="O797" t="str">
            <v/>
          </cell>
          <cell r="P797" t="str">
            <v/>
          </cell>
          <cell r="Q797" t="str">
            <v/>
          </cell>
          <cell r="R797" t="str">
            <v/>
          </cell>
          <cell r="S797" t="str">
            <v/>
          </cell>
          <cell r="T797" t="str">
            <v/>
          </cell>
          <cell r="U797" t="str">
            <v/>
          </cell>
          <cell r="V797" t="str">
            <v>N38</v>
          </cell>
          <cell r="W797" t="str">
            <v/>
          </cell>
          <cell r="X797" t="str">
            <v/>
          </cell>
          <cell r="Y797" t="str">
            <v/>
          </cell>
          <cell r="Z797" t="str">
            <v/>
          </cell>
          <cell r="AA797" t="str">
            <v/>
          </cell>
          <cell r="AB797" t="str">
            <v>PA_4956710-UA.7005-3</v>
          </cell>
          <cell r="AC797">
            <v>1</v>
          </cell>
          <cell r="AD797" t="str">
            <v/>
          </cell>
          <cell r="AE797">
            <v>0</v>
          </cell>
          <cell r="AF797" t="str">
            <v/>
          </cell>
          <cell r="AG797" t="str">
            <v>12601594</v>
          </cell>
          <cell r="AH797">
            <v>44819.884351851855</v>
          </cell>
          <cell r="AI797" t="str">
            <v>N38</v>
          </cell>
          <cell r="AJ797" t="str">
            <v>F</v>
          </cell>
          <cell r="AK797" t="str">
            <v/>
          </cell>
        </row>
        <row r="798">
          <cell r="A798" t="str">
            <v>12605285829054</v>
          </cell>
          <cell r="B798" t="e">
            <v>#N/A</v>
          </cell>
          <cell r="C798">
            <v>14</v>
          </cell>
          <cell r="D798" t="str">
            <v>EK65</v>
          </cell>
          <cell r="E798" t="str">
            <v>640457</v>
          </cell>
          <cell r="F798" t="str">
            <v>E</v>
          </cell>
          <cell r="G798" t="str">
            <v>12605285</v>
          </cell>
          <cell r="H798" t="str">
            <v>Steckerblech Kabelkanal FGR</v>
          </cell>
          <cell r="I798">
            <v>101</v>
          </cell>
          <cell r="J798" t="str">
            <v>Stk</v>
          </cell>
          <cell r="K798">
            <v>45210</v>
          </cell>
          <cell r="L798" t="str">
            <v>829054</v>
          </cell>
          <cell r="M798" t="str">
            <v/>
          </cell>
          <cell r="N798" t="str">
            <v/>
          </cell>
          <cell r="O798" t="str">
            <v/>
          </cell>
          <cell r="P798" t="str">
            <v/>
          </cell>
          <cell r="Q798" t="str">
            <v/>
          </cell>
          <cell r="R798" t="str">
            <v/>
          </cell>
          <cell r="S798" t="str">
            <v/>
          </cell>
          <cell r="T798" t="str">
            <v/>
          </cell>
          <cell r="U798" t="str">
            <v/>
          </cell>
          <cell r="V798" t="str">
            <v>N52</v>
          </cell>
          <cell r="W798" t="str">
            <v/>
          </cell>
          <cell r="X798" t="str">
            <v/>
          </cell>
          <cell r="Y798" t="str">
            <v/>
          </cell>
          <cell r="Z798" t="str">
            <v/>
          </cell>
          <cell r="AA798" t="str">
            <v/>
          </cell>
          <cell r="AB798" t="str">
            <v>PA_4933561-UA.7005-3</v>
          </cell>
          <cell r="AC798">
            <v>1</v>
          </cell>
          <cell r="AD798" t="str">
            <v/>
          </cell>
          <cell r="AE798">
            <v>0</v>
          </cell>
          <cell r="AF798" t="str">
            <v/>
          </cell>
          <cell r="AG798" t="str">
            <v>12605285</v>
          </cell>
          <cell r="AH798">
            <v>44819.884398148148</v>
          </cell>
          <cell r="AI798" t="str">
            <v>N52</v>
          </cell>
          <cell r="AJ798" t="str">
            <v>F</v>
          </cell>
          <cell r="AK798" t="str">
            <v/>
          </cell>
        </row>
        <row r="799">
          <cell r="A799" t="str">
            <v>12605285829053</v>
          </cell>
          <cell r="B799" t="e">
            <v>#N/A</v>
          </cell>
          <cell r="C799">
            <v>14</v>
          </cell>
          <cell r="D799" t="str">
            <v>EK65</v>
          </cell>
          <cell r="E799" t="str">
            <v>640458</v>
          </cell>
          <cell r="F799" t="str">
            <v>E</v>
          </cell>
          <cell r="G799" t="str">
            <v>12605285</v>
          </cell>
          <cell r="H799" t="str">
            <v>Steckerblech Kabelkanal FGR</v>
          </cell>
          <cell r="I799">
            <v>292</v>
          </cell>
          <cell r="J799" t="str">
            <v>Stk</v>
          </cell>
          <cell r="K799">
            <v>45211</v>
          </cell>
          <cell r="L799" t="str">
            <v>829053</v>
          </cell>
          <cell r="M799" t="str">
            <v/>
          </cell>
          <cell r="N799" t="str">
            <v/>
          </cell>
          <cell r="O799" t="str">
            <v/>
          </cell>
          <cell r="P799" t="str">
            <v/>
          </cell>
          <cell r="Q799" t="str">
            <v/>
          </cell>
          <cell r="R799" t="str">
            <v/>
          </cell>
          <cell r="S799" t="str">
            <v/>
          </cell>
          <cell r="T799" t="str">
            <v/>
          </cell>
          <cell r="U799" t="str">
            <v/>
          </cell>
          <cell r="V799" t="str">
            <v>N52</v>
          </cell>
          <cell r="W799" t="str">
            <v/>
          </cell>
          <cell r="X799" t="str">
            <v/>
          </cell>
          <cell r="Y799" t="str">
            <v/>
          </cell>
          <cell r="Z799" t="str">
            <v/>
          </cell>
          <cell r="AA799" t="str">
            <v/>
          </cell>
          <cell r="AB799" t="str">
            <v>PA_4933561-UA.7005-3</v>
          </cell>
          <cell r="AC799">
            <v>1</v>
          </cell>
          <cell r="AD799" t="str">
            <v/>
          </cell>
          <cell r="AE799">
            <v>0</v>
          </cell>
          <cell r="AF799" t="str">
            <v/>
          </cell>
          <cell r="AG799" t="str">
            <v>12605285</v>
          </cell>
          <cell r="AH799">
            <v>44819.884398148148</v>
          </cell>
          <cell r="AI799" t="str">
            <v>N52</v>
          </cell>
          <cell r="AJ799" t="str">
            <v>F</v>
          </cell>
          <cell r="AK799" t="str">
            <v/>
          </cell>
        </row>
        <row r="800">
          <cell r="A800" t="str">
            <v>12600617829053</v>
          </cell>
          <cell r="B800" t="e">
            <v>#N/A</v>
          </cell>
          <cell r="C800">
            <v>28</v>
          </cell>
          <cell r="D800" t="str">
            <v>EK65</v>
          </cell>
          <cell r="E800" t="str">
            <v>642541</v>
          </cell>
          <cell r="F800" t="str">
            <v>E</v>
          </cell>
          <cell r="G800" t="str">
            <v>12600617</v>
          </cell>
          <cell r="H800" t="str">
            <v>Halter fuer Ueberstroemventil</v>
          </cell>
          <cell r="I800">
            <v>47</v>
          </cell>
          <cell r="J800" t="str">
            <v>Stk</v>
          </cell>
          <cell r="K800">
            <v>45219</v>
          </cell>
          <cell r="L800" t="str">
            <v>829053</v>
          </cell>
          <cell r="M800" t="str">
            <v/>
          </cell>
          <cell r="N800" t="str">
            <v/>
          </cell>
          <cell r="O800" t="str">
            <v/>
          </cell>
          <cell r="P800" t="str">
            <v/>
          </cell>
          <cell r="Q800" t="str">
            <v/>
          </cell>
          <cell r="R800" t="str">
            <v/>
          </cell>
          <cell r="S800" t="str">
            <v/>
          </cell>
          <cell r="T800" t="str">
            <v/>
          </cell>
          <cell r="U800" t="str">
            <v/>
          </cell>
          <cell r="V800" t="str">
            <v>N52</v>
          </cell>
          <cell r="W800" t="str">
            <v/>
          </cell>
          <cell r="X800" t="str">
            <v/>
          </cell>
          <cell r="Y800" t="str">
            <v/>
          </cell>
          <cell r="Z800" t="str">
            <v/>
          </cell>
          <cell r="AA800" t="str">
            <v/>
          </cell>
          <cell r="AB800" t="str">
            <v>PA_4945264-QE.7005-3</v>
          </cell>
          <cell r="AC800">
            <v>1</v>
          </cell>
          <cell r="AD800" t="str">
            <v/>
          </cell>
          <cell r="AE800">
            <v>0</v>
          </cell>
          <cell r="AF800" t="str">
            <v/>
          </cell>
          <cell r="AG800" t="str">
            <v>12600617</v>
          </cell>
          <cell r="AH800">
            <v>44825.888495370367</v>
          </cell>
          <cell r="AI800" t="str">
            <v>N52</v>
          </cell>
          <cell r="AJ800" t="str">
            <v>F</v>
          </cell>
          <cell r="AK800" t="str">
            <v/>
          </cell>
        </row>
        <row r="801">
          <cell r="A801" t="str">
            <v>12600617829051</v>
          </cell>
          <cell r="B801" t="e">
            <v>#N/A</v>
          </cell>
          <cell r="C801">
            <v>28</v>
          </cell>
          <cell r="D801" t="str">
            <v>EK65</v>
          </cell>
          <cell r="E801" t="str">
            <v>642542</v>
          </cell>
          <cell r="F801" t="str">
            <v>E</v>
          </cell>
          <cell r="G801" t="str">
            <v>12600617</v>
          </cell>
          <cell r="H801" t="str">
            <v>Halter fuer Ueberstroemventil</v>
          </cell>
          <cell r="I801">
            <v>91</v>
          </cell>
          <cell r="J801" t="str">
            <v>Stk</v>
          </cell>
          <cell r="K801">
            <v>45316</v>
          </cell>
          <cell r="L801" t="str">
            <v>829051</v>
          </cell>
          <cell r="M801" t="str">
            <v/>
          </cell>
          <cell r="N801" t="str">
            <v/>
          </cell>
          <cell r="O801" t="str">
            <v/>
          </cell>
          <cell r="P801" t="str">
            <v/>
          </cell>
          <cell r="Q801" t="str">
            <v/>
          </cell>
          <cell r="R801" t="str">
            <v/>
          </cell>
          <cell r="S801" t="str">
            <v/>
          </cell>
          <cell r="T801" t="str">
            <v/>
          </cell>
          <cell r="U801" t="str">
            <v/>
          </cell>
          <cell r="V801" t="str">
            <v>N52</v>
          </cell>
          <cell r="W801" t="str">
            <v/>
          </cell>
          <cell r="X801" t="str">
            <v/>
          </cell>
          <cell r="Y801" t="str">
            <v/>
          </cell>
          <cell r="Z801" t="str">
            <v/>
          </cell>
          <cell r="AA801" t="str">
            <v/>
          </cell>
          <cell r="AB801" t="str">
            <v>PA_4945264-QE.7005-3</v>
          </cell>
          <cell r="AC801">
            <v>1</v>
          </cell>
          <cell r="AD801" t="str">
            <v/>
          </cell>
          <cell r="AE801">
            <v>0</v>
          </cell>
          <cell r="AF801" t="str">
            <v/>
          </cell>
          <cell r="AG801" t="str">
            <v>12600617</v>
          </cell>
          <cell r="AH801">
            <v>44825.888495370367</v>
          </cell>
          <cell r="AI801" t="str">
            <v>N52</v>
          </cell>
          <cell r="AJ801" t="str">
            <v>F</v>
          </cell>
          <cell r="AK801" t="str">
            <v/>
          </cell>
        </row>
        <row r="802">
          <cell r="A802" t="str">
            <v>12600617829052</v>
          </cell>
          <cell r="B802" t="e">
            <v>#N/A</v>
          </cell>
          <cell r="C802">
            <v>28</v>
          </cell>
          <cell r="D802" t="str">
            <v>EK65</v>
          </cell>
          <cell r="E802" t="str">
            <v>642543</v>
          </cell>
          <cell r="F802" t="str">
            <v>E</v>
          </cell>
          <cell r="G802" t="str">
            <v>12600617</v>
          </cell>
          <cell r="H802" t="str">
            <v>Halter fuer Ueberstroemventil</v>
          </cell>
          <cell r="I802">
            <v>31</v>
          </cell>
          <cell r="J802" t="str">
            <v>Stk</v>
          </cell>
          <cell r="K802">
            <v>45349</v>
          </cell>
          <cell r="L802" t="str">
            <v>829052</v>
          </cell>
          <cell r="M802" t="str">
            <v/>
          </cell>
          <cell r="N802" t="str">
            <v/>
          </cell>
          <cell r="O802" t="str">
            <v/>
          </cell>
          <cell r="P802" t="str">
            <v/>
          </cell>
          <cell r="Q802" t="str">
            <v/>
          </cell>
          <cell r="R802" t="str">
            <v/>
          </cell>
          <cell r="S802" t="str">
            <v/>
          </cell>
          <cell r="T802" t="str">
            <v/>
          </cell>
          <cell r="U802" t="str">
            <v/>
          </cell>
          <cell r="V802" t="str">
            <v>N52</v>
          </cell>
          <cell r="W802" t="str">
            <v/>
          </cell>
          <cell r="X802" t="str">
            <v/>
          </cell>
          <cell r="Y802" t="str">
            <v/>
          </cell>
          <cell r="Z802" t="str">
            <v/>
          </cell>
          <cell r="AA802" t="str">
            <v/>
          </cell>
          <cell r="AB802" t="str">
            <v>PA_4945264-QE.7005-3</v>
          </cell>
          <cell r="AC802">
            <v>1</v>
          </cell>
          <cell r="AD802" t="str">
            <v/>
          </cell>
          <cell r="AE802">
            <v>0</v>
          </cell>
          <cell r="AF802" t="str">
            <v/>
          </cell>
          <cell r="AG802" t="str">
            <v>12600617</v>
          </cell>
          <cell r="AH802">
            <v>44825.888495370367</v>
          </cell>
          <cell r="AI802" t="str">
            <v>N52</v>
          </cell>
          <cell r="AJ802" t="str">
            <v>F</v>
          </cell>
          <cell r="AK802" t="str">
            <v/>
          </cell>
        </row>
        <row r="803">
          <cell r="A803" t="str">
            <v>12601645829053</v>
          </cell>
          <cell r="B803" t="e">
            <v>#N/A</v>
          </cell>
          <cell r="C803">
            <v>8</v>
          </cell>
          <cell r="D803" t="str">
            <v>EK65</v>
          </cell>
          <cell r="E803" t="str">
            <v>642545</v>
          </cell>
          <cell r="F803" t="str">
            <v>E</v>
          </cell>
          <cell r="G803" t="str">
            <v>12601645</v>
          </cell>
          <cell r="H803" t="str">
            <v>Blech vollst.</v>
          </cell>
          <cell r="I803">
            <v>175</v>
          </cell>
          <cell r="J803" t="str">
            <v>Stk</v>
          </cell>
          <cell r="K803">
            <v>45230</v>
          </cell>
          <cell r="L803" t="str">
            <v>829053</v>
          </cell>
          <cell r="M803" t="str">
            <v/>
          </cell>
          <cell r="N803" t="str">
            <v/>
          </cell>
          <cell r="O803" t="str">
            <v/>
          </cell>
          <cell r="P803" t="str">
            <v/>
          </cell>
          <cell r="Q803" t="str">
            <v/>
          </cell>
          <cell r="R803" t="str">
            <v/>
          </cell>
          <cell r="S803" t="str">
            <v/>
          </cell>
          <cell r="T803" t="str">
            <v/>
          </cell>
          <cell r="U803" t="str">
            <v/>
          </cell>
          <cell r="V803" t="str">
            <v>N38</v>
          </cell>
          <cell r="W803" t="str">
            <v/>
          </cell>
          <cell r="X803" t="str">
            <v/>
          </cell>
          <cell r="Y803" t="str">
            <v/>
          </cell>
          <cell r="Z803" t="str">
            <v/>
          </cell>
          <cell r="AA803" t="str">
            <v/>
          </cell>
          <cell r="AB803" t="str">
            <v>PA_4956919-UA.7005-3</v>
          </cell>
          <cell r="AC803">
            <v>1</v>
          </cell>
          <cell r="AD803" t="str">
            <v/>
          </cell>
          <cell r="AE803">
            <v>0</v>
          </cell>
          <cell r="AF803" t="str">
            <v/>
          </cell>
          <cell r="AG803" t="str">
            <v>12601645</v>
          </cell>
          <cell r="AH803">
            <v>44825.888541666667</v>
          </cell>
          <cell r="AI803" t="str">
            <v>N38</v>
          </cell>
          <cell r="AJ803" t="str">
            <v>F</v>
          </cell>
          <cell r="AK803" t="str">
            <v/>
          </cell>
        </row>
        <row r="804">
          <cell r="A804" t="str">
            <v>12601645829054</v>
          </cell>
          <cell r="B804" t="e">
            <v>#N/A</v>
          </cell>
          <cell r="C804">
            <v>8</v>
          </cell>
          <cell r="D804" t="str">
            <v>EK65</v>
          </cell>
          <cell r="E804" t="str">
            <v>642546</v>
          </cell>
          <cell r="F804" t="str">
            <v>E</v>
          </cell>
          <cell r="G804" t="str">
            <v>12601645</v>
          </cell>
          <cell r="H804" t="str">
            <v>Blech vollst.</v>
          </cell>
          <cell r="I804">
            <v>64</v>
          </cell>
          <cell r="J804" t="str">
            <v>Stk</v>
          </cell>
          <cell r="K804">
            <v>45231</v>
          </cell>
          <cell r="L804" t="str">
            <v>829054</v>
          </cell>
          <cell r="M804" t="str">
            <v/>
          </cell>
          <cell r="N804" t="str">
            <v/>
          </cell>
          <cell r="O804" t="str">
            <v/>
          </cell>
          <cell r="P804" t="str">
            <v/>
          </cell>
          <cell r="Q804" t="str">
            <v/>
          </cell>
          <cell r="R804" t="str">
            <v/>
          </cell>
          <cell r="S804" t="str">
            <v/>
          </cell>
          <cell r="T804" t="str">
            <v/>
          </cell>
          <cell r="U804" t="str">
            <v/>
          </cell>
          <cell r="V804" t="str">
            <v>N38</v>
          </cell>
          <cell r="W804" t="str">
            <v/>
          </cell>
          <cell r="X804" t="str">
            <v/>
          </cell>
          <cell r="Y804" t="str">
            <v/>
          </cell>
          <cell r="Z804" t="str">
            <v/>
          </cell>
          <cell r="AA804" t="str">
            <v/>
          </cell>
          <cell r="AB804" t="str">
            <v>PA_4956919-UA.7005-3</v>
          </cell>
          <cell r="AC804">
            <v>1</v>
          </cell>
          <cell r="AD804" t="str">
            <v/>
          </cell>
          <cell r="AE804">
            <v>0</v>
          </cell>
          <cell r="AF804" t="str">
            <v/>
          </cell>
          <cell r="AG804" t="str">
            <v>12601645</v>
          </cell>
          <cell r="AH804">
            <v>44825.888541666667</v>
          </cell>
          <cell r="AI804" t="str">
            <v>N38</v>
          </cell>
          <cell r="AJ804" t="str">
            <v>F</v>
          </cell>
          <cell r="AK804" t="str">
            <v/>
          </cell>
        </row>
        <row r="805">
          <cell r="A805" t="str">
            <v>12610659829054</v>
          </cell>
          <cell r="B805" t="e">
            <v>#N/A</v>
          </cell>
          <cell r="C805">
            <v>12</v>
          </cell>
          <cell r="D805" t="str">
            <v>EK65</v>
          </cell>
          <cell r="E805" t="str">
            <v>642548</v>
          </cell>
          <cell r="F805" t="str">
            <v>E</v>
          </cell>
          <cell r="G805" t="str">
            <v>12610659</v>
          </cell>
          <cell r="H805" t="str">
            <v>Blech</v>
          </cell>
          <cell r="I805">
            <v>11</v>
          </cell>
          <cell r="J805" t="str">
            <v>Stk</v>
          </cell>
          <cell r="K805">
            <v>45280</v>
          </cell>
          <cell r="L805" t="str">
            <v>829054</v>
          </cell>
          <cell r="M805" t="str">
            <v/>
          </cell>
          <cell r="N805" t="str">
            <v/>
          </cell>
          <cell r="O805" t="str">
            <v/>
          </cell>
          <cell r="P805" t="str">
            <v/>
          </cell>
          <cell r="Q805" t="str">
            <v/>
          </cell>
          <cell r="R805" t="str">
            <v/>
          </cell>
          <cell r="S805" t="str">
            <v/>
          </cell>
          <cell r="T805" t="str">
            <v/>
          </cell>
          <cell r="U805" t="str">
            <v/>
          </cell>
          <cell r="V805" t="str">
            <v>N52</v>
          </cell>
          <cell r="W805" t="str">
            <v/>
          </cell>
          <cell r="X805" t="str">
            <v/>
          </cell>
          <cell r="Y805" t="str">
            <v/>
          </cell>
          <cell r="Z805" t="str">
            <v/>
          </cell>
          <cell r="AA805" t="str">
            <v/>
          </cell>
          <cell r="AB805" t="str">
            <v>PA_5005658-LC.7005-3</v>
          </cell>
          <cell r="AC805">
            <v>1</v>
          </cell>
          <cell r="AD805" t="str">
            <v/>
          </cell>
          <cell r="AE805">
            <v>0</v>
          </cell>
          <cell r="AF805" t="str">
            <v/>
          </cell>
          <cell r="AG805" t="str">
            <v>12610659</v>
          </cell>
          <cell r="AH805">
            <v>44825.888599537036</v>
          </cell>
          <cell r="AI805" t="str">
            <v>N52</v>
          </cell>
          <cell r="AJ805" t="str">
            <v>F</v>
          </cell>
          <cell r="AK805" t="str">
            <v/>
          </cell>
        </row>
        <row r="806">
          <cell r="A806" t="str">
            <v>12610659829053</v>
          </cell>
          <cell r="B806" t="e">
            <v>#N/A</v>
          </cell>
          <cell r="C806">
            <v>12</v>
          </cell>
          <cell r="D806" t="str">
            <v>EK65</v>
          </cell>
          <cell r="E806" t="str">
            <v>642549</v>
          </cell>
          <cell r="F806" t="str">
            <v>E</v>
          </cell>
          <cell r="G806" t="str">
            <v>12610659</v>
          </cell>
          <cell r="H806" t="str">
            <v>Blech</v>
          </cell>
          <cell r="I806">
            <v>55</v>
          </cell>
          <cell r="J806" t="str">
            <v>Stk</v>
          </cell>
          <cell r="K806">
            <v>45197</v>
          </cell>
          <cell r="L806" t="str">
            <v>829053</v>
          </cell>
          <cell r="M806" t="str">
            <v/>
          </cell>
          <cell r="N806" t="str">
            <v/>
          </cell>
          <cell r="O806" t="str">
            <v/>
          </cell>
          <cell r="P806" t="str">
            <v/>
          </cell>
          <cell r="Q806" t="str">
            <v/>
          </cell>
          <cell r="R806" t="str">
            <v/>
          </cell>
          <cell r="S806" t="str">
            <v/>
          </cell>
          <cell r="T806" t="str">
            <v/>
          </cell>
          <cell r="U806" t="str">
            <v/>
          </cell>
          <cell r="V806" t="str">
            <v>N52</v>
          </cell>
          <cell r="W806" t="str">
            <v/>
          </cell>
          <cell r="X806" t="str">
            <v/>
          </cell>
          <cell r="Y806" t="str">
            <v/>
          </cell>
          <cell r="Z806" t="str">
            <v/>
          </cell>
          <cell r="AA806" t="str">
            <v/>
          </cell>
          <cell r="AB806" t="str">
            <v>PA_5005658-LC.7005-3</v>
          </cell>
          <cell r="AC806">
            <v>1</v>
          </cell>
          <cell r="AD806" t="str">
            <v/>
          </cell>
          <cell r="AE806">
            <v>0</v>
          </cell>
          <cell r="AF806" t="str">
            <v/>
          </cell>
          <cell r="AG806" t="str">
            <v>12610659</v>
          </cell>
          <cell r="AH806">
            <v>44825.888599537036</v>
          </cell>
          <cell r="AI806" t="str">
            <v>N52</v>
          </cell>
          <cell r="AJ806" t="str">
            <v>F</v>
          </cell>
          <cell r="AK806" t="str">
            <v/>
          </cell>
        </row>
        <row r="807">
          <cell r="A807" t="str">
            <v>12562541829052</v>
          </cell>
          <cell r="B807" t="e">
            <v>#N/A</v>
          </cell>
          <cell r="C807">
            <v>13</v>
          </cell>
          <cell r="D807" t="str">
            <v>EK65</v>
          </cell>
          <cell r="E807" t="str">
            <v>642938</v>
          </cell>
          <cell r="F807" t="str">
            <v>E</v>
          </cell>
          <cell r="G807" t="str">
            <v>12562541</v>
          </cell>
          <cell r="H807" t="str">
            <v>Flanschplatte</v>
          </cell>
          <cell r="I807">
            <v>62</v>
          </cell>
          <cell r="J807" t="str">
            <v>Stk</v>
          </cell>
          <cell r="K807">
            <v>45350</v>
          </cell>
          <cell r="L807" t="str">
            <v>829052</v>
          </cell>
          <cell r="M807" t="str">
            <v/>
          </cell>
          <cell r="N807" t="str">
            <v/>
          </cell>
          <cell r="O807" t="str">
            <v/>
          </cell>
          <cell r="P807" t="str">
            <v/>
          </cell>
          <cell r="Q807" t="str">
            <v/>
          </cell>
          <cell r="R807" t="str">
            <v/>
          </cell>
          <cell r="S807" t="str">
            <v/>
          </cell>
          <cell r="T807" t="str">
            <v/>
          </cell>
          <cell r="U807" t="str">
            <v/>
          </cell>
          <cell r="V807" t="str">
            <v>N52</v>
          </cell>
          <cell r="W807" t="str">
            <v/>
          </cell>
          <cell r="X807" t="str">
            <v/>
          </cell>
          <cell r="Y807" t="str">
            <v/>
          </cell>
          <cell r="Z807" t="str">
            <v/>
          </cell>
          <cell r="AA807" t="str">
            <v/>
          </cell>
          <cell r="AB807" t="str">
            <v>PA_4615823-QE.7004-4</v>
          </cell>
          <cell r="AC807">
            <v>1</v>
          </cell>
          <cell r="AD807" t="str">
            <v/>
          </cell>
          <cell r="AE807">
            <v>0</v>
          </cell>
          <cell r="AF807" t="str">
            <v/>
          </cell>
          <cell r="AG807" t="str">
            <v>12562541</v>
          </cell>
          <cell r="AH807">
            <v>44826.971516203703</v>
          </cell>
          <cell r="AI807" t="str">
            <v>N52</v>
          </cell>
          <cell r="AJ807" t="str">
            <v>F</v>
          </cell>
          <cell r="AK807" t="str">
            <v>A</v>
          </cell>
        </row>
        <row r="808">
          <cell r="A808" t="str">
            <v>12501409829053</v>
          </cell>
          <cell r="B808" t="e">
            <v>#N/A</v>
          </cell>
          <cell r="C808">
            <v>7</v>
          </cell>
          <cell r="D808" t="str">
            <v>EK65</v>
          </cell>
          <cell r="E808" t="str">
            <v>657351</v>
          </cell>
          <cell r="F808" t="str">
            <v>E</v>
          </cell>
          <cell r="G808" t="str">
            <v>12501409</v>
          </cell>
          <cell r="H808" t="str">
            <v>Halteblech kpl.</v>
          </cell>
          <cell r="I808">
            <v>25</v>
          </cell>
          <cell r="J808" t="str">
            <v>Stk</v>
          </cell>
          <cell r="K808">
            <v>45218</v>
          </cell>
          <cell r="L808" t="str">
            <v>829053</v>
          </cell>
          <cell r="M808" t="str">
            <v/>
          </cell>
          <cell r="N808" t="str">
            <v/>
          </cell>
          <cell r="O808" t="str">
            <v/>
          </cell>
          <cell r="P808" t="str">
            <v/>
          </cell>
          <cell r="Q808" t="str">
            <v/>
          </cell>
          <cell r="R808" t="str">
            <v/>
          </cell>
          <cell r="S808" t="str">
            <v/>
          </cell>
          <cell r="T808" t="str">
            <v/>
          </cell>
          <cell r="U808" t="str">
            <v/>
          </cell>
          <cell r="V808" t="str">
            <v>N52</v>
          </cell>
          <cell r="W808" t="str">
            <v/>
          </cell>
          <cell r="X808" t="str">
            <v/>
          </cell>
          <cell r="Y808" t="str">
            <v/>
          </cell>
          <cell r="Z808" t="str">
            <v/>
          </cell>
          <cell r="AA808" t="str">
            <v/>
          </cell>
          <cell r="AB808" t="str">
            <v>PA_4321797-UA.7005-3</v>
          </cell>
          <cell r="AC808">
            <v>1</v>
          </cell>
          <cell r="AD808" t="str">
            <v/>
          </cell>
          <cell r="AE808">
            <v>0</v>
          </cell>
          <cell r="AF808" t="str">
            <v/>
          </cell>
          <cell r="AG808" t="str">
            <v>12501409</v>
          </cell>
          <cell r="AH808">
            <v>44855.175868055558</v>
          </cell>
          <cell r="AI808" t="str">
            <v>N52</v>
          </cell>
          <cell r="AJ808" t="str">
            <v>F</v>
          </cell>
          <cell r="AK808" t="str">
            <v>A</v>
          </cell>
        </row>
        <row r="809">
          <cell r="A809" t="str">
            <v>12530248829054</v>
          </cell>
          <cell r="B809">
            <v>0</v>
          </cell>
          <cell r="C809">
            <v>12</v>
          </cell>
          <cell r="D809" t="str">
            <v>EK65</v>
          </cell>
          <cell r="E809" t="str">
            <v>657516</v>
          </cell>
          <cell r="F809" t="str">
            <v>E</v>
          </cell>
          <cell r="G809" t="str">
            <v>12530248</v>
          </cell>
          <cell r="H809" t="str">
            <v>Halter</v>
          </cell>
          <cell r="I809">
            <v>14</v>
          </cell>
          <cell r="J809" t="str">
            <v>Stk</v>
          </cell>
          <cell r="K809">
            <v>45057</v>
          </cell>
          <cell r="L809" t="str">
            <v>829054</v>
          </cell>
          <cell r="M809" t="str">
            <v/>
          </cell>
          <cell r="N809" t="str">
            <v/>
          </cell>
          <cell r="O809" t="str">
            <v/>
          </cell>
          <cell r="P809" t="str">
            <v/>
          </cell>
          <cell r="Q809" t="str">
            <v/>
          </cell>
          <cell r="R809" t="str">
            <v/>
          </cell>
          <cell r="S809" t="str">
            <v/>
          </cell>
          <cell r="T809" t="str">
            <v/>
          </cell>
          <cell r="U809" t="str">
            <v/>
          </cell>
          <cell r="V809" t="str">
            <v>N52</v>
          </cell>
          <cell r="W809" t="str">
            <v/>
          </cell>
          <cell r="X809" t="str">
            <v/>
          </cell>
          <cell r="Y809" t="str">
            <v/>
          </cell>
          <cell r="Z809" t="str">
            <v/>
          </cell>
          <cell r="AA809" t="str">
            <v/>
          </cell>
          <cell r="AB809" t="str">
            <v>PA_4428744-UA.7005-3</v>
          </cell>
          <cell r="AC809">
            <v>1</v>
          </cell>
          <cell r="AD809" t="str">
            <v/>
          </cell>
          <cell r="AE809">
            <v>0</v>
          </cell>
          <cell r="AF809" t="str">
            <v/>
          </cell>
          <cell r="AG809" t="str">
            <v>12530248</v>
          </cell>
          <cell r="AH809">
            <v>44855.24591435185</v>
          </cell>
          <cell r="AI809" t="str">
            <v>N52</v>
          </cell>
          <cell r="AJ809" t="str">
            <v>F</v>
          </cell>
          <cell r="AK809" t="str">
            <v>A</v>
          </cell>
        </row>
        <row r="810">
          <cell r="A810" t="str">
            <v>12530248829053</v>
          </cell>
          <cell r="B810" t="e">
            <v>#N/A</v>
          </cell>
          <cell r="C810">
            <v>12</v>
          </cell>
          <cell r="D810" t="str">
            <v>EK65</v>
          </cell>
          <cell r="E810" t="str">
            <v>657517</v>
          </cell>
          <cell r="F810" t="str">
            <v>E</v>
          </cell>
          <cell r="G810" t="str">
            <v>12530248</v>
          </cell>
          <cell r="H810" t="str">
            <v>Halter</v>
          </cell>
          <cell r="I810">
            <v>33</v>
          </cell>
          <cell r="J810" t="str">
            <v>Stk</v>
          </cell>
          <cell r="K810">
            <v>45174</v>
          </cell>
          <cell r="L810" t="str">
            <v>829053</v>
          </cell>
          <cell r="M810" t="str">
            <v/>
          </cell>
          <cell r="N810" t="str">
            <v/>
          </cell>
          <cell r="O810" t="str">
            <v/>
          </cell>
          <cell r="P810" t="str">
            <v/>
          </cell>
          <cell r="Q810" t="str">
            <v/>
          </cell>
          <cell r="R810" t="str">
            <v/>
          </cell>
          <cell r="S810" t="str">
            <v/>
          </cell>
          <cell r="T810" t="str">
            <v/>
          </cell>
          <cell r="U810" t="str">
            <v/>
          </cell>
          <cell r="V810" t="str">
            <v>N52</v>
          </cell>
          <cell r="W810" t="str">
            <v/>
          </cell>
          <cell r="X810" t="str">
            <v/>
          </cell>
          <cell r="Y810" t="str">
            <v/>
          </cell>
          <cell r="Z810" t="str">
            <v/>
          </cell>
          <cell r="AA810" t="str">
            <v/>
          </cell>
          <cell r="AB810" t="str">
            <v>PA_4428744-UA.7005-3</v>
          </cell>
          <cell r="AC810">
            <v>1</v>
          </cell>
          <cell r="AD810" t="str">
            <v/>
          </cell>
          <cell r="AE810">
            <v>0</v>
          </cell>
          <cell r="AF810" t="str">
            <v/>
          </cell>
          <cell r="AG810" t="str">
            <v>12530248</v>
          </cell>
          <cell r="AH810">
            <v>44855.24591435185</v>
          </cell>
          <cell r="AI810" t="str">
            <v>N52</v>
          </cell>
          <cell r="AJ810" t="str">
            <v>F</v>
          </cell>
          <cell r="AK810" t="str">
            <v>A</v>
          </cell>
        </row>
        <row r="811">
          <cell r="A811" t="str">
            <v>12530248829052</v>
          </cell>
          <cell r="B811" t="e">
            <v>#N/A</v>
          </cell>
          <cell r="C811">
            <v>12</v>
          </cell>
          <cell r="D811" t="str">
            <v>EK65</v>
          </cell>
          <cell r="E811" t="str">
            <v>657519</v>
          </cell>
          <cell r="F811" t="str">
            <v>E</v>
          </cell>
          <cell r="G811" t="str">
            <v>12530248</v>
          </cell>
          <cell r="H811" t="str">
            <v>Halter</v>
          </cell>
          <cell r="I811">
            <v>19</v>
          </cell>
          <cell r="J811" t="str">
            <v>Stk</v>
          </cell>
          <cell r="K811">
            <v>45296</v>
          </cell>
          <cell r="L811" t="str">
            <v>829052</v>
          </cell>
          <cell r="M811" t="str">
            <v/>
          </cell>
          <cell r="N811" t="str">
            <v/>
          </cell>
          <cell r="O811" t="str">
            <v/>
          </cell>
          <cell r="P811" t="str">
            <v/>
          </cell>
          <cell r="Q811" t="str">
            <v/>
          </cell>
          <cell r="R811" t="str">
            <v/>
          </cell>
          <cell r="S811" t="str">
            <v/>
          </cell>
          <cell r="T811" t="str">
            <v/>
          </cell>
          <cell r="U811" t="str">
            <v/>
          </cell>
          <cell r="V811" t="str">
            <v>N52</v>
          </cell>
          <cell r="W811" t="str">
            <v/>
          </cell>
          <cell r="X811" t="str">
            <v/>
          </cell>
          <cell r="Y811" t="str">
            <v/>
          </cell>
          <cell r="Z811" t="str">
            <v/>
          </cell>
          <cell r="AA811" t="str">
            <v/>
          </cell>
          <cell r="AB811" t="str">
            <v>PA_4428744-UA.7005-3</v>
          </cell>
          <cell r="AC811">
            <v>1</v>
          </cell>
          <cell r="AD811" t="str">
            <v/>
          </cell>
          <cell r="AE811">
            <v>0</v>
          </cell>
          <cell r="AF811" t="str">
            <v/>
          </cell>
          <cell r="AG811" t="str">
            <v>12530248</v>
          </cell>
          <cell r="AH811">
            <v>44855.24591435185</v>
          </cell>
          <cell r="AI811" t="str">
            <v>N52</v>
          </cell>
          <cell r="AJ811" t="str">
            <v>F</v>
          </cell>
          <cell r="AK811" t="str">
            <v>A</v>
          </cell>
        </row>
        <row r="812">
          <cell r="A812" t="str">
            <v>12598060829053</v>
          </cell>
          <cell r="B812" t="e">
            <v>#N/A</v>
          </cell>
          <cell r="C812">
            <v>2</v>
          </cell>
          <cell r="D812" t="str">
            <v>EK65</v>
          </cell>
          <cell r="E812" t="str">
            <v>657520</v>
          </cell>
          <cell r="F812" t="str">
            <v>E</v>
          </cell>
          <cell r="G812" t="str">
            <v>12598060</v>
          </cell>
          <cell r="H812" t="str">
            <v>Halter vollst.</v>
          </cell>
          <cell r="I812">
            <v>52</v>
          </cell>
          <cell r="J812" t="str">
            <v>Stk</v>
          </cell>
          <cell r="K812">
            <v>45139</v>
          </cell>
          <cell r="L812" t="str">
            <v>829053</v>
          </cell>
          <cell r="M812" t="str">
            <v/>
          </cell>
          <cell r="N812" t="str">
            <v/>
          </cell>
          <cell r="O812" t="str">
            <v/>
          </cell>
          <cell r="P812" t="str">
            <v/>
          </cell>
          <cell r="Q812" t="str">
            <v/>
          </cell>
          <cell r="R812" t="str">
            <v/>
          </cell>
          <cell r="S812" t="str">
            <v/>
          </cell>
          <cell r="T812" t="str">
            <v/>
          </cell>
          <cell r="U812" t="str">
            <v/>
          </cell>
          <cell r="V812" t="str">
            <v>N38</v>
          </cell>
          <cell r="W812" t="str">
            <v/>
          </cell>
          <cell r="X812" t="str">
            <v/>
          </cell>
          <cell r="Y812" t="str">
            <v/>
          </cell>
          <cell r="Z812" t="str">
            <v/>
          </cell>
          <cell r="AA812" t="str">
            <v/>
          </cell>
          <cell r="AB812" t="str">
            <v>PA_4931718-TB.7005-3</v>
          </cell>
          <cell r="AC812">
            <v>1</v>
          </cell>
          <cell r="AD812" t="str">
            <v/>
          </cell>
          <cell r="AE812">
            <v>0</v>
          </cell>
          <cell r="AF812" t="str">
            <v/>
          </cell>
          <cell r="AG812" t="str">
            <v>12598060</v>
          </cell>
          <cell r="AH812">
            <v>44855.264016203706</v>
          </cell>
          <cell r="AI812" t="str">
            <v>N38</v>
          </cell>
          <cell r="AJ812" t="str">
            <v>F</v>
          </cell>
          <cell r="AK812" t="str">
            <v/>
          </cell>
        </row>
        <row r="813">
          <cell r="A813" t="str">
            <v>12600969829054</v>
          </cell>
          <cell r="B813" t="e">
            <v>#N/A</v>
          </cell>
          <cell r="C813">
            <v>2</v>
          </cell>
          <cell r="D813" t="str">
            <v>EK65</v>
          </cell>
          <cell r="E813" t="str">
            <v>657521</v>
          </cell>
          <cell r="F813" t="str">
            <v>E</v>
          </cell>
          <cell r="G813" t="str">
            <v>12600969</v>
          </cell>
          <cell r="H813" t="str">
            <v>Halter fuer Ueberstroemventil MW</v>
          </cell>
          <cell r="I813">
            <v>19</v>
          </cell>
          <cell r="J813" t="str">
            <v>Stk</v>
          </cell>
          <cell r="K813">
            <v>45191</v>
          </cell>
          <cell r="L813" t="str">
            <v>829054</v>
          </cell>
          <cell r="M813" t="str">
            <v/>
          </cell>
          <cell r="N813" t="str">
            <v/>
          </cell>
          <cell r="O813" t="str">
            <v/>
          </cell>
          <cell r="P813" t="str">
            <v/>
          </cell>
          <cell r="Q813" t="str">
            <v/>
          </cell>
          <cell r="R813" t="str">
            <v/>
          </cell>
          <cell r="S813" t="str">
            <v/>
          </cell>
          <cell r="T813" t="str">
            <v/>
          </cell>
          <cell r="U813" t="str">
            <v/>
          </cell>
          <cell r="V813" t="str">
            <v>N52</v>
          </cell>
          <cell r="W813" t="str">
            <v/>
          </cell>
          <cell r="X813" t="str">
            <v/>
          </cell>
          <cell r="Y813" t="str">
            <v/>
          </cell>
          <cell r="Z813" t="str">
            <v/>
          </cell>
          <cell r="AA813" t="str">
            <v/>
          </cell>
          <cell r="AB813" t="str">
            <v>PA_4948297-QE.7005-3</v>
          </cell>
          <cell r="AC813">
            <v>1</v>
          </cell>
          <cell r="AD813" t="str">
            <v/>
          </cell>
          <cell r="AE813">
            <v>0</v>
          </cell>
          <cell r="AF813" t="str">
            <v/>
          </cell>
          <cell r="AG813" t="str">
            <v>12600969</v>
          </cell>
          <cell r="AH813">
            <v>44855.26421296296</v>
          </cell>
          <cell r="AI813" t="str">
            <v>N52</v>
          </cell>
          <cell r="AJ813" t="str">
            <v>F</v>
          </cell>
          <cell r="AK813" t="str">
            <v/>
          </cell>
        </row>
        <row r="814">
          <cell r="A814" t="str">
            <v>12518168829054</v>
          </cell>
          <cell r="B814" t="e">
            <v>#N/A</v>
          </cell>
          <cell r="C814">
            <v>12</v>
          </cell>
          <cell r="D814" t="str">
            <v>EK65</v>
          </cell>
          <cell r="E814" t="str">
            <v>661546</v>
          </cell>
          <cell r="F814" t="str">
            <v>E</v>
          </cell>
          <cell r="G814" t="str">
            <v>12518168</v>
          </cell>
          <cell r="H814" t="str">
            <v>Distanzplatte</v>
          </cell>
          <cell r="I814">
            <v>71</v>
          </cell>
          <cell r="J814" t="str">
            <v>Stk</v>
          </cell>
          <cell r="K814">
            <v>45220</v>
          </cell>
          <cell r="L814" t="str">
            <v>829054</v>
          </cell>
          <cell r="M814" t="str">
            <v/>
          </cell>
          <cell r="N814" t="str">
            <v/>
          </cell>
          <cell r="O814" t="str">
            <v/>
          </cell>
          <cell r="P814" t="str">
            <v/>
          </cell>
          <cell r="Q814" t="str">
            <v/>
          </cell>
          <cell r="R814" t="str">
            <v/>
          </cell>
          <cell r="S814" t="str">
            <v/>
          </cell>
          <cell r="T814" t="str">
            <v/>
          </cell>
          <cell r="U814" t="str">
            <v/>
          </cell>
          <cell r="V814" t="str">
            <v>N52</v>
          </cell>
          <cell r="W814" t="str">
            <v/>
          </cell>
          <cell r="X814" t="str">
            <v/>
          </cell>
          <cell r="Y814" t="str">
            <v/>
          </cell>
          <cell r="Z814" t="str">
            <v/>
          </cell>
          <cell r="AA814" t="str">
            <v/>
          </cell>
          <cell r="AB814" t="str">
            <v>PA_4563696-DC.7005-4</v>
          </cell>
          <cell r="AC814">
            <v>1</v>
          </cell>
          <cell r="AD814" t="str">
            <v/>
          </cell>
          <cell r="AE814">
            <v>0</v>
          </cell>
          <cell r="AF814" t="str">
            <v/>
          </cell>
          <cell r="AG814" t="str">
            <v>12518168</v>
          </cell>
          <cell r="AH814">
            <v>44862.036249999997</v>
          </cell>
          <cell r="AI814" t="str">
            <v>N52</v>
          </cell>
          <cell r="AJ814" t="str">
            <v>F</v>
          </cell>
          <cell r="AK814" t="str">
            <v/>
          </cell>
        </row>
        <row r="815">
          <cell r="A815" t="str">
            <v>12522450829053</v>
          </cell>
          <cell r="B815" t="e">
            <v>#N/A</v>
          </cell>
          <cell r="C815">
            <v>13</v>
          </cell>
          <cell r="D815" t="str">
            <v>EK65</v>
          </cell>
          <cell r="E815" t="str">
            <v>661547</v>
          </cell>
          <cell r="F815" t="str">
            <v>E</v>
          </cell>
          <cell r="G815" t="str">
            <v>12522450</v>
          </cell>
          <cell r="H815" t="str">
            <v>Schirmblech vollst.</v>
          </cell>
          <cell r="I815">
            <v>103</v>
          </cell>
          <cell r="J815" t="str">
            <v>Stk</v>
          </cell>
          <cell r="K815">
            <v>45211</v>
          </cell>
          <cell r="L815" t="str">
            <v>829053</v>
          </cell>
          <cell r="M815" t="str">
            <v/>
          </cell>
          <cell r="N815" t="str">
            <v/>
          </cell>
          <cell r="O815" t="str">
            <v/>
          </cell>
          <cell r="P815" t="str">
            <v/>
          </cell>
          <cell r="Q815" t="str">
            <v/>
          </cell>
          <cell r="R815" t="str">
            <v/>
          </cell>
          <cell r="S815" t="str">
            <v/>
          </cell>
          <cell r="T815" t="str">
            <v/>
          </cell>
          <cell r="U815" t="str">
            <v/>
          </cell>
          <cell r="V815" t="str">
            <v>N38</v>
          </cell>
          <cell r="W815" t="str">
            <v/>
          </cell>
          <cell r="X815" t="str">
            <v/>
          </cell>
          <cell r="Y815" t="str">
            <v/>
          </cell>
          <cell r="Z815" t="str">
            <v/>
          </cell>
          <cell r="AA815" t="str">
            <v/>
          </cell>
          <cell r="AB815" t="str">
            <v>PA_4478040-UA.7005-3</v>
          </cell>
          <cell r="AC815">
            <v>1</v>
          </cell>
          <cell r="AD815" t="str">
            <v/>
          </cell>
          <cell r="AE815">
            <v>0</v>
          </cell>
          <cell r="AF815" t="str">
            <v/>
          </cell>
          <cell r="AG815" t="str">
            <v>12522450</v>
          </cell>
          <cell r="AH815">
            <v>44862.039467592593</v>
          </cell>
          <cell r="AI815" t="str">
            <v>N38</v>
          </cell>
          <cell r="AJ815" t="str">
            <v>F</v>
          </cell>
          <cell r="AK815" t="str">
            <v>B</v>
          </cell>
        </row>
        <row r="816">
          <cell r="A816" t="str">
            <v>12522450829051</v>
          </cell>
          <cell r="B816" t="str">
            <v>BL20230413-2</v>
          </cell>
          <cell r="C816">
            <v>13</v>
          </cell>
          <cell r="D816" t="str">
            <v>EK65</v>
          </cell>
          <cell r="E816" t="str">
            <v>661548</v>
          </cell>
          <cell r="F816" t="str">
            <v>E</v>
          </cell>
          <cell r="G816" t="str">
            <v>12522450</v>
          </cell>
          <cell r="H816" t="str">
            <v>Schirmblech vollst.</v>
          </cell>
          <cell r="I816">
            <v>179</v>
          </cell>
          <cell r="J816" t="str">
            <v>Stk</v>
          </cell>
          <cell r="K816">
            <v>45331</v>
          </cell>
          <cell r="L816" t="str">
            <v>829051</v>
          </cell>
          <cell r="M816" t="str">
            <v/>
          </cell>
          <cell r="N816" t="str">
            <v/>
          </cell>
          <cell r="O816" t="str">
            <v/>
          </cell>
          <cell r="P816" t="str">
            <v/>
          </cell>
          <cell r="Q816" t="str">
            <v/>
          </cell>
          <cell r="R816" t="str">
            <v/>
          </cell>
          <cell r="S816" t="str">
            <v/>
          </cell>
          <cell r="T816" t="str">
            <v/>
          </cell>
          <cell r="U816" t="str">
            <v/>
          </cell>
          <cell r="V816" t="str">
            <v>N38</v>
          </cell>
          <cell r="W816" t="str">
            <v/>
          </cell>
          <cell r="X816" t="str">
            <v/>
          </cell>
          <cell r="Y816" t="str">
            <v/>
          </cell>
          <cell r="Z816" t="str">
            <v/>
          </cell>
          <cell r="AA816" t="str">
            <v/>
          </cell>
          <cell r="AB816" t="str">
            <v>PA_4478040-UA.7005-3</v>
          </cell>
          <cell r="AC816">
            <v>1</v>
          </cell>
          <cell r="AD816" t="str">
            <v/>
          </cell>
          <cell r="AE816">
            <v>0</v>
          </cell>
          <cell r="AF816" t="str">
            <v/>
          </cell>
          <cell r="AG816" t="str">
            <v>12522450</v>
          </cell>
          <cell r="AH816">
            <v>44862.039467592593</v>
          </cell>
          <cell r="AI816" t="str">
            <v>N38</v>
          </cell>
          <cell r="AJ816" t="str">
            <v>F</v>
          </cell>
          <cell r="AK816" t="str">
            <v>B</v>
          </cell>
        </row>
        <row r="817">
          <cell r="A817" t="str">
            <v>12522516829053</v>
          </cell>
          <cell r="B817" t="e">
            <v>#N/A</v>
          </cell>
          <cell r="C817">
            <v>12</v>
          </cell>
          <cell r="D817" t="str">
            <v>EK65</v>
          </cell>
          <cell r="E817" t="str">
            <v>661549</v>
          </cell>
          <cell r="F817" t="str">
            <v>E</v>
          </cell>
          <cell r="G817" t="str">
            <v>12522516</v>
          </cell>
          <cell r="H817" t="str">
            <v>Mikrofonblech</v>
          </cell>
          <cell r="I817">
            <v>25</v>
          </cell>
          <cell r="J817" t="str">
            <v>Stk</v>
          </cell>
          <cell r="K817">
            <v>45218</v>
          </cell>
          <cell r="L817" t="str">
            <v>829053</v>
          </cell>
          <cell r="M817" t="str">
            <v/>
          </cell>
          <cell r="N817" t="str">
            <v/>
          </cell>
          <cell r="O817" t="str">
            <v/>
          </cell>
          <cell r="P817" t="str">
            <v/>
          </cell>
          <cell r="Q817" t="str">
            <v/>
          </cell>
          <cell r="R817" t="str">
            <v/>
          </cell>
          <cell r="S817" t="str">
            <v/>
          </cell>
          <cell r="T817" t="str">
            <v/>
          </cell>
          <cell r="U817" t="str">
            <v/>
          </cell>
          <cell r="V817" t="str">
            <v>N38</v>
          </cell>
          <cell r="W817" t="str">
            <v/>
          </cell>
          <cell r="X817" t="str">
            <v/>
          </cell>
          <cell r="Y817" t="str">
            <v/>
          </cell>
          <cell r="Z817" t="str">
            <v/>
          </cell>
          <cell r="AA817" t="str">
            <v/>
          </cell>
          <cell r="AB817" t="str">
            <v>PA_4331002-UA.7005-3</v>
          </cell>
          <cell r="AC817">
            <v>1</v>
          </cell>
          <cell r="AD817" t="str">
            <v/>
          </cell>
          <cell r="AE817">
            <v>0</v>
          </cell>
          <cell r="AF817" t="str">
            <v/>
          </cell>
          <cell r="AG817" t="str">
            <v>12522516</v>
          </cell>
          <cell r="AH817">
            <v>44862.039490740739</v>
          </cell>
          <cell r="AI817" t="str">
            <v>N38</v>
          </cell>
          <cell r="AJ817" t="str">
            <v>F</v>
          </cell>
          <cell r="AK817" t="str">
            <v>A</v>
          </cell>
        </row>
        <row r="818">
          <cell r="A818" t="str">
            <v>12522516829051</v>
          </cell>
          <cell r="B818" t="str">
            <v>BL20230413-2</v>
          </cell>
          <cell r="C818">
            <v>12</v>
          </cell>
          <cell r="D818" t="str">
            <v>EK65</v>
          </cell>
          <cell r="E818" t="str">
            <v>661550</v>
          </cell>
          <cell r="F818" t="str">
            <v>E</v>
          </cell>
          <cell r="G818" t="str">
            <v>12522516</v>
          </cell>
          <cell r="H818" t="str">
            <v>Mikrofonblech</v>
          </cell>
          <cell r="I818">
            <v>45</v>
          </cell>
          <cell r="J818" t="str">
            <v>Stk</v>
          </cell>
          <cell r="K818">
            <v>45331</v>
          </cell>
          <cell r="L818" t="str">
            <v>829051</v>
          </cell>
          <cell r="M818" t="str">
            <v/>
          </cell>
          <cell r="N818" t="str">
            <v/>
          </cell>
          <cell r="O818" t="str">
            <v/>
          </cell>
          <cell r="P818" t="str">
            <v/>
          </cell>
          <cell r="Q818" t="str">
            <v/>
          </cell>
          <cell r="R818" t="str">
            <v/>
          </cell>
          <cell r="S818" t="str">
            <v/>
          </cell>
          <cell r="T818" t="str">
            <v/>
          </cell>
          <cell r="U818" t="str">
            <v/>
          </cell>
          <cell r="V818" t="str">
            <v>N38</v>
          </cell>
          <cell r="W818" t="str">
            <v/>
          </cell>
          <cell r="X818" t="str">
            <v/>
          </cell>
          <cell r="Y818" t="str">
            <v/>
          </cell>
          <cell r="Z818" t="str">
            <v/>
          </cell>
          <cell r="AA818" t="str">
            <v/>
          </cell>
          <cell r="AB818" t="str">
            <v>PA_4331002-UA.7005-3</v>
          </cell>
          <cell r="AC818">
            <v>1</v>
          </cell>
          <cell r="AD818" t="str">
            <v/>
          </cell>
          <cell r="AE818">
            <v>0</v>
          </cell>
          <cell r="AF818" t="str">
            <v/>
          </cell>
          <cell r="AG818" t="str">
            <v>12522516</v>
          </cell>
          <cell r="AH818">
            <v>44862.039490740739</v>
          </cell>
          <cell r="AI818" t="str">
            <v>N38</v>
          </cell>
          <cell r="AJ818" t="str">
            <v>F</v>
          </cell>
          <cell r="AK818" t="str">
            <v>A</v>
          </cell>
        </row>
        <row r="819">
          <cell r="A819" t="str">
            <v>12607580829053</v>
          </cell>
          <cell r="B819" t="e">
            <v>#N/A</v>
          </cell>
          <cell r="C819">
            <v>2</v>
          </cell>
          <cell r="D819" t="str">
            <v>EK65</v>
          </cell>
          <cell r="E819" t="str">
            <v>661563</v>
          </cell>
          <cell r="F819" t="str">
            <v>E</v>
          </cell>
          <cell r="G819" t="str">
            <v>12607580</v>
          </cell>
          <cell r="H819" t="str">
            <v>Halter vollst.</v>
          </cell>
          <cell r="I819">
            <v>112</v>
          </cell>
          <cell r="J819" t="str">
            <v>Stk</v>
          </cell>
          <cell r="K819">
            <v>45132</v>
          </cell>
          <cell r="L819" t="str">
            <v>829053</v>
          </cell>
          <cell r="M819" t="str">
            <v/>
          </cell>
          <cell r="N819" t="str">
            <v/>
          </cell>
          <cell r="O819" t="str">
            <v/>
          </cell>
          <cell r="P819" t="str">
            <v/>
          </cell>
          <cell r="Q819" t="str">
            <v/>
          </cell>
          <cell r="R819" t="str">
            <v/>
          </cell>
          <cell r="S819" t="str">
            <v/>
          </cell>
          <cell r="T819" t="str">
            <v/>
          </cell>
          <cell r="U819" t="str">
            <v/>
          </cell>
          <cell r="V819" t="str">
            <v>N38</v>
          </cell>
          <cell r="W819" t="str">
            <v/>
          </cell>
          <cell r="X819" t="str">
            <v/>
          </cell>
          <cell r="Y819" t="str">
            <v/>
          </cell>
          <cell r="Z819" t="str">
            <v/>
          </cell>
          <cell r="AA819" t="str">
            <v/>
          </cell>
          <cell r="AB819" t="str">
            <v>PA_4972214-TC.7005-4</v>
          </cell>
          <cell r="AC819">
            <v>1</v>
          </cell>
          <cell r="AD819" t="str">
            <v/>
          </cell>
          <cell r="AE819">
            <v>0</v>
          </cell>
          <cell r="AF819" t="str">
            <v/>
          </cell>
          <cell r="AG819" t="str">
            <v>12607580</v>
          </cell>
          <cell r="AH819">
            <v>44862.063645833332</v>
          </cell>
          <cell r="AI819" t="str">
            <v>N38</v>
          </cell>
          <cell r="AJ819" t="str">
            <v>F</v>
          </cell>
          <cell r="AK819" t="str">
            <v/>
          </cell>
        </row>
        <row r="820">
          <cell r="A820" t="str">
            <v>12617878829054</v>
          </cell>
          <cell r="B820" t="e">
            <v>#N/A</v>
          </cell>
          <cell r="C820">
            <v>2</v>
          </cell>
          <cell r="D820" t="str">
            <v>EK65</v>
          </cell>
          <cell r="E820" t="str">
            <v>661564</v>
          </cell>
          <cell r="F820" t="str">
            <v>E</v>
          </cell>
          <cell r="G820" t="str">
            <v>12617878</v>
          </cell>
          <cell r="H820" t="str">
            <v>Schellenhalter</v>
          </cell>
          <cell r="I820">
            <v>36</v>
          </cell>
          <cell r="J820" t="str">
            <v>Stk</v>
          </cell>
          <cell r="K820">
            <v>45146</v>
          </cell>
          <cell r="L820" t="str">
            <v>829054</v>
          </cell>
          <cell r="M820" t="str">
            <v/>
          </cell>
          <cell r="N820" t="str">
            <v/>
          </cell>
          <cell r="O820" t="str">
            <v/>
          </cell>
          <cell r="P820" t="str">
            <v/>
          </cell>
          <cell r="Q820" t="str">
            <v/>
          </cell>
          <cell r="R820" t="str">
            <v/>
          </cell>
          <cell r="S820" t="str">
            <v/>
          </cell>
          <cell r="T820" t="str">
            <v/>
          </cell>
          <cell r="U820" t="str">
            <v/>
          </cell>
          <cell r="V820" t="str">
            <v>N52</v>
          </cell>
          <cell r="W820" t="str">
            <v/>
          </cell>
          <cell r="X820" t="str">
            <v/>
          </cell>
          <cell r="Y820" t="str">
            <v/>
          </cell>
          <cell r="Z820" t="str">
            <v/>
          </cell>
          <cell r="AA820" t="str">
            <v/>
          </cell>
          <cell r="AB820" t="str">
            <v>PA_4929446-UA.7004-3</v>
          </cell>
          <cell r="AC820">
            <v>1</v>
          </cell>
          <cell r="AD820" t="str">
            <v/>
          </cell>
          <cell r="AE820">
            <v>0</v>
          </cell>
          <cell r="AF820" t="str">
            <v/>
          </cell>
          <cell r="AG820" t="str">
            <v>12617878</v>
          </cell>
          <cell r="AH820">
            <v>44862.063842592594</v>
          </cell>
          <cell r="AI820" t="str">
            <v>N52</v>
          </cell>
          <cell r="AJ820" t="str">
            <v>F</v>
          </cell>
          <cell r="AK820" t="str">
            <v/>
          </cell>
        </row>
        <row r="821">
          <cell r="A821" t="str">
            <v>12617878829053</v>
          </cell>
          <cell r="B821" t="e">
            <v>#N/A</v>
          </cell>
          <cell r="C821">
            <v>2</v>
          </cell>
          <cell r="D821" t="str">
            <v>EK65</v>
          </cell>
          <cell r="E821" t="str">
            <v>661565</v>
          </cell>
          <cell r="F821" t="str">
            <v>E</v>
          </cell>
          <cell r="G821" t="str">
            <v>12617878</v>
          </cell>
          <cell r="H821" t="str">
            <v>Schellenhalter</v>
          </cell>
          <cell r="I821">
            <v>59</v>
          </cell>
          <cell r="J821" t="str">
            <v>Stk</v>
          </cell>
          <cell r="K821">
            <v>45177</v>
          </cell>
          <cell r="L821" t="str">
            <v>829053</v>
          </cell>
          <cell r="M821" t="str">
            <v/>
          </cell>
          <cell r="N821" t="str">
            <v/>
          </cell>
          <cell r="O821" t="str">
            <v/>
          </cell>
          <cell r="P821" t="str">
            <v/>
          </cell>
          <cell r="Q821" t="str">
            <v/>
          </cell>
          <cell r="R821" t="str">
            <v/>
          </cell>
          <cell r="S821" t="str">
            <v/>
          </cell>
          <cell r="T821" t="str">
            <v/>
          </cell>
          <cell r="U821" t="str">
            <v/>
          </cell>
          <cell r="V821" t="str">
            <v>N52</v>
          </cell>
          <cell r="W821" t="str">
            <v/>
          </cell>
          <cell r="X821" t="str">
            <v/>
          </cell>
          <cell r="Y821" t="str">
            <v/>
          </cell>
          <cell r="Z821" t="str">
            <v/>
          </cell>
          <cell r="AA821" t="str">
            <v/>
          </cell>
          <cell r="AB821" t="str">
            <v>PA_4929446-UA.7004-3</v>
          </cell>
          <cell r="AC821">
            <v>1</v>
          </cell>
          <cell r="AD821" t="str">
            <v/>
          </cell>
          <cell r="AE821">
            <v>0</v>
          </cell>
          <cell r="AF821" t="str">
            <v/>
          </cell>
          <cell r="AG821" t="str">
            <v>12617878</v>
          </cell>
          <cell r="AH821">
            <v>44862.063842592594</v>
          </cell>
          <cell r="AI821" t="str">
            <v>N52</v>
          </cell>
          <cell r="AJ821" t="str">
            <v>F</v>
          </cell>
          <cell r="AK821" t="str">
            <v/>
          </cell>
        </row>
        <row r="822">
          <cell r="A822" t="str">
            <v>12618171829053</v>
          </cell>
          <cell r="B822" t="e">
            <v>#N/A</v>
          </cell>
          <cell r="C822">
            <v>4</v>
          </cell>
          <cell r="D822" t="str">
            <v>EK65</v>
          </cell>
          <cell r="E822" t="str">
            <v>661566</v>
          </cell>
          <cell r="F822" t="str">
            <v>E</v>
          </cell>
          <cell r="G822" t="str">
            <v>12618171</v>
          </cell>
          <cell r="H822" t="str">
            <v>Halter</v>
          </cell>
          <cell r="I822">
            <v>58</v>
          </cell>
          <cell r="J822" t="str">
            <v>Stk</v>
          </cell>
          <cell r="K822">
            <v>45178</v>
          </cell>
          <cell r="L822" t="str">
            <v>829053</v>
          </cell>
          <cell r="M822" t="str">
            <v/>
          </cell>
          <cell r="N822" t="str">
            <v/>
          </cell>
          <cell r="O822" t="str">
            <v/>
          </cell>
          <cell r="P822" t="str">
            <v/>
          </cell>
          <cell r="Q822" t="str">
            <v/>
          </cell>
          <cell r="R822" t="str">
            <v/>
          </cell>
          <cell r="S822" t="str">
            <v/>
          </cell>
          <cell r="T822" t="str">
            <v/>
          </cell>
          <cell r="U822" t="str">
            <v/>
          </cell>
          <cell r="V822" t="str">
            <v>N52</v>
          </cell>
          <cell r="W822" t="str">
            <v/>
          </cell>
          <cell r="X822" t="str">
            <v/>
          </cell>
          <cell r="Y822" t="str">
            <v/>
          </cell>
          <cell r="Z822" t="str">
            <v/>
          </cell>
          <cell r="AA822" t="str">
            <v/>
          </cell>
          <cell r="AB822" t="str">
            <v>PA_5038385-UA.7005-4</v>
          </cell>
          <cell r="AC822">
            <v>1</v>
          </cell>
          <cell r="AD822" t="str">
            <v/>
          </cell>
          <cell r="AE822">
            <v>0</v>
          </cell>
          <cell r="AF822" t="str">
            <v/>
          </cell>
          <cell r="AG822" t="str">
            <v>12618171</v>
          </cell>
          <cell r="AH822">
            <v>44862.063854166663</v>
          </cell>
          <cell r="AI822" t="str">
            <v>N52</v>
          </cell>
          <cell r="AJ822" t="str">
            <v>F</v>
          </cell>
          <cell r="AK822" t="str">
            <v/>
          </cell>
        </row>
        <row r="823">
          <cell r="A823" t="str">
            <v>12618171829054</v>
          </cell>
          <cell r="B823" t="e">
            <v>#N/A</v>
          </cell>
          <cell r="C823">
            <v>4</v>
          </cell>
          <cell r="D823" t="str">
            <v>EK65</v>
          </cell>
          <cell r="E823" t="str">
            <v>661567</v>
          </cell>
          <cell r="F823" t="str">
            <v>E</v>
          </cell>
          <cell r="G823" t="str">
            <v>12618171</v>
          </cell>
          <cell r="H823" t="str">
            <v>Halter</v>
          </cell>
          <cell r="I823">
            <v>19</v>
          </cell>
          <cell r="J823" t="str">
            <v>Stk</v>
          </cell>
          <cell r="K823">
            <v>45185</v>
          </cell>
          <cell r="L823" t="str">
            <v>829054</v>
          </cell>
          <cell r="M823" t="str">
            <v/>
          </cell>
          <cell r="N823" t="str">
            <v/>
          </cell>
          <cell r="O823" t="str">
            <v/>
          </cell>
          <cell r="P823" t="str">
            <v/>
          </cell>
          <cell r="Q823" t="str">
            <v/>
          </cell>
          <cell r="R823" t="str">
            <v/>
          </cell>
          <cell r="S823" t="str">
            <v/>
          </cell>
          <cell r="T823" t="str">
            <v/>
          </cell>
          <cell r="U823" t="str">
            <v/>
          </cell>
          <cell r="V823" t="str">
            <v>N52</v>
          </cell>
          <cell r="W823" t="str">
            <v/>
          </cell>
          <cell r="X823" t="str">
            <v/>
          </cell>
          <cell r="Y823" t="str">
            <v/>
          </cell>
          <cell r="Z823" t="str">
            <v/>
          </cell>
          <cell r="AA823" t="str">
            <v/>
          </cell>
          <cell r="AB823" t="str">
            <v>PA_5038385-UA.7005-4</v>
          </cell>
          <cell r="AC823">
            <v>1</v>
          </cell>
          <cell r="AD823" t="str">
            <v/>
          </cell>
          <cell r="AE823">
            <v>0</v>
          </cell>
          <cell r="AF823" t="str">
            <v/>
          </cell>
          <cell r="AG823" t="str">
            <v>12618171</v>
          </cell>
          <cell r="AH823">
            <v>44862.063854166663</v>
          </cell>
          <cell r="AI823" t="str">
            <v>N52</v>
          </cell>
          <cell r="AJ823" t="str">
            <v>F</v>
          </cell>
          <cell r="AK823" t="str">
            <v/>
          </cell>
        </row>
        <row r="824">
          <cell r="A824" t="str">
            <v>12534591829053</v>
          </cell>
          <cell r="B824" t="str">
            <v>Übergabe Task Force</v>
          </cell>
          <cell r="C824" t="e">
            <v>#N/A</v>
          </cell>
          <cell r="D824" t="str">
            <v>EK65</v>
          </cell>
          <cell r="E824" t="str">
            <v>663644</v>
          </cell>
          <cell r="F824" t="str">
            <v>E</v>
          </cell>
          <cell r="G824" t="str">
            <v>12534591</v>
          </cell>
          <cell r="H824" t="str">
            <v>Reduktion SB M40IM32</v>
          </cell>
          <cell r="I824">
            <v>22</v>
          </cell>
          <cell r="J824" t="str">
            <v>Stk</v>
          </cell>
          <cell r="K824">
            <v>45219</v>
          </cell>
          <cell r="L824" t="str">
            <v>829053</v>
          </cell>
          <cell r="M824" t="str">
            <v/>
          </cell>
          <cell r="N824" t="str">
            <v/>
          </cell>
          <cell r="O824" t="str">
            <v/>
          </cell>
          <cell r="P824" t="str">
            <v/>
          </cell>
          <cell r="Q824" t="str">
            <v/>
          </cell>
          <cell r="R824" t="str">
            <v/>
          </cell>
          <cell r="S824" t="str">
            <v/>
          </cell>
          <cell r="T824" t="str">
            <v/>
          </cell>
          <cell r="U824" t="str">
            <v/>
          </cell>
          <cell r="V824" t="str">
            <v>N53</v>
          </cell>
          <cell r="W824" t="str">
            <v/>
          </cell>
          <cell r="X824" t="str">
            <v/>
          </cell>
          <cell r="Y824" t="str">
            <v/>
          </cell>
          <cell r="Z824" t="str">
            <v/>
          </cell>
          <cell r="AA824" t="str">
            <v/>
          </cell>
          <cell r="AB824" t="str">
            <v>PA_4610672-UA.7005-4</v>
          </cell>
          <cell r="AC824">
            <v>1</v>
          </cell>
          <cell r="AD824" t="str">
            <v/>
          </cell>
          <cell r="AE824">
            <v>0</v>
          </cell>
          <cell r="AF824" t="str">
            <v/>
          </cell>
          <cell r="AG824" t="str">
            <v>12534591</v>
          </cell>
          <cell r="AH824">
            <v>44867.878912037035</v>
          </cell>
          <cell r="AI824" t="str">
            <v>N53</v>
          </cell>
          <cell r="AJ824" t="str">
            <v>F</v>
          </cell>
          <cell r="AK824" t="str">
            <v/>
          </cell>
        </row>
        <row r="825">
          <cell r="A825" t="str">
            <v>12606631829053</v>
          </cell>
          <cell r="B825" t="e">
            <v>#N/A</v>
          </cell>
          <cell r="C825" t="e">
            <v>#N/A</v>
          </cell>
          <cell r="D825" t="str">
            <v>EK65</v>
          </cell>
          <cell r="E825" t="str">
            <v>665187</v>
          </cell>
          <cell r="F825" t="str">
            <v>E</v>
          </cell>
          <cell r="G825" t="str">
            <v>12606631</v>
          </cell>
          <cell r="H825" t="str">
            <v>Blech</v>
          </cell>
          <cell r="I825">
            <v>49</v>
          </cell>
          <cell r="J825" t="str">
            <v>Stk</v>
          </cell>
          <cell r="K825">
            <v>45100</v>
          </cell>
          <cell r="L825" t="str">
            <v>829053</v>
          </cell>
          <cell r="M825" t="str">
            <v/>
          </cell>
          <cell r="N825" t="str">
            <v/>
          </cell>
          <cell r="O825" t="str">
            <v/>
          </cell>
          <cell r="P825" t="str">
            <v/>
          </cell>
          <cell r="Q825" t="str">
            <v/>
          </cell>
          <cell r="R825" t="str">
            <v/>
          </cell>
          <cell r="S825" t="str">
            <v/>
          </cell>
          <cell r="T825" t="str">
            <v/>
          </cell>
          <cell r="U825" t="str">
            <v/>
          </cell>
          <cell r="V825" t="str">
            <v>N52</v>
          </cell>
          <cell r="W825" t="str">
            <v/>
          </cell>
          <cell r="X825" t="str">
            <v/>
          </cell>
          <cell r="Y825" t="str">
            <v/>
          </cell>
          <cell r="Z825" t="str">
            <v/>
          </cell>
          <cell r="AA825" t="str">
            <v/>
          </cell>
          <cell r="AB825" t="str">
            <v>PA_4977528-TC.7005-3</v>
          </cell>
          <cell r="AC825">
            <v>1</v>
          </cell>
          <cell r="AD825" t="str">
            <v/>
          </cell>
          <cell r="AE825">
            <v>0</v>
          </cell>
          <cell r="AF825" t="str">
            <v/>
          </cell>
          <cell r="AG825" t="str">
            <v>12606631</v>
          </cell>
          <cell r="AH825">
            <v>44872.882685185185</v>
          </cell>
          <cell r="AI825" t="str">
            <v>N52</v>
          </cell>
          <cell r="AJ825" t="str">
            <v>F</v>
          </cell>
          <cell r="AK825" t="str">
            <v/>
          </cell>
        </row>
        <row r="826">
          <cell r="A826" t="str">
            <v>12607052829053</v>
          </cell>
          <cell r="B826" t="e">
            <v>#N/A</v>
          </cell>
          <cell r="C826" t="e">
            <v>#N/A</v>
          </cell>
          <cell r="D826" t="str">
            <v>EK65</v>
          </cell>
          <cell r="E826" t="str">
            <v>665188</v>
          </cell>
          <cell r="F826" t="str">
            <v>E</v>
          </cell>
          <cell r="G826" t="str">
            <v>12607052</v>
          </cell>
          <cell r="H826" t="str">
            <v>Versteifungsblech</v>
          </cell>
          <cell r="I826">
            <v>49</v>
          </cell>
          <cell r="J826" t="str">
            <v>Stk</v>
          </cell>
          <cell r="K826">
            <v>45100</v>
          </cell>
          <cell r="L826" t="str">
            <v>829053</v>
          </cell>
          <cell r="M826" t="str">
            <v/>
          </cell>
          <cell r="N826" t="str">
            <v/>
          </cell>
          <cell r="O826" t="str">
            <v/>
          </cell>
          <cell r="P826" t="str">
            <v/>
          </cell>
          <cell r="Q826" t="str">
            <v/>
          </cell>
          <cell r="R826" t="str">
            <v/>
          </cell>
          <cell r="S826" t="str">
            <v/>
          </cell>
          <cell r="T826" t="str">
            <v/>
          </cell>
          <cell r="U826" t="str">
            <v/>
          </cell>
          <cell r="V826" t="str">
            <v>N52</v>
          </cell>
          <cell r="W826" t="str">
            <v/>
          </cell>
          <cell r="X826" t="str">
            <v/>
          </cell>
          <cell r="Y826" t="str">
            <v/>
          </cell>
          <cell r="Z826" t="str">
            <v/>
          </cell>
          <cell r="AA826" t="str">
            <v/>
          </cell>
          <cell r="AB826" t="str">
            <v>PA_4979519-TC.7005-2</v>
          </cell>
          <cell r="AC826">
            <v>1</v>
          </cell>
          <cell r="AD826" t="str">
            <v/>
          </cell>
          <cell r="AE826">
            <v>0</v>
          </cell>
          <cell r="AF826" t="str">
            <v/>
          </cell>
          <cell r="AG826" t="str">
            <v>12607052</v>
          </cell>
          <cell r="AH826">
            <v>44872.882708333331</v>
          </cell>
          <cell r="AI826" t="str">
            <v>N52</v>
          </cell>
          <cell r="AJ826" t="str">
            <v>F</v>
          </cell>
          <cell r="AK826" t="str">
            <v/>
          </cell>
        </row>
        <row r="827">
          <cell r="A827" t="str">
            <v>12484206829053</v>
          </cell>
          <cell r="B827" t="e">
            <v>#N/A</v>
          </cell>
          <cell r="C827">
            <v>14</v>
          </cell>
          <cell r="D827" t="str">
            <v>EK65</v>
          </cell>
          <cell r="E827" t="str">
            <v>667537</v>
          </cell>
          <cell r="F827" t="str">
            <v>E</v>
          </cell>
          <cell r="G827" t="str">
            <v>12484206</v>
          </cell>
          <cell r="H827" t="str">
            <v>Halter</v>
          </cell>
          <cell r="I827">
            <v>106</v>
          </cell>
          <cell r="J827" t="str">
            <v>Stk</v>
          </cell>
          <cell r="K827">
            <v>45209</v>
          </cell>
          <cell r="L827" t="str">
            <v>829053</v>
          </cell>
          <cell r="M827" t="str">
            <v/>
          </cell>
          <cell r="N827" t="str">
            <v/>
          </cell>
          <cell r="O827" t="str">
            <v/>
          </cell>
          <cell r="P827" t="str">
            <v/>
          </cell>
          <cell r="Q827" t="str">
            <v/>
          </cell>
          <cell r="R827" t="str">
            <v/>
          </cell>
          <cell r="S827" t="str">
            <v/>
          </cell>
          <cell r="T827" t="str">
            <v/>
          </cell>
          <cell r="U827" t="str">
            <v/>
          </cell>
          <cell r="V827" t="str">
            <v>N52</v>
          </cell>
          <cell r="W827" t="str">
            <v/>
          </cell>
          <cell r="X827" t="str">
            <v/>
          </cell>
          <cell r="Y827" t="str">
            <v/>
          </cell>
          <cell r="Z827" t="str">
            <v/>
          </cell>
          <cell r="AA827" t="str">
            <v/>
          </cell>
          <cell r="AB827" t="str">
            <v>PA_4395377-DC.7005-4</v>
          </cell>
          <cell r="AC827">
            <v>1</v>
          </cell>
          <cell r="AD827" t="str">
            <v/>
          </cell>
          <cell r="AE827">
            <v>0</v>
          </cell>
          <cell r="AF827" t="str">
            <v/>
          </cell>
          <cell r="AG827" t="str">
            <v>12484206</v>
          </cell>
          <cell r="AH827">
            <v>44879.884027777778</v>
          </cell>
          <cell r="AI827" t="str">
            <v>N52</v>
          </cell>
          <cell r="AJ827" t="str">
            <v>F</v>
          </cell>
          <cell r="AK827" t="str">
            <v>A</v>
          </cell>
        </row>
        <row r="828">
          <cell r="A828" t="str">
            <v>12484206829054</v>
          </cell>
          <cell r="B828" t="e">
            <v>#N/A</v>
          </cell>
          <cell r="C828">
            <v>14</v>
          </cell>
          <cell r="D828" t="str">
            <v>EK65</v>
          </cell>
          <cell r="E828" t="str">
            <v>667538</v>
          </cell>
          <cell r="F828" t="str">
            <v>E</v>
          </cell>
          <cell r="G828" t="str">
            <v>12484206</v>
          </cell>
          <cell r="H828" t="str">
            <v>Halter</v>
          </cell>
          <cell r="I828">
            <v>66</v>
          </cell>
          <cell r="J828" t="str">
            <v>Stk</v>
          </cell>
          <cell r="K828">
            <v>45223</v>
          </cell>
          <cell r="L828" t="str">
            <v>829054</v>
          </cell>
          <cell r="M828" t="str">
            <v/>
          </cell>
          <cell r="N828" t="str">
            <v/>
          </cell>
          <cell r="O828" t="str">
            <v/>
          </cell>
          <cell r="P828" t="str">
            <v/>
          </cell>
          <cell r="Q828" t="str">
            <v/>
          </cell>
          <cell r="R828" t="str">
            <v/>
          </cell>
          <cell r="S828" t="str">
            <v/>
          </cell>
          <cell r="T828" t="str">
            <v/>
          </cell>
          <cell r="U828" t="str">
            <v/>
          </cell>
          <cell r="V828" t="str">
            <v>N52</v>
          </cell>
          <cell r="W828" t="str">
            <v/>
          </cell>
          <cell r="X828" t="str">
            <v/>
          </cell>
          <cell r="Y828" t="str">
            <v/>
          </cell>
          <cell r="Z828" t="str">
            <v/>
          </cell>
          <cell r="AA828" t="str">
            <v/>
          </cell>
          <cell r="AB828" t="str">
            <v>PA_4395377-DC.7005-4</v>
          </cell>
          <cell r="AC828">
            <v>1</v>
          </cell>
          <cell r="AD828" t="str">
            <v/>
          </cell>
          <cell r="AE828">
            <v>0</v>
          </cell>
          <cell r="AF828" t="str">
            <v/>
          </cell>
          <cell r="AG828" t="str">
            <v>12484206</v>
          </cell>
          <cell r="AH828">
            <v>44879.884027777778</v>
          </cell>
          <cell r="AI828" t="str">
            <v>N52</v>
          </cell>
          <cell r="AJ828" t="str">
            <v>F</v>
          </cell>
          <cell r="AK828" t="str">
            <v>A</v>
          </cell>
        </row>
        <row r="829">
          <cell r="A829" t="str">
            <v>12538225829053</v>
          </cell>
          <cell r="B829" t="e">
            <v>#N/A</v>
          </cell>
          <cell r="C829" t="e">
            <v>#N/A</v>
          </cell>
          <cell r="D829" t="str">
            <v>EK65</v>
          </cell>
          <cell r="E829" t="str">
            <v>667563</v>
          </cell>
          <cell r="F829" t="str">
            <v>E</v>
          </cell>
          <cell r="G829" t="str">
            <v>12538225</v>
          </cell>
          <cell r="H829" t="str">
            <v>Dehnhuelse ID 6,5  AD 15  H9</v>
          </cell>
          <cell r="I829">
            <v>54</v>
          </cell>
          <cell r="J829" t="str">
            <v>Stk</v>
          </cell>
          <cell r="K829">
            <v>45195</v>
          </cell>
          <cell r="L829" t="str">
            <v>829053</v>
          </cell>
          <cell r="M829" t="str">
            <v/>
          </cell>
          <cell r="N829" t="str">
            <v/>
          </cell>
          <cell r="O829" t="str">
            <v/>
          </cell>
          <cell r="P829" t="str">
            <v/>
          </cell>
          <cell r="Q829" t="str">
            <v/>
          </cell>
          <cell r="R829" t="str">
            <v/>
          </cell>
          <cell r="S829" t="str">
            <v/>
          </cell>
          <cell r="T829" t="str">
            <v/>
          </cell>
          <cell r="U829" t="str">
            <v/>
          </cell>
          <cell r="V829" t="str">
            <v>N52</v>
          </cell>
          <cell r="W829" t="str">
            <v/>
          </cell>
          <cell r="X829" t="str">
            <v/>
          </cell>
          <cell r="Y829" t="str">
            <v/>
          </cell>
          <cell r="Z829" t="str">
            <v/>
          </cell>
          <cell r="AA829" t="str">
            <v/>
          </cell>
          <cell r="AB829" t="str">
            <v>PA_4492220-UA.7005-4</v>
          </cell>
          <cell r="AC829">
            <v>1</v>
          </cell>
          <cell r="AD829" t="str">
            <v/>
          </cell>
          <cell r="AE829">
            <v>0</v>
          </cell>
          <cell r="AF829" t="str">
            <v/>
          </cell>
          <cell r="AG829" t="str">
            <v>12538225</v>
          </cell>
          <cell r="AH829">
            <v>44879.895636574074</v>
          </cell>
          <cell r="AI829" t="str">
            <v>N52</v>
          </cell>
          <cell r="AJ829" t="str">
            <v>F</v>
          </cell>
          <cell r="AK829" t="str">
            <v/>
          </cell>
        </row>
        <row r="830">
          <cell r="A830" t="str">
            <v>12533696829053</v>
          </cell>
          <cell r="B830" t="e">
            <v>#N/A</v>
          </cell>
          <cell r="C830">
            <v>20</v>
          </cell>
          <cell r="D830" t="str">
            <v>EK65</v>
          </cell>
          <cell r="E830" t="str">
            <v>668198</v>
          </cell>
          <cell r="F830" t="str">
            <v>E</v>
          </cell>
          <cell r="G830" t="str">
            <v>12533696</v>
          </cell>
          <cell r="H830" t="str">
            <v>Halter</v>
          </cell>
          <cell r="I830">
            <v>51</v>
          </cell>
          <cell r="J830" t="str">
            <v>Stk</v>
          </cell>
          <cell r="K830">
            <v>45196</v>
          </cell>
          <cell r="L830" t="str">
            <v>829053</v>
          </cell>
          <cell r="M830" t="str">
            <v/>
          </cell>
          <cell r="N830" t="str">
            <v/>
          </cell>
          <cell r="O830" t="str">
            <v/>
          </cell>
          <cell r="P830" t="str">
            <v/>
          </cell>
          <cell r="Q830" t="str">
            <v/>
          </cell>
          <cell r="R830" t="str">
            <v/>
          </cell>
          <cell r="S830" t="str">
            <v/>
          </cell>
          <cell r="T830" t="str">
            <v/>
          </cell>
          <cell r="U830" t="str">
            <v/>
          </cell>
          <cell r="V830" t="str">
            <v>N52</v>
          </cell>
          <cell r="W830" t="str">
            <v/>
          </cell>
          <cell r="X830" t="str">
            <v/>
          </cell>
          <cell r="Y830" t="str">
            <v/>
          </cell>
          <cell r="Z830" t="str">
            <v/>
          </cell>
          <cell r="AA830" t="str">
            <v/>
          </cell>
          <cell r="AB830" t="str">
            <v>PA_4400112-UA.7005-2</v>
          </cell>
          <cell r="AC830">
            <v>1</v>
          </cell>
          <cell r="AD830" t="str">
            <v/>
          </cell>
          <cell r="AE830">
            <v>0</v>
          </cell>
          <cell r="AF830" t="str">
            <v/>
          </cell>
          <cell r="AG830" t="str">
            <v>12533696</v>
          </cell>
          <cell r="AH830">
            <v>44880.88140046296</v>
          </cell>
          <cell r="AI830" t="str">
            <v>N52</v>
          </cell>
          <cell r="AJ830" t="str">
            <v>F</v>
          </cell>
          <cell r="AK830" t="str">
            <v>A</v>
          </cell>
        </row>
        <row r="831">
          <cell r="A831" t="str">
            <v>12533696829054</v>
          </cell>
          <cell r="B831" t="e">
            <v>#N/A</v>
          </cell>
          <cell r="C831">
            <v>20</v>
          </cell>
          <cell r="D831" t="str">
            <v>EK65</v>
          </cell>
          <cell r="E831" t="str">
            <v>668199</v>
          </cell>
          <cell r="F831" t="str">
            <v>E</v>
          </cell>
          <cell r="G831" t="str">
            <v>12533696</v>
          </cell>
          <cell r="H831" t="str">
            <v>Halter</v>
          </cell>
          <cell r="I831">
            <v>13</v>
          </cell>
          <cell r="J831" t="str">
            <v>Stk</v>
          </cell>
          <cell r="K831">
            <v>45252</v>
          </cell>
          <cell r="L831" t="str">
            <v>829054</v>
          </cell>
          <cell r="M831" t="str">
            <v/>
          </cell>
          <cell r="N831" t="str">
            <v/>
          </cell>
          <cell r="O831" t="str">
            <v/>
          </cell>
          <cell r="P831" t="str">
            <v/>
          </cell>
          <cell r="Q831" t="str">
            <v/>
          </cell>
          <cell r="R831" t="str">
            <v/>
          </cell>
          <cell r="S831" t="str">
            <v/>
          </cell>
          <cell r="T831" t="str">
            <v/>
          </cell>
          <cell r="U831" t="str">
            <v/>
          </cell>
          <cell r="V831" t="str">
            <v>N52</v>
          </cell>
          <cell r="W831" t="str">
            <v/>
          </cell>
          <cell r="X831" t="str">
            <v/>
          </cell>
          <cell r="Y831" t="str">
            <v/>
          </cell>
          <cell r="Z831" t="str">
            <v/>
          </cell>
          <cell r="AA831" t="str">
            <v/>
          </cell>
          <cell r="AB831" t="str">
            <v>PA_4400112-UA.7005-2</v>
          </cell>
          <cell r="AC831">
            <v>1</v>
          </cell>
          <cell r="AD831" t="str">
            <v/>
          </cell>
          <cell r="AE831">
            <v>0</v>
          </cell>
          <cell r="AF831" t="str">
            <v/>
          </cell>
          <cell r="AG831" t="str">
            <v>12533696</v>
          </cell>
          <cell r="AH831">
            <v>44880.88140046296</v>
          </cell>
          <cell r="AI831" t="str">
            <v>N52</v>
          </cell>
          <cell r="AJ831" t="str">
            <v>F</v>
          </cell>
          <cell r="AK831" t="str">
            <v>A</v>
          </cell>
        </row>
        <row r="832">
          <cell r="A832" t="str">
            <v>12533696829051</v>
          </cell>
          <cell r="B832" t="e">
            <v>#N/A</v>
          </cell>
          <cell r="C832">
            <v>20</v>
          </cell>
          <cell r="D832" t="str">
            <v>EK65</v>
          </cell>
          <cell r="E832" t="str">
            <v>668200</v>
          </cell>
          <cell r="F832" t="str">
            <v>E</v>
          </cell>
          <cell r="G832" t="str">
            <v>12533696</v>
          </cell>
          <cell r="H832" t="str">
            <v>Halter</v>
          </cell>
          <cell r="I832">
            <v>89</v>
          </cell>
          <cell r="J832" t="str">
            <v>Stk</v>
          </cell>
          <cell r="K832">
            <v>45324</v>
          </cell>
          <cell r="L832" t="str">
            <v>829051</v>
          </cell>
          <cell r="M832" t="str">
            <v/>
          </cell>
          <cell r="N832" t="str">
            <v/>
          </cell>
          <cell r="O832" t="str">
            <v/>
          </cell>
          <cell r="P832" t="str">
            <v/>
          </cell>
          <cell r="Q832" t="str">
            <v/>
          </cell>
          <cell r="R832" t="str">
            <v/>
          </cell>
          <cell r="S832" t="str">
            <v/>
          </cell>
          <cell r="T832" t="str">
            <v/>
          </cell>
          <cell r="U832" t="str">
            <v/>
          </cell>
          <cell r="V832" t="str">
            <v>N52</v>
          </cell>
          <cell r="W832" t="str">
            <v/>
          </cell>
          <cell r="X832" t="str">
            <v/>
          </cell>
          <cell r="Y832" t="str">
            <v/>
          </cell>
          <cell r="Z832" t="str">
            <v/>
          </cell>
          <cell r="AA832" t="str">
            <v/>
          </cell>
          <cell r="AB832" t="str">
            <v>PA_4400112-UA.7005-2</v>
          </cell>
          <cell r="AC832">
            <v>1</v>
          </cell>
          <cell r="AD832" t="str">
            <v/>
          </cell>
          <cell r="AE832">
            <v>0</v>
          </cell>
          <cell r="AF832" t="str">
            <v/>
          </cell>
          <cell r="AG832" t="str">
            <v>12533696</v>
          </cell>
          <cell r="AH832">
            <v>44880.88140046296</v>
          </cell>
          <cell r="AI832" t="str">
            <v>N52</v>
          </cell>
          <cell r="AJ832" t="str">
            <v>F</v>
          </cell>
          <cell r="AK832" t="str">
            <v>A</v>
          </cell>
        </row>
        <row r="833">
          <cell r="A833" t="str">
            <v>12533696829052</v>
          </cell>
          <cell r="B833" t="str">
            <v>BL20230413-2</v>
          </cell>
          <cell r="C833">
            <v>20</v>
          </cell>
          <cell r="D833" t="str">
            <v>EK65</v>
          </cell>
          <cell r="E833" t="str">
            <v>668201</v>
          </cell>
          <cell r="F833" t="str">
            <v>E</v>
          </cell>
          <cell r="G833" t="str">
            <v>12533696</v>
          </cell>
          <cell r="H833" t="str">
            <v>Halter</v>
          </cell>
          <cell r="I833">
            <v>31</v>
          </cell>
          <cell r="J833" t="str">
            <v>Stk</v>
          </cell>
          <cell r="K833">
            <v>45345</v>
          </cell>
          <cell r="L833" t="str">
            <v>829052</v>
          </cell>
          <cell r="M833" t="str">
            <v/>
          </cell>
          <cell r="N833" t="str">
            <v/>
          </cell>
          <cell r="O833" t="str">
            <v/>
          </cell>
          <cell r="P833" t="str">
            <v/>
          </cell>
          <cell r="Q833" t="str">
            <v/>
          </cell>
          <cell r="R833" t="str">
            <v/>
          </cell>
          <cell r="S833" t="str">
            <v/>
          </cell>
          <cell r="T833" t="str">
            <v/>
          </cell>
          <cell r="U833" t="str">
            <v/>
          </cell>
          <cell r="V833" t="str">
            <v>N52</v>
          </cell>
          <cell r="W833" t="str">
            <v/>
          </cell>
          <cell r="X833" t="str">
            <v/>
          </cell>
          <cell r="Y833" t="str">
            <v/>
          </cell>
          <cell r="Z833" t="str">
            <v/>
          </cell>
          <cell r="AA833" t="str">
            <v/>
          </cell>
          <cell r="AB833" t="str">
            <v>PA_4400112-UA.7005-2</v>
          </cell>
          <cell r="AC833">
            <v>1</v>
          </cell>
          <cell r="AD833" t="str">
            <v/>
          </cell>
          <cell r="AE833">
            <v>0</v>
          </cell>
          <cell r="AF833" t="str">
            <v/>
          </cell>
          <cell r="AG833" t="str">
            <v>12533696</v>
          </cell>
          <cell r="AH833">
            <v>44880.88140046296</v>
          </cell>
          <cell r="AI833" t="str">
            <v>N52</v>
          </cell>
          <cell r="AJ833" t="str">
            <v>F</v>
          </cell>
          <cell r="AK833" t="str">
            <v>A</v>
          </cell>
        </row>
        <row r="834">
          <cell r="A834" t="str">
            <v>12576566829540</v>
          </cell>
          <cell r="B834" t="str">
            <v>Übergabe Task Force</v>
          </cell>
          <cell r="C834" t="e">
            <v>#N/A</v>
          </cell>
          <cell r="D834" t="str">
            <v>EK65</v>
          </cell>
          <cell r="E834" t="str">
            <v>668202</v>
          </cell>
          <cell r="F834" t="str">
            <v>E</v>
          </cell>
          <cell r="G834" t="str">
            <v>12576566</v>
          </cell>
          <cell r="H834" t="str">
            <v>Beilage</v>
          </cell>
          <cell r="I834">
            <v>93</v>
          </cell>
          <cell r="J834" t="str">
            <v>Stk</v>
          </cell>
          <cell r="K834">
            <v>44981</v>
          </cell>
          <cell r="L834" t="str">
            <v>829540</v>
          </cell>
          <cell r="M834" t="str">
            <v/>
          </cell>
          <cell r="N834" t="str">
            <v/>
          </cell>
          <cell r="O834" t="str">
            <v/>
          </cell>
          <cell r="P834" t="str">
            <v/>
          </cell>
          <cell r="Q834" t="str">
            <v/>
          </cell>
          <cell r="R834" t="str">
            <v/>
          </cell>
          <cell r="S834" t="str">
            <v/>
          </cell>
          <cell r="T834" t="str">
            <v/>
          </cell>
          <cell r="U834" t="str">
            <v/>
          </cell>
          <cell r="V834" t="str">
            <v>N52</v>
          </cell>
          <cell r="W834" t="str">
            <v/>
          </cell>
          <cell r="X834" t="str">
            <v/>
          </cell>
          <cell r="Y834" t="str">
            <v/>
          </cell>
          <cell r="Z834" t="str">
            <v/>
          </cell>
          <cell r="AA834" t="str">
            <v/>
          </cell>
          <cell r="AB834" t="str">
            <v>PA_4823397-ED.7004-4</v>
          </cell>
          <cell r="AC834">
            <v>1</v>
          </cell>
          <cell r="AD834" t="str">
            <v/>
          </cell>
          <cell r="AE834">
            <v>0</v>
          </cell>
          <cell r="AF834" t="str">
            <v/>
          </cell>
          <cell r="AG834" t="str">
            <v>12576566</v>
          </cell>
          <cell r="AH834">
            <v>44880.883750000001</v>
          </cell>
          <cell r="AI834" t="str">
            <v>N52</v>
          </cell>
          <cell r="AJ834" t="str">
            <v>F</v>
          </cell>
          <cell r="AK834" t="str">
            <v/>
          </cell>
        </row>
        <row r="835">
          <cell r="A835" t="str">
            <v>12576567829520</v>
          </cell>
          <cell r="B835" t="e">
            <v>#N/A</v>
          </cell>
          <cell r="C835" t="e">
            <v>#N/A</v>
          </cell>
          <cell r="D835" t="str">
            <v>EK65</v>
          </cell>
          <cell r="E835" t="str">
            <v>668203</v>
          </cell>
          <cell r="F835" t="str">
            <v>E</v>
          </cell>
          <cell r="G835" t="str">
            <v>12576567</v>
          </cell>
          <cell r="H835" t="str">
            <v>Beilage</v>
          </cell>
          <cell r="I835">
            <v>114</v>
          </cell>
          <cell r="J835" t="str">
            <v>Stk</v>
          </cell>
          <cell r="K835">
            <v>44881</v>
          </cell>
          <cell r="L835" t="str">
            <v>829520</v>
          </cell>
          <cell r="M835" t="str">
            <v/>
          </cell>
          <cell r="N835" t="str">
            <v/>
          </cell>
          <cell r="O835" t="str">
            <v/>
          </cell>
          <cell r="P835" t="str">
            <v/>
          </cell>
          <cell r="Q835" t="str">
            <v/>
          </cell>
          <cell r="R835" t="str">
            <v/>
          </cell>
          <cell r="S835" t="str">
            <v/>
          </cell>
          <cell r="T835" t="str">
            <v/>
          </cell>
          <cell r="U835" t="str">
            <v/>
          </cell>
          <cell r="V835" t="str">
            <v>N52</v>
          </cell>
          <cell r="W835" t="str">
            <v/>
          </cell>
          <cell r="X835" t="str">
            <v/>
          </cell>
          <cell r="Y835" t="str">
            <v/>
          </cell>
          <cell r="Z835" t="str">
            <v/>
          </cell>
          <cell r="AA835" t="str">
            <v/>
          </cell>
          <cell r="AB835" t="str">
            <v>PA_4823399-ED.7004-4</v>
          </cell>
          <cell r="AC835">
            <v>1</v>
          </cell>
          <cell r="AD835" t="str">
            <v/>
          </cell>
          <cell r="AE835">
            <v>0</v>
          </cell>
          <cell r="AF835" t="str">
            <v/>
          </cell>
          <cell r="AG835" t="str">
            <v>12576567</v>
          </cell>
          <cell r="AH835">
            <v>44880.883761574078</v>
          </cell>
          <cell r="AI835" t="str">
            <v>N52</v>
          </cell>
          <cell r="AJ835" t="str">
            <v>F</v>
          </cell>
          <cell r="AK835" t="str">
            <v/>
          </cell>
        </row>
        <row r="836">
          <cell r="A836" t="str">
            <v>12515817829560</v>
          </cell>
          <cell r="B836" t="str">
            <v>Übergabe Task Force</v>
          </cell>
          <cell r="C836" t="e">
            <v>#N/A</v>
          </cell>
          <cell r="D836" t="str">
            <v>EK65</v>
          </cell>
          <cell r="E836" t="str">
            <v>669109</v>
          </cell>
          <cell r="F836" t="str">
            <v>E</v>
          </cell>
          <cell r="G836" t="str">
            <v>12515817</v>
          </cell>
          <cell r="H836" t="str">
            <v>Auflage</v>
          </cell>
          <cell r="I836">
            <v>32</v>
          </cell>
          <cell r="J836" t="str">
            <v>Stk</v>
          </cell>
          <cell r="K836">
            <v>44720</v>
          </cell>
          <cell r="L836" t="str">
            <v>829560</v>
          </cell>
          <cell r="M836" t="str">
            <v/>
          </cell>
          <cell r="N836" t="str">
            <v/>
          </cell>
          <cell r="O836" t="str">
            <v/>
          </cell>
          <cell r="P836" t="str">
            <v/>
          </cell>
          <cell r="Q836" t="str">
            <v/>
          </cell>
          <cell r="R836" t="str">
            <v/>
          </cell>
          <cell r="S836" t="str">
            <v/>
          </cell>
          <cell r="T836" t="str">
            <v/>
          </cell>
          <cell r="U836" t="str">
            <v/>
          </cell>
          <cell r="V836" t="str">
            <v>N52</v>
          </cell>
          <cell r="W836" t="str">
            <v/>
          </cell>
          <cell r="X836" t="str">
            <v/>
          </cell>
          <cell r="Y836" t="str">
            <v/>
          </cell>
          <cell r="Z836" t="str">
            <v/>
          </cell>
          <cell r="AA836" t="str">
            <v/>
          </cell>
          <cell r="AB836" t="str">
            <v>PA_4338936-ED.7005-3</v>
          </cell>
          <cell r="AC836">
            <v>1</v>
          </cell>
          <cell r="AD836" t="str">
            <v/>
          </cell>
          <cell r="AE836">
            <v>0</v>
          </cell>
          <cell r="AF836" t="str">
            <v/>
          </cell>
          <cell r="AG836" t="str">
            <v>12515817</v>
          </cell>
          <cell r="AH836">
            <v>44882.871747685182</v>
          </cell>
          <cell r="AI836" t="str">
            <v>N52</v>
          </cell>
          <cell r="AJ836" t="str">
            <v>F</v>
          </cell>
          <cell r="AK836" t="str">
            <v>A</v>
          </cell>
        </row>
        <row r="837">
          <cell r="A837" t="str">
            <v>12567917829560</v>
          </cell>
          <cell r="B837" t="str">
            <v>Übergabe Task Force</v>
          </cell>
          <cell r="C837" t="e">
            <v>#N/A</v>
          </cell>
          <cell r="D837" t="str">
            <v>EK65</v>
          </cell>
          <cell r="E837" t="str">
            <v>669113</v>
          </cell>
          <cell r="F837" t="str">
            <v>E</v>
          </cell>
          <cell r="G837" t="str">
            <v>12567917</v>
          </cell>
          <cell r="H837" t="str">
            <v>Beilage</v>
          </cell>
          <cell r="I837">
            <v>4</v>
          </cell>
          <cell r="J837" t="str">
            <v>Stk</v>
          </cell>
          <cell r="K837">
            <v>45028</v>
          </cell>
          <cell r="L837" t="str">
            <v>829560</v>
          </cell>
          <cell r="M837" t="str">
            <v/>
          </cell>
          <cell r="N837" t="str">
            <v/>
          </cell>
          <cell r="O837" t="str">
            <v/>
          </cell>
          <cell r="P837" t="str">
            <v/>
          </cell>
          <cell r="Q837" t="str">
            <v/>
          </cell>
          <cell r="R837" t="str">
            <v/>
          </cell>
          <cell r="S837" t="str">
            <v/>
          </cell>
          <cell r="T837" t="str">
            <v/>
          </cell>
          <cell r="U837" t="str">
            <v/>
          </cell>
          <cell r="V837" t="str">
            <v>N52</v>
          </cell>
          <cell r="W837" t="str">
            <v/>
          </cell>
          <cell r="X837" t="str">
            <v/>
          </cell>
          <cell r="Y837" t="str">
            <v/>
          </cell>
          <cell r="Z837" t="str">
            <v/>
          </cell>
          <cell r="AA837" t="str">
            <v/>
          </cell>
          <cell r="AB837" t="str">
            <v>PA_4779746-ED.7005-4</v>
          </cell>
          <cell r="AC837">
            <v>1</v>
          </cell>
          <cell r="AD837" t="str">
            <v/>
          </cell>
          <cell r="AE837">
            <v>0</v>
          </cell>
          <cell r="AF837" t="str">
            <v/>
          </cell>
          <cell r="AG837" t="str">
            <v>12567917</v>
          </cell>
          <cell r="AH837">
            <v>44882.8746875</v>
          </cell>
          <cell r="AI837" t="str">
            <v>N52</v>
          </cell>
          <cell r="AJ837" t="str">
            <v>F</v>
          </cell>
          <cell r="AK837" t="str">
            <v/>
          </cell>
        </row>
        <row r="838">
          <cell r="A838" t="str">
            <v>12550522829052</v>
          </cell>
          <cell r="B838" t="e">
            <v>#N/A</v>
          </cell>
          <cell r="C838" t="e">
            <v>#N/A</v>
          </cell>
          <cell r="D838" t="str">
            <v>EK65</v>
          </cell>
          <cell r="E838" t="str">
            <v>669514</v>
          </cell>
          <cell r="F838" t="str">
            <v>E</v>
          </cell>
          <cell r="G838" t="str">
            <v>12550522</v>
          </cell>
          <cell r="H838" t="str">
            <v>Winkel w.g.</v>
          </cell>
          <cell r="I838">
            <v>214</v>
          </cell>
          <cell r="J838" t="str">
            <v>Stk</v>
          </cell>
          <cell r="K838">
            <v>45454</v>
          </cell>
          <cell r="L838" t="str">
            <v>829052</v>
          </cell>
          <cell r="M838" t="str">
            <v/>
          </cell>
          <cell r="N838" t="str">
            <v/>
          </cell>
          <cell r="O838" t="str">
            <v/>
          </cell>
          <cell r="P838" t="str">
            <v/>
          </cell>
          <cell r="Q838" t="str">
            <v/>
          </cell>
          <cell r="R838" t="str">
            <v/>
          </cell>
          <cell r="S838" t="str">
            <v/>
          </cell>
          <cell r="T838" t="str">
            <v/>
          </cell>
          <cell r="U838" t="str">
            <v/>
          </cell>
          <cell r="V838" t="str">
            <v>N52</v>
          </cell>
          <cell r="W838" t="str">
            <v/>
          </cell>
          <cell r="X838" t="str">
            <v/>
          </cell>
          <cell r="Y838" t="str">
            <v/>
          </cell>
          <cell r="Z838" t="str">
            <v/>
          </cell>
          <cell r="AA838" t="str">
            <v/>
          </cell>
          <cell r="AB838" t="str">
            <v>PA_4531224-DC.7004-3</v>
          </cell>
          <cell r="AC838">
            <v>1</v>
          </cell>
          <cell r="AD838" t="str">
            <v/>
          </cell>
          <cell r="AE838">
            <v>0</v>
          </cell>
          <cell r="AF838" t="str">
            <v/>
          </cell>
          <cell r="AG838" t="str">
            <v>12550522</v>
          </cell>
          <cell r="AH838">
            <v>44884.873854166668</v>
          </cell>
          <cell r="AI838" t="str">
            <v>N52</v>
          </cell>
          <cell r="AJ838" t="str">
            <v>F</v>
          </cell>
          <cell r="AK838" t="str">
            <v/>
          </cell>
        </row>
        <row r="839">
          <cell r="A839" t="str">
            <v>12550522829051</v>
          </cell>
          <cell r="B839" t="e">
            <v>#N/A</v>
          </cell>
          <cell r="C839" t="e">
            <v>#N/A</v>
          </cell>
          <cell r="D839" t="str">
            <v>EK65</v>
          </cell>
          <cell r="E839" t="str">
            <v>669515</v>
          </cell>
          <cell r="F839" t="str">
            <v>E</v>
          </cell>
          <cell r="G839" t="str">
            <v>12550522</v>
          </cell>
          <cell r="H839" t="str">
            <v>Winkel w.g.</v>
          </cell>
          <cell r="I839">
            <v>285</v>
          </cell>
          <cell r="J839" t="str">
            <v>Stk</v>
          </cell>
          <cell r="K839">
            <v>45469</v>
          </cell>
          <cell r="L839" t="str">
            <v>829051</v>
          </cell>
          <cell r="M839" t="str">
            <v/>
          </cell>
          <cell r="N839" t="str">
            <v/>
          </cell>
          <cell r="O839" t="str">
            <v/>
          </cell>
          <cell r="P839" t="str">
            <v/>
          </cell>
          <cell r="Q839" t="str">
            <v/>
          </cell>
          <cell r="R839" t="str">
            <v/>
          </cell>
          <cell r="S839" t="str">
            <v/>
          </cell>
          <cell r="T839" t="str">
            <v/>
          </cell>
          <cell r="U839" t="str">
            <v/>
          </cell>
          <cell r="V839" t="str">
            <v>N52</v>
          </cell>
          <cell r="W839" t="str">
            <v/>
          </cell>
          <cell r="X839" t="str">
            <v/>
          </cell>
          <cell r="Y839" t="str">
            <v/>
          </cell>
          <cell r="Z839" t="str">
            <v/>
          </cell>
          <cell r="AA839" t="str">
            <v/>
          </cell>
          <cell r="AB839" t="str">
            <v>PA_4531224-DC.7004-3</v>
          </cell>
          <cell r="AC839">
            <v>1</v>
          </cell>
          <cell r="AD839" t="str">
            <v/>
          </cell>
          <cell r="AE839">
            <v>0</v>
          </cell>
          <cell r="AF839" t="str">
            <v/>
          </cell>
          <cell r="AG839" t="str">
            <v>12550522</v>
          </cell>
          <cell r="AH839">
            <v>44884.873854166668</v>
          </cell>
          <cell r="AI839" t="str">
            <v>N52</v>
          </cell>
          <cell r="AJ839" t="str">
            <v>F</v>
          </cell>
          <cell r="AK839" t="str">
            <v/>
          </cell>
        </row>
        <row r="840">
          <cell r="A840" t="str">
            <v>12550526829052</v>
          </cell>
          <cell r="B840" t="e">
            <v>#N/A</v>
          </cell>
          <cell r="C840" t="e">
            <v>#N/A</v>
          </cell>
          <cell r="D840" t="str">
            <v>EK65</v>
          </cell>
          <cell r="E840" t="str">
            <v>669516</v>
          </cell>
          <cell r="F840" t="str">
            <v>E</v>
          </cell>
          <cell r="G840" t="str">
            <v>12550526</v>
          </cell>
          <cell r="H840" t="str">
            <v>Winkel sp.g.</v>
          </cell>
          <cell r="I840">
            <v>220</v>
          </cell>
          <cell r="J840" t="str">
            <v>Stk</v>
          </cell>
          <cell r="K840">
            <v>45454</v>
          </cell>
          <cell r="L840" t="str">
            <v>829052</v>
          </cell>
          <cell r="M840" t="str">
            <v/>
          </cell>
          <cell r="N840" t="str">
            <v/>
          </cell>
          <cell r="O840" t="str">
            <v/>
          </cell>
          <cell r="P840" t="str">
            <v/>
          </cell>
          <cell r="Q840" t="str">
            <v/>
          </cell>
          <cell r="R840" t="str">
            <v/>
          </cell>
          <cell r="S840" t="str">
            <v/>
          </cell>
          <cell r="T840" t="str">
            <v/>
          </cell>
          <cell r="U840" t="str">
            <v/>
          </cell>
          <cell r="V840" t="str">
            <v>N52</v>
          </cell>
          <cell r="W840" t="str">
            <v/>
          </cell>
          <cell r="X840" t="str">
            <v/>
          </cell>
          <cell r="Y840" t="str">
            <v/>
          </cell>
          <cell r="Z840" t="str">
            <v/>
          </cell>
          <cell r="AA840" t="str">
            <v/>
          </cell>
          <cell r="AB840" t="str">
            <v>PA_4531224-DC.7004-3</v>
          </cell>
          <cell r="AC840">
            <v>1</v>
          </cell>
          <cell r="AD840" t="str">
            <v/>
          </cell>
          <cell r="AE840">
            <v>0</v>
          </cell>
          <cell r="AF840" t="str">
            <v/>
          </cell>
          <cell r="AG840" t="str">
            <v>12550526</v>
          </cell>
          <cell r="AH840">
            <v>44884.873900462961</v>
          </cell>
          <cell r="AI840" t="str">
            <v>N52</v>
          </cell>
          <cell r="AJ840" t="str">
            <v>F</v>
          </cell>
          <cell r="AK840" t="str">
            <v/>
          </cell>
        </row>
        <row r="841">
          <cell r="A841" t="str">
            <v>12550526829051</v>
          </cell>
          <cell r="B841" t="e">
            <v>#N/A</v>
          </cell>
          <cell r="C841" t="e">
            <v>#N/A</v>
          </cell>
          <cell r="D841" t="str">
            <v>EK65</v>
          </cell>
          <cell r="E841" t="str">
            <v>669517</v>
          </cell>
          <cell r="F841" t="str">
            <v>E</v>
          </cell>
          <cell r="G841" t="str">
            <v>12550526</v>
          </cell>
          <cell r="H841" t="str">
            <v>Winkel sp.g.</v>
          </cell>
          <cell r="I841">
            <v>285</v>
          </cell>
          <cell r="J841" t="str">
            <v>Stk</v>
          </cell>
          <cell r="K841">
            <v>45469</v>
          </cell>
          <cell r="L841" t="str">
            <v>829051</v>
          </cell>
          <cell r="M841" t="str">
            <v/>
          </cell>
          <cell r="N841" t="str">
            <v/>
          </cell>
          <cell r="O841" t="str">
            <v/>
          </cell>
          <cell r="P841" t="str">
            <v/>
          </cell>
          <cell r="Q841" t="str">
            <v/>
          </cell>
          <cell r="R841" t="str">
            <v/>
          </cell>
          <cell r="S841" t="str">
            <v/>
          </cell>
          <cell r="T841" t="str">
            <v/>
          </cell>
          <cell r="U841" t="str">
            <v/>
          </cell>
          <cell r="V841" t="str">
            <v>N52</v>
          </cell>
          <cell r="W841" t="str">
            <v/>
          </cell>
          <cell r="X841" t="str">
            <v/>
          </cell>
          <cell r="Y841" t="str">
            <v/>
          </cell>
          <cell r="Z841" t="str">
            <v/>
          </cell>
          <cell r="AA841" t="str">
            <v/>
          </cell>
          <cell r="AB841" t="str">
            <v>PA_4531224-DC.7004-3</v>
          </cell>
          <cell r="AC841">
            <v>1</v>
          </cell>
          <cell r="AD841" t="str">
            <v/>
          </cell>
          <cell r="AE841">
            <v>0</v>
          </cell>
          <cell r="AF841" t="str">
            <v/>
          </cell>
          <cell r="AG841" t="str">
            <v>12550526</v>
          </cell>
          <cell r="AH841">
            <v>44884.873900462961</v>
          </cell>
          <cell r="AI841" t="str">
            <v>N52</v>
          </cell>
          <cell r="AJ841" t="str">
            <v>F</v>
          </cell>
          <cell r="AK841" t="str">
            <v/>
          </cell>
        </row>
        <row r="842">
          <cell r="A842" t="str">
            <v>12609577829051</v>
          </cell>
          <cell r="B842" t="e">
            <v>#N/A</v>
          </cell>
          <cell r="C842" t="e">
            <v>#N/A</v>
          </cell>
          <cell r="D842" t="str">
            <v>EK65</v>
          </cell>
          <cell r="E842" t="str">
            <v>671403</v>
          </cell>
          <cell r="F842" t="str">
            <v>E</v>
          </cell>
          <cell r="G842" t="str">
            <v>12609577</v>
          </cell>
          <cell r="H842" t="str">
            <v>Erdungswinkel</v>
          </cell>
          <cell r="I842">
            <v>340</v>
          </cell>
          <cell r="J842" t="str">
            <v>Stk</v>
          </cell>
          <cell r="K842">
            <v>44706</v>
          </cell>
          <cell r="L842" t="str">
            <v>829051</v>
          </cell>
          <cell r="M842" t="str">
            <v/>
          </cell>
          <cell r="N842" t="str">
            <v/>
          </cell>
          <cell r="O842" t="str">
            <v/>
          </cell>
          <cell r="P842" t="str">
            <v/>
          </cell>
          <cell r="Q842" t="str">
            <v/>
          </cell>
          <cell r="R842" t="str">
            <v/>
          </cell>
          <cell r="S842" t="str">
            <v/>
          </cell>
          <cell r="T842" t="str">
            <v/>
          </cell>
          <cell r="U842" t="str">
            <v/>
          </cell>
          <cell r="V842" t="str">
            <v>N52</v>
          </cell>
          <cell r="W842" t="str">
            <v/>
          </cell>
          <cell r="X842" t="str">
            <v/>
          </cell>
          <cell r="Y842" t="str">
            <v/>
          </cell>
          <cell r="Z842" t="str">
            <v/>
          </cell>
          <cell r="AA842" t="str">
            <v/>
          </cell>
          <cell r="AB842" t="str">
            <v>PA_4997870-UA.7005-3</v>
          </cell>
          <cell r="AC842">
            <v>1</v>
          </cell>
          <cell r="AD842" t="str">
            <v/>
          </cell>
          <cell r="AE842">
            <v>0</v>
          </cell>
          <cell r="AF842" t="str">
            <v/>
          </cell>
          <cell r="AG842" t="str">
            <v>12609577</v>
          </cell>
          <cell r="AH842">
            <v>44889.97515046296</v>
          </cell>
          <cell r="AI842" t="str">
            <v>N52</v>
          </cell>
          <cell r="AJ842" t="str">
            <v>F</v>
          </cell>
          <cell r="AK842" t="str">
            <v/>
          </cell>
        </row>
        <row r="843">
          <cell r="A843" t="str">
            <v>12622193829053</v>
          </cell>
          <cell r="B843" t="e">
            <v>#N/A</v>
          </cell>
          <cell r="C843" t="e">
            <v>#N/A</v>
          </cell>
          <cell r="D843" t="str">
            <v>EK65</v>
          </cell>
          <cell r="E843" t="str">
            <v>673472</v>
          </cell>
          <cell r="F843" t="str">
            <v>E</v>
          </cell>
          <cell r="G843" t="str">
            <v>12622193</v>
          </cell>
          <cell r="H843" t="str">
            <v>Unterlage lang</v>
          </cell>
          <cell r="I843">
            <v>99</v>
          </cell>
          <cell r="J843" t="str">
            <v>Stk</v>
          </cell>
          <cell r="K843">
            <v>45211</v>
          </cell>
          <cell r="L843" t="str">
            <v>829053</v>
          </cell>
          <cell r="M843" t="str">
            <v/>
          </cell>
          <cell r="N843" t="str">
            <v/>
          </cell>
          <cell r="O843" t="str">
            <v/>
          </cell>
          <cell r="P843" t="str">
            <v/>
          </cell>
          <cell r="Q843" t="str">
            <v/>
          </cell>
          <cell r="R843" t="str">
            <v/>
          </cell>
          <cell r="S843" t="str">
            <v/>
          </cell>
          <cell r="T843" t="str">
            <v/>
          </cell>
          <cell r="U843" t="str">
            <v/>
          </cell>
          <cell r="V843" t="str">
            <v>N52</v>
          </cell>
          <cell r="W843" t="str">
            <v/>
          </cell>
          <cell r="X843" t="str">
            <v/>
          </cell>
          <cell r="Y843" t="str">
            <v/>
          </cell>
          <cell r="Z843" t="str">
            <v/>
          </cell>
          <cell r="AA843" t="str">
            <v/>
          </cell>
          <cell r="AB843" t="str">
            <v>PA_4994176-CE.7005-3</v>
          </cell>
          <cell r="AC843">
            <v>1</v>
          </cell>
          <cell r="AD843" t="str">
            <v/>
          </cell>
          <cell r="AE843">
            <v>0</v>
          </cell>
          <cell r="AF843" t="str">
            <v/>
          </cell>
          <cell r="AG843" t="str">
            <v>12622193</v>
          </cell>
          <cell r="AH843">
            <v>44894.879571759258</v>
          </cell>
          <cell r="AI843" t="str">
            <v>N52</v>
          </cell>
          <cell r="AJ843" t="str">
            <v>F</v>
          </cell>
          <cell r="AK843" t="str">
            <v/>
          </cell>
        </row>
        <row r="844">
          <cell r="A844" t="str">
            <v>12622197829053</v>
          </cell>
          <cell r="B844" t="e">
            <v>#N/A</v>
          </cell>
          <cell r="C844" t="e">
            <v>#N/A</v>
          </cell>
          <cell r="D844" t="str">
            <v>EK65</v>
          </cell>
          <cell r="E844" t="str">
            <v>673473</v>
          </cell>
          <cell r="F844" t="str">
            <v>E</v>
          </cell>
          <cell r="G844" t="str">
            <v>12622197</v>
          </cell>
          <cell r="H844" t="str">
            <v>Unterlage kurz</v>
          </cell>
          <cell r="I844">
            <v>99</v>
          </cell>
          <cell r="J844" t="str">
            <v>Stk</v>
          </cell>
          <cell r="K844">
            <v>45211</v>
          </cell>
          <cell r="L844" t="str">
            <v>829053</v>
          </cell>
          <cell r="M844" t="str">
            <v/>
          </cell>
          <cell r="N844" t="str">
            <v/>
          </cell>
          <cell r="O844" t="str">
            <v/>
          </cell>
          <cell r="P844" t="str">
            <v/>
          </cell>
          <cell r="Q844" t="str">
            <v/>
          </cell>
          <cell r="R844" t="str">
            <v/>
          </cell>
          <cell r="S844" t="str">
            <v/>
          </cell>
          <cell r="T844" t="str">
            <v/>
          </cell>
          <cell r="U844" t="str">
            <v/>
          </cell>
          <cell r="V844" t="str">
            <v>N52</v>
          </cell>
          <cell r="W844" t="str">
            <v/>
          </cell>
          <cell r="X844" t="str">
            <v/>
          </cell>
          <cell r="Y844" t="str">
            <v/>
          </cell>
          <cell r="Z844" t="str">
            <v/>
          </cell>
          <cell r="AA844" t="str">
            <v/>
          </cell>
          <cell r="AB844" t="str">
            <v>PA_4994158-CE.7005-4</v>
          </cell>
          <cell r="AC844">
            <v>1</v>
          </cell>
          <cell r="AD844" t="str">
            <v/>
          </cell>
          <cell r="AE844">
            <v>0</v>
          </cell>
          <cell r="AF844" t="str">
            <v/>
          </cell>
          <cell r="AG844" t="str">
            <v>12622197</v>
          </cell>
          <cell r="AH844">
            <v>44894.879594907405</v>
          </cell>
          <cell r="AI844" t="str">
            <v>N52</v>
          </cell>
          <cell r="AJ844" t="str">
            <v>F</v>
          </cell>
          <cell r="AK844" t="str">
            <v/>
          </cell>
        </row>
        <row r="845">
          <cell r="A845" t="str">
            <v>12494117829054</v>
          </cell>
          <cell r="B845" t="e">
            <v>#N/A</v>
          </cell>
          <cell r="C845" t="e">
            <v>#N/A</v>
          </cell>
          <cell r="D845" t="str">
            <v>EK65</v>
          </cell>
          <cell r="E845" t="str">
            <v>674531</v>
          </cell>
          <cell r="F845" t="str">
            <v>E</v>
          </cell>
          <cell r="G845" t="str">
            <v>12494117</v>
          </cell>
          <cell r="H845" t="str">
            <v>Schottplatte MW, kpl.</v>
          </cell>
          <cell r="I845">
            <v>11</v>
          </cell>
          <cell r="J845" t="str">
            <v>Stk</v>
          </cell>
          <cell r="K845">
            <v>45272</v>
          </cell>
          <cell r="L845" t="str">
            <v>829054</v>
          </cell>
          <cell r="M845" t="str">
            <v/>
          </cell>
          <cell r="N845" t="str">
            <v/>
          </cell>
          <cell r="O845" t="str">
            <v/>
          </cell>
          <cell r="P845" t="str">
            <v/>
          </cell>
          <cell r="Q845" t="str">
            <v/>
          </cell>
          <cell r="R845" t="str">
            <v/>
          </cell>
          <cell r="S845" t="str">
            <v/>
          </cell>
          <cell r="T845" t="str">
            <v/>
          </cell>
          <cell r="U845" t="str">
            <v/>
          </cell>
          <cell r="V845" t="str">
            <v>N38</v>
          </cell>
          <cell r="W845" t="str">
            <v/>
          </cell>
          <cell r="X845" t="str">
            <v/>
          </cell>
          <cell r="Y845" t="str">
            <v/>
          </cell>
          <cell r="Z845" t="str">
            <v/>
          </cell>
          <cell r="AA845" t="str">
            <v/>
          </cell>
          <cell r="AB845" t="str">
            <v>PA_4453604-QE.7005-2</v>
          </cell>
          <cell r="AC845">
            <v>1</v>
          </cell>
          <cell r="AD845" t="str">
            <v/>
          </cell>
          <cell r="AE845">
            <v>0</v>
          </cell>
          <cell r="AF845" t="str">
            <v/>
          </cell>
          <cell r="AG845" t="str">
            <v>12494117</v>
          </cell>
          <cell r="AH845">
            <v>44895.879745370374</v>
          </cell>
          <cell r="AI845" t="str">
            <v>N38</v>
          </cell>
          <cell r="AJ845" t="str">
            <v>F</v>
          </cell>
          <cell r="AK845" t="str">
            <v>A</v>
          </cell>
        </row>
        <row r="846">
          <cell r="A846" t="str">
            <v>12550504829051</v>
          </cell>
          <cell r="B846" t="e">
            <v>#N/A</v>
          </cell>
          <cell r="C846" t="e">
            <v>#N/A</v>
          </cell>
          <cell r="D846" t="str">
            <v>EK65</v>
          </cell>
          <cell r="E846" t="str">
            <v>676140</v>
          </cell>
          <cell r="F846" t="str">
            <v>E</v>
          </cell>
          <cell r="G846" t="str">
            <v>12550504</v>
          </cell>
          <cell r="H846" t="str">
            <v>Halter</v>
          </cell>
          <cell r="I846">
            <v>1704</v>
          </cell>
          <cell r="J846" t="str">
            <v>Stk</v>
          </cell>
          <cell r="K846">
            <v>45280</v>
          </cell>
          <cell r="L846" t="str">
            <v>829051</v>
          </cell>
          <cell r="M846" t="str">
            <v/>
          </cell>
          <cell r="N846" t="str">
            <v/>
          </cell>
          <cell r="O846" t="str">
            <v/>
          </cell>
          <cell r="P846" t="str">
            <v/>
          </cell>
          <cell r="Q846" t="str">
            <v/>
          </cell>
          <cell r="R846" t="str">
            <v/>
          </cell>
          <cell r="S846" t="str">
            <v/>
          </cell>
          <cell r="T846" t="str">
            <v/>
          </cell>
          <cell r="U846" t="str">
            <v/>
          </cell>
          <cell r="V846" t="str">
            <v>N52</v>
          </cell>
          <cell r="W846" t="str">
            <v/>
          </cell>
          <cell r="X846" t="str">
            <v/>
          </cell>
          <cell r="Y846" t="str">
            <v/>
          </cell>
          <cell r="Z846" t="str">
            <v/>
          </cell>
          <cell r="AA846" t="str">
            <v/>
          </cell>
          <cell r="AB846" t="str">
            <v>PA_4538024-DC.7004-3</v>
          </cell>
          <cell r="AC846">
            <v>1</v>
          </cell>
          <cell r="AD846" t="str">
            <v/>
          </cell>
          <cell r="AE846">
            <v>0</v>
          </cell>
          <cell r="AF846" t="str">
            <v/>
          </cell>
          <cell r="AG846" t="str">
            <v>12550504</v>
          </cell>
          <cell r="AH846">
            <v>44897.880011574074</v>
          </cell>
          <cell r="AI846" t="str">
            <v>N52</v>
          </cell>
          <cell r="AJ846" t="str">
            <v>F</v>
          </cell>
          <cell r="AK846" t="str">
            <v/>
          </cell>
        </row>
        <row r="847">
          <cell r="A847" t="str">
            <v>12550504829052</v>
          </cell>
          <cell r="B847" t="str">
            <v>BL20230413-2</v>
          </cell>
          <cell r="C847" t="e">
            <v>#N/A</v>
          </cell>
          <cell r="D847" t="str">
            <v>EK65</v>
          </cell>
          <cell r="E847" t="str">
            <v>676141</v>
          </cell>
          <cell r="F847" t="str">
            <v>E</v>
          </cell>
          <cell r="G847" t="str">
            <v>12550504</v>
          </cell>
          <cell r="H847" t="str">
            <v>Halter</v>
          </cell>
          <cell r="I847">
            <v>770</v>
          </cell>
          <cell r="J847" t="str">
            <v>Stk</v>
          </cell>
          <cell r="K847">
            <v>45338</v>
          </cell>
          <cell r="L847" t="str">
            <v>829052</v>
          </cell>
          <cell r="M847" t="str">
            <v/>
          </cell>
          <cell r="N847" t="str">
            <v/>
          </cell>
          <cell r="O847" t="str">
            <v/>
          </cell>
          <cell r="P847" t="str">
            <v/>
          </cell>
          <cell r="Q847" t="str">
            <v/>
          </cell>
          <cell r="R847" t="str">
            <v/>
          </cell>
          <cell r="S847" t="str">
            <v/>
          </cell>
          <cell r="T847" t="str">
            <v/>
          </cell>
          <cell r="U847" t="str">
            <v/>
          </cell>
          <cell r="V847" t="str">
            <v>N52</v>
          </cell>
          <cell r="W847" t="str">
            <v/>
          </cell>
          <cell r="X847" t="str">
            <v/>
          </cell>
          <cell r="Y847" t="str">
            <v/>
          </cell>
          <cell r="Z847" t="str">
            <v/>
          </cell>
          <cell r="AA847" t="str">
            <v/>
          </cell>
          <cell r="AB847" t="str">
            <v>PA_4538024-DC.7004-3</v>
          </cell>
          <cell r="AC847">
            <v>1</v>
          </cell>
          <cell r="AD847" t="str">
            <v/>
          </cell>
          <cell r="AE847">
            <v>0</v>
          </cell>
          <cell r="AF847" t="str">
            <v/>
          </cell>
          <cell r="AG847" t="str">
            <v>12550504</v>
          </cell>
          <cell r="AH847">
            <v>44897.880023148151</v>
          </cell>
          <cell r="AI847" t="str">
            <v>N52</v>
          </cell>
          <cell r="AJ847" t="str">
            <v>F</v>
          </cell>
          <cell r="AK847" t="str">
            <v/>
          </cell>
        </row>
        <row r="848">
          <cell r="A848" t="str">
            <v>12487297829053</v>
          </cell>
          <cell r="B848" t="e">
            <v>#N/A</v>
          </cell>
          <cell r="C848" t="e">
            <v>#N/A</v>
          </cell>
          <cell r="D848" t="str">
            <v>EK65</v>
          </cell>
          <cell r="E848" t="str">
            <v>680682</v>
          </cell>
          <cell r="F848" t="str">
            <v>E</v>
          </cell>
          <cell r="G848" t="str">
            <v>12487297</v>
          </cell>
          <cell r="H848" t="str">
            <v>Klemmbuchse ID12,5 AD30 H40</v>
          </cell>
          <cell r="I848">
            <v>28</v>
          </cell>
          <cell r="J848" t="str">
            <v>Stk</v>
          </cell>
          <cell r="K848">
            <v>45371</v>
          </cell>
          <cell r="L848" t="str">
            <v>829053</v>
          </cell>
          <cell r="M848" t="str">
            <v/>
          </cell>
          <cell r="N848" t="str">
            <v/>
          </cell>
          <cell r="O848" t="str">
            <v/>
          </cell>
          <cell r="P848" t="str">
            <v/>
          </cell>
          <cell r="Q848" t="str">
            <v/>
          </cell>
          <cell r="R848" t="str">
            <v/>
          </cell>
          <cell r="S848" t="str">
            <v/>
          </cell>
          <cell r="T848" t="str">
            <v/>
          </cell>
          <cell r="U848" t="str">
            <v/>
          </cell>
          <cell r="V848" t="str">
            <v>N52</v>
          </cell>
          <cell r="W848" t="str">
            <v/>
          </cell>
          <cell r="X848" t="str">
            <v/>
          </cell>
          <cell r="Y848" t="str">
            <v/>
          </cell>
          <cell r="Z848" t="str">
            <v/>
          </cell>
          <cell r="AA848" t="str">
            <v/>
          </cell>
          <cell r="AB848" t="str">
            <v>PA_4399611-QE.7005-3</v>
          </cell>
          <cell r="AC848">
            <v>1</v>
          </cell>
          <cell r="AD848" t="str">
            <v/>
          </cell>
          <cell r="AE848">
            <v>0</v>
          </cell>
          <cell r="AF848" t="str">
            <v/>
          </cell>
          <cell r="AG848" t="str">
            <v>12487297</v>
          </cell>
          <cell r="AH848">
            <v>44904.875428240739</v>
          </cell>
          <cell r="AI848" t="str">
            <v>N52</v>
          </cell>
          <cell r="AJ848" t="str">
            <v>F</v>
          </cell>
          <cell r="AK848" t="str">
            <v/>
          </cell>
        </row>
        <row r="849">
          <cell r="A849" t="str">
            <v>12518332829051</v>
          </cell>
          <cell r="B849" t="e">
            <v>#N/A</v>
          </cell>
          <cell r="C849" t="e">
            <v>#N/A</v>
          </cell>
          <cell r="D849" t="str">
            <v>EK65</v>
          </cell>
          <cell r="E849" t="str">
            <v>681063</v>
          </cell>
          <cell r="F849" t="str">
            <v>E</v>
          </cell>
          <cell r="G849" t="str">
            <v>12518332</v>
          </cell>
          <cell r="H849" t="str">
            <v>Halter Fremdeinspeisung</v>
          </cell>
          <cell r="I849">
            <v>1</v>
          </cell>
          <cell r="J849" t="str">
            <v>Stk</v>
          </cell>
          <cell r="K849">
            <v>45531</v>
          </cell>
          <cell r="L849" t="str">
            <v>829051</v>
          </cell>
          <cell r="M849" t="str">
            <v/>
          </cell>
          <cell r="N849" t="str">
            <v/>
          </cell>
          <cell r="O849" t="str">
            <v/>
          </cell>
          <cell r="P849" t="str">
            <v/>
          </cell>
          <cell r="Q849" t="str">
            <v/>
          </cell>
          <cell r="R849" t="str">
            <v/>
          </cell>
          <cell r="S849" t="str">
            <v/>
          </cell>
          <cell r="T849" t="str">
            <v/>
          </cell>
          <cell r="U849" t="str">
            <v/>
          </cell>
          <cell r="V849" t="str">
            <v>N52</v>
          </cell>
          <cell r="W849" t="str">
            <v/>
          </cell>
          <cell r="X849" t="str">
            <v/>
          </cell>
          <cell r="Y849" t="str">
            <v/>
          </cell>
          <cell r="Z849" t="str">
            <v/>
          </cell>
          <cell r="AA849" t="str">
            <v/>
          </cell>
          <cell r="AB849" t="str">
            <v>PA_4525887-QE.7005-2</v>
          </cell>
          <cell r="AC849">
            <v>1</v>
          </cell>
          <cell r="AD849" t="str">
            <v/>
          </cell>
          <cell r="AE849">
            <v>0</v>
          </cell>
          <cell r="AF849" t="str">
            <v/>
          </cell>
          <cell r="AG849" t="str">
            <v>12518332</v>
          </cell>
          <cell r="AH849">
            <v>44904.908194444448</v>
          </cell>
          <cell r="AI849" t="str">
            <v>N52</v>
          </cell>
          <cell r="AJ849" t="str">
            <v>F</v>
          </cell>
          <cell r="AK849" t="str">
            <v/>
          </cell>
        </row>
        <row r="850">
          <cell r="A850" t="str">
            <v>12502997829052</v>
          </cell>
          <cell r="B850" t="str">
            <v>BL20230413-2</v>
          </cell>
          <cell r="C850">
            <v>32</v>
          </cell>
          <cell r="D850" t="str">
            <v>EK65</v>
          </cell>
          <cell r="E850" t="str">
            <v>682030</v>
          </cell>
          <cell r="F850" t="str">
            <v>E</v>
          </cell>
          <cell r="G850" t="str">
            <v>12502997</v>
          </cell>
          <cell r="H850" t="str">
            <v>Klemmbuchse ID6,5 AD15 H3</v>
          </cell>
          <cell r="I850">
            <v>1214</v>
          </cell>
          <cell r="J850" t="str">
            <v>Stk</v>
          </cell>
          <cell r="K850">
            <v>45345</v>
          </cell>
          <cell r="L850" t="str">
            <v>829052</v>
          </cell>
          <cell r="M850" t="str">
            <v/>
          </cell>
          <cell r="N850" t="str">
            <v/>
          </cell>
          <cell r="O850" t="str">
            <v/>
          </cell>
          <cell r="P850" t="str">
            <v/>
          </cell>
          <cell r="Q850" t="str">
            <v/>
          </cell>
          <cell r="R850" t="str">
            <v/>
          </cell>
          <cell r="S850" t="str">
            <v/>
          </cell>
          <cell r="T850" t="str">
            <v/>
          </cell>
          <cell r="U850" t="str">
            <v/>
          </cell>
          <cell r="V850" t="str">
            <v>N52</v>
          </cell>
          <cell r="W850" t="str">
            <v/>
          </cell>
          <cell r="X850" t="str">
            <v/>
          </cell>
          <cell r="Y850" t="str">
            <v/>
          </cell>
          <cell r="Z850" t="str">
            <v/>
          </cell>
          <cell r="AA850" t="str">
            <v/>
          </cell>
          <cell r="AB850" t="str">
            <v>PA_4425990-UA.7005-4</v>
          </cell>
          <cell r="AC850">
            <v>1</v>
          </cell>
          <cell r="AD850" t="str">
            <v/>
          </cell>
          <cell r="AE850">
            <v>0</v>
          </cell>
          <cell r="AF850" t="str">
            <v/>
          </cell>
          <cell r="AG850" t="str">
            <v>12502997</v>
          </cell>
          <cell r="AH850">
            <v>44908.879687499997</v>
          </cell>
          <cell r="AI850" t="str">
            <v>N52</v>
          </cell>
          <cell r="AJ850" t="str">
            <v>F</v>
          </cell>
          <cell r="AK850" t="str">
            <v/>
          </cell>
        </row>
        <row r="851">
          <cell r="A851" t="str">
            <v>12564179829051</v>
          </cell>
          <cell r="B851" t="e">
            <v>#N/A</v>
          </cell>
          <cell r="C851">
            <v>6</v>
          </cell>
          <cell r="D851" t="str">
            <v>EK65</v>
          </cell>
          <cell r="E851" t="str">
            <v>682039</v>
          </cell>
          <cell r="F851" t="str">
            <v>E</v>
          </cell>
          <cell r="G851" t="str">
            <v>12564179</v>
          </cell>
          <cell r="H851" t="str">
            <v>Halter fuer Schottverschraubungen</v>
          </cell>
          <cell r="I851">
            <v>179</v>
          </cell>
          <cell r="J851" t="str">
            <v>Stk</v>
          </cell>
          <cell r="K851">
            <v>45324</v>
          </cell>
          <cell r="L851" t="str">
            <v>829051</v>
          </cell>
          <cell r="M851" t="str">
            <v/>
          </cell>
          <cell r="N851" t="str">
            <v/>
          </cell>
          <cell r="O851" t="str">
            <v/>
          </cell>
          <cell r="P851" t="str">
            <v/>
          </cell>
          <cell r="Q851" t="str">
            <v/>
          </cell>
          <cell r="R851" t="str">
            <v/>
          </cell>
          <cell r="S851" t="str">
            <v/>
          </cell>
          <cell r="T851" t="str">
            <v/>
          </cell>
          <cell r="U851" t="str">
            <v/>
          </cell>
          <cell r="V851" t="str">
            <v>N52</v>
          </cell>
          <cell r="W851" t="str">
            <v/>
          </cell>
          <cell r="X851" t="str">
            <v/>
          </cell>
          <cell r="Y851" t="str">
            <v/>
          </cell>
          <cell r="Z851" t="str">
            <v/>
          </cell>
          <cell r="AA851" t="str">
            <v/>
          </cell>
          <cell r="AB851" t="str">
            <v>PA_4482187-QE.7004-3</v>
          </cell>
          <cell r="AC851">
            <v>1</v>
          </cell>
          <cell r="AD851" t="str">
            <v/>
          </cell>
          <cell r="AE851">
            <v>0</v>
          </cell>
          <cell r="AF851" t="str">
            <v/>
          </cell>
          <cell r="AG851" t="str">
            <v>12564179</v>
          </cell>
          <cell r="AH851">
            <v>44908.8909375</v>
          </cell>
          <cell r="AI851" t="str">
            <v>N52</v>
          </cell>
          <cell r="AJ851" t="str">
            <v>F</v>
          </cell>
          <cell r="AK851" t="str">
            <v>A</v>
          </cell>
        </row>
        <row r="852">
          <cell r="A852" t="str">
            <v>12629713829053</v>
          </cell>
          <cell r="B852" t="e">
            <v>#N/A</v>
          </cell>
          <cell r="C852" t="e">
            <v>#N/A</v>
          </cell>
          <cell r="D852" t="str">
            <v>EK65</v>
          </cell>
          <cell r="E852" t="str">
            <v>682048</v>
          </cell>
          <cell r="F852" t="str">
            <v>E</v>
          </cell>
          <cell r="G852" t="str">
            <v>12629713</v>
          </cell>
          <cell r="H852" t="str">
            <v>Winkel</v>
          </cell>
          <cell r="I852">
            <v>96</v>
          </cell>
          <cell r="J852" t="str">
            <v>Stk</v>
          </cell>
          <cell r="K852">
            <v>45230</v>
          </cell>
          <cell r="L852" t="str">
            <v>829053</v>
          </cell>
          <cell r="M852" t="str">
            <v/>
          </cell>
          <cell r="N852" t="str">
            <v/>
          </cell>
          <cell r="O852" t="str">
            <v/>
          </cell>
          <cell r="P852" t="str">
            <v/>
          </cell>
          <cell r="Q852" t="str">
            <v/>
          </cell>
          <cell r="R852" t="str">
            <v/>
          </cell>
          <cell r="S852" t="str">
            <v/>
          </cell>
          <cell r="T852" t="str">
            <v/>
          </cell>
          <cell r="U852" t="str">
            <v/>
          </cell>
          <cell r="V852" t="str">
            <v>N52</v>
          </cell>
          <cell r="W852" t="str">
            <v/>
          </cell>
          <cell r="X852" t="str">
            <v/>
          </cell>
          <cell r="Y852" t="str">
            <v/>
          </cell>
          <cell r="Z852" t="str">
            <v/>
          </cell>
          <cell r="AA852" t="str">
            <v/>
          </cell>
          <cell r="AB852" t="str">
            <v>PA_5054632-LC.7005-3</v>
          </cell>
          <cell r="AC852">
            <v>1</v>
          </cell>
          <cell r="AD852" t="str">
            <v/>
          </cell>
          <cell r="AE852">
            <v>0</v>
          </cell>
          <cell r="AF852" t="str">
            <v/>
          </cell>
          <cell r="AG852" t="str">
            <v>12629713</v>
          </cell>
          <cell r="AH852">
            <v>44908.891932870371</v>
          </cell>
          <cell r="AI852" t="str">
            <v>N52</v>
          </cell>
          <cell r="AJ852" t="str">
            <v>F</v>
          </cell>
          <cell r="AK852" t="str">
            <v/>
          </cell>
        </row>
        <row r="853">
          <cell r="A853" t="str">
            <v>12631685829053</v>
          </cell>
          <cell r="B853" t="e">
            <v>#N/A</v>
          </cell>
          <cell r="C853" t="e">
            <v>#N/A</v>
          </cell>
          <cell r="D853" t="str">
            <v>EK65</v>
          </cell>
          <cell r="E853" t="str">
            <v>682049</v>
          </cell>
          <cell r="F853" t="str">
            <v>E</v>
          </cell>
          <cell r="G853" t="str">
            <v>12631685</v>
          </cell>
          <cell r="H853" t="str">
            <v>Halter</v>
          </cell>
          <cell r="I853">
            <v>81</v>
          </cell>
          <cell r="J853" t="str">
            <v>Stk</v>
          </cell>
          <cell r="K853">
            <v>45105</v>
          </cell>
          <cell r="L853" t="str">
            <v>829053</v>
          </cell>
          <cell r="M853" t="str">
            <v/>
          </cell>
          <cell r="N853" t="str">
            <v/>
          </cell>
          <cell r="O853" t="str">
            <v/>
          </cell>
          <cell r="P853" t="str">
            <v/>
          </cell>
          <cell r="Q853" t="str">
            <v/>
          </cell>
          <cell r="R853" t="str">
            <v/>
          </cell>
          <cell r="S853" t="str">
            <v/>
          </cell>
          <cell r="T853" t="str">
            <v/>
          </cell>
          <cell r="U853" t="str">
            <v/>
          </cell>
          <cell r="V853" t="str">
            <v>N52</v>
          </cell>
          <cell r="W853" t="str">
            <v/>
          </cell>
          <cell r="X853" t="str">
            <v/>
          </cell>
          <cell r="Y853" t="str">
            <v/>
          </cell>
          <cell r="Z853" t="str">
            <v/>
          </cell>
          <cell r="AA853" t="str">
            <v/>
          </cell>
          <cell r="AB853" t="str">
            <v>PA_5072043-QE.7005-3</v>
          </cell>
          <cell r="AC853">
            <v>1</v>
          </cell>
          <cell r="AD853" t="str">
            <v/>
          </cell>
          <cell r="AE853">
            <v>0</v>
          </cell>
          <cell r="AF853" t="str">
            <v/>
          </cell>
          <cell r="AG853" t="str">
            <v>12631685</v>
          </cell>
          <cell r="AH853">
            <v>44908.891944444447</v>
          </cell>
          <cell r="AI853" t="str">
            <v>N52</v>
          </cell>
          <cell r="AJ853" t="str">
            <v>F</v>
          </cell>
          <cell r="AK853" t="str">
            <v/>
          </cell>
        </row>
        <row r="854">
          <cell r="A854" t="str">
            <v>12631685829054</v>
          </cell>
          <cell r="B854" t="e">
            <v>#N/A</v>
          </cell>
          <cell r="C854" t="e">
            <v>#N/A</v>
          </cell>
          <cell r="D854" t="str">
            <v>EK65</v>
          </cell>
          <cell r="E854" t="str">
            <v>682050</v>
          </cell>
          <cell r="F854" t="str">
            <v>E</v>
          </cell>
          <cell r="G854" t="str">
            <v>12631685</v>
          </cell>
          <cell r="H854" t="str">
            <v>Halter</v>
          </cell>
          <cell r="I854">
            <v>52</v>
          </cell>
          <cell r="J854" t="str">
            <v>Stk</v>
          </cell>
          <cell r="K854">
            <v>45126</v>
          </cell>
          <cell r="L854" t="str">
            <v>829054</v>
          </cell>
          <cell r="M854" t="str">
            <v/>
          </cell>
          <cell r="N854" t="str">
            <v/>
          </cell>
          <cell r="O854" t="str">
            <v/>
          </cell>
          <cell r="P854" t="str">
            <v/>
          </cell>
          <cell r="Q854" t="str">
            <v/>
          </cell>
          <cell r="R854" t="str">
            <v/>
          </cell>
          <cell r="S854" t="str">
            <v/>
          </cell>
          <cell r="T854" t="str">
            <v/>
          </cell>
          <cell r="U854" t="str">
            <v/>
          </cell>
          <cell r="V854" t="str">
            <v>N52</v>
          </cell>
          <cell r="W854" t="str">
            <v/>
          </cell>
          <cell r="X854" t="str">
            <v/>
          </cell>
          <cell r="Y854" t="str">
            <v/>
          </cell>
          <cell r="Z854" t="str">
            <v/>
          </cell>
          <cell r="AA854" t="str">
            <v/>
          </cell>
          <cell r="AB854" t="str">
            <v>PA_5072043-QE.7005-3</v>
          </cell>
          <cell r="AC854">
            <v>1</v>
          </cell>
          <cell r="AD854" t="str">
            <v/>
          </cell>
          <cell r="AE854">
            <v>0</v>
          </cell>
          <cell r="AF854" t="str">
            <v/>
          </cell>
          <cell r="AG854" t="str">
            <v>12631685</v>
          </cell>
          <cell r="AH854">
            <v>44908.891944444447</v>
          </cell>
          <cell r="AI854" t="str">
            <v>N52</v>
          </cell>
          <cell r="AJ854" t="str">
            <v>F</v>
          </cell>
          <cell r="AK854" t="str">
            <v/>
          </cell>
        </row>
        <row r="855">
          <cell r="A855" t="str">
            <v>12631693829053</v>
          </cell>
          <cell r="B855" t="e">
            <v>#N/A</v>
          </cell>
          <cell r="C855" t="e">
            <v>#N/A</v>
          </cell>
          <cell r="D855" t="str">
            <v>EK65</v>
          </cell>
          <cell r="E855" t="str">
            <v>682051</v>
          </cell>
          <cell r="F855" t="str">
            <v>E</v>
          </cell>
          <cell r="G855" t="str">
            <v>12631693</v>
          </cell>
          <cell r="H855" t="str">
            <v>Halter vollst.</v>
          </cell>
          <cell r="I855">
            <v>81</v>
          </cell>
          <cell r="J855" t="str">
            <v>Stk</v>
          </cell>
          <cell r="K855">
            <v>45105</v>
          </cell>
          <cell r="L855" t="str">
            <v>829053</v>
          </cell>
          <cell r="M855" t="str">
            <v/>
          </cell>
          <cell r="N855" t="str">
            <v/>
          </cell>
          <cell r="O855" t="str">
            <v/>
          </cell>
          <cell r="P855" t="str">
            <v/>
          </cell>
          <cell r="Q855" t="str">
            <v/>
          </cell>
          <cell r="R855" t="str">
            <v/>
          </cell>
          <cell r="S855" t="str">
            <v/>
          </cell>
          <cell r="T855" t="str">
            <v/>
          </cell>
          <cell r="U855" t="str">
            <v/>
          </cell>
          <cell r="V855" t="str">
            <v>N38</v>
          </cell>
          <cell r="W855" t="str">
            <v/>
          </cell>
          <cell r="X855" t="str">
            <v/>
          </cell>
          <cell r="Y855" t="str">
            <v/>
          </cell>
          <cell r="Z855" t="str">
            <v/>
          </cell>
          <cell r="AA855" t="str">
            <v/>
          </cell>
          <cell r="AB855" t="str">
            <v>PA_5077216-QE.7005-4</v>
          </cell>
          <cell r="AC855">
            <v>1</v>
          </cell>
          <cell r="AD855" t="str">
            <v/>
          </cell>
          <cell r="AE855">
            <v>0</v>
          </cell>
          <cell r="AF855" t="str">
            <v/>
          </cell>
          <cell r="AG855" t="str">
            <v>12631693</v>
          </cell>
          <cell r="AH855">
            <v>44908.891956018517</v>
          </cell>
          <cell r="AI855" t="str">
            <v>N38</v>
          </cell>
          <cell r="AJ855" t="str">
            <v>F</v>
          </cell>
          <cell r="AK855" t="str">
            <v/>
          </cell>
        </row>
        <row r="856">
          <cell r="A856" t="str">
            <v>12631693829054</v>
          </cell>
          <cell r="B856" t="e">
            <v>#N/A</v>
          </cell>
          <cell r="C856" t="e">
            <v>#N/A</v>
          </cell>
          <cell r="D856" t="str">
            <v>EK65</v>
          </cell>
          <cell r="E856" t="str">
            <v>682052</v>
          </cell>
          <cell r="F856" t="str">
            <v>E</v>
          </cell>
          <cell r="G856" t="str">
            <v>12631693</v>
          </cell>
          <cell r="H856" t="str">
            <v>Halter vollst.</v>
          </cell>
          <cell r="I856">
            <v>52</v>
          </cell>
          <cell r="J856" t="str">
            <v>Stk</v>
          </cell>
          <cell r="K856">
            <v>45126</v>
          </cell>
          <cell r="L856" t="str">
            <v>829054</v>
          </cell>
          <cell r="M856" t="str">
            <v/>
          </cell>
          <cell r="N856" t="str">
            <v/>
          </cell>
          <cell r="O856" t="str">
            <v/>
          </cell>
          <cell r="P856" t="str">
            <v/>
          </cell>
          <cell r="Q856" t="str">
            <v/>
          </cell>
          <cell r="R856" t="str">
            <v/>
          </cell>
          <cell r="S856" t="str">
            <v/>
          </cell>
          <cell r="T856" t="str">
            <v/>
          </cell>
          <cell r="U856" t="str">
            <v/>
          </cell>
          <cell r="V856" t="str">
            <v>N38</v>
          </cell>
          <cell r="W856" t="str">
            <v/>
          </cell>
          <cell r="X856" t="str">
            <v/>
          </cell>
          <cell r="Y856" t="str">
            <v/>
          </cell>
          <cell r="Z856" t="str">
            <v/>
          </cell>
          <cell r="AA856" t="str">
            <v/>
          </cell>
          <cell r="AB856" t="str">
            <v>PA_5077216-QE.7005-4</v>
          </cell>
          <cell r="AC856">
            <v>1</v>
          </cell>
          <cell r="AD856" t="str">
            <v/>
          </cell>
          <cell r="AE856">
            <v>0</v>
          </cell>
          <cell r="AF856" t="str">
            <v/>
          </cell>
          <cell r="AG856" t="str">
            <v>12631693</v>
          </cell>
          <cell r="AH856">
            <v>44908.891956018517</v>
          </cell>
          <cell r="AI856" t="str">
            <v>N38</v>
          </cell>
          <cell r="AJ856" t="str">
            <v>F</v>
          </cell>
          <cell r="AK856" t="str">
            <v/>
          </cell>
        </row>
        <row r="857">
          <cell r="A857" t="str">
            <v>12560523829550</v>
          </cell>
          <cell r="B857">
            <v>0</v>
          </cell>
          <cell r="C857" t="e">
            <v>#N/A</v>
          </cell>
          <cell r="D857" t="str">
            <v>EK65</v>
          </cell>
          <cell r="E857" t="str">
            <v>683545</v>
          </cell>
          <cell r="F857" t="str">
            <v>E</v>
          </cell>
          <cell r="G857" t="str">
            <v>12560523</v>
          </cell>
          <cell r="H857" t="str">
            <v>Huelse</v>
          </cell>
          <cell r="I857">
            <v>47</v>
          </cell>
          <cell r="J857" t="str">
            <v>Stk</v>
          </cell>
          <cell r="K857">
            <v>44974</v>
          </cell>
          <cell r="L857" t="str">
            <v>829550</v>
          </cell>
          <cell r="M857" t="str">
            <v/>
          </cell>
          <cell r="N857" t="str">
            <v/>
          </cell>
          <cell r="O857" t="str">
            <v/>
          </cell>
          <cell r="P857" t="str">
            <v/>
          </cell>
          <cell r="Q857" t="str">
            <v/>
          </cell>
          <cell r="R857" t="str">
            <v/>
          </cell>
          <cell r="S857" t="str">
            <v/>
          </cell>
          <cell r="T857" t="str">
            <v/>
          </cell>
          <cell r="U857" t="str">
            <v/>
          </cell>
          <cell r="V857" t="str">
            <v>N37</v>
          </cell>
          <cell r="W857" t="str">
            <v/>
          </cell>
          <cell r="X857" t="str">
            <v/>
          </cell>
          <cell r="Y857" t="str">
            <v/>
          </cell>
          <cell r="Z857" t="str">
            <v/>
          </cell>
          <cell r="AA857" t="str">
            <v/>
          </cell>
          <cell r="AB857" t="str">
            <v>PA_4564443-UA.7005-4</v>
          </cell>
          <cell r="AC857">
            <v>1</v>
          </cell>
          <cell r="AD857" t="str">
            <v/>
          </cell>
          <cell r="AE857">
            <v>0</v>
          </cell>
          <cell r="AF857" t="str">
            <v/>
          </cell>
          <cell r="AG857" t="str">
            <v>12560523</v>
          </cell>
          <cell r="AH857">
            <v>44909.882210648146</v>
          </cell>
          <cell r="AI857" t="str">
            <v>N37</v>
          </cell>
          <cell r="AJ857" t="str">
            <v>F</v>
          </cell>
          <cell r="AK857" t="str">
            <v/>
          </cell>
        </row>
        <row r="858">
          <cell r="A858" t="str">
            <v>70002474828521</v>
          </cell>
          <cell r="B858" t="str">
            <v>Angefragt 17.03.2023</v>
          </cell>
          <cell r="C858" t="e">
            <v>#N/A</v>
          </cell>
          <cell r="D858" t="str">
            <v>EK65</v>
          </cell>
          <cell r="E858" t="str">
            <v>687035</v>
          </cell>
          <cell r="F858" t="str">
            <v>E</v>
          </cell>
          <cell r="G858" t="str">
            <v>70002474</v>
          </cell>
          <cell r="H858" t="str">
            <v>PERFORATED TRAY</v>
          </cell>
          <cell r="I858">
            <v>450</v>
          </cell>
          <cell r="J858" t="str">
            <v>Stk</v>
          </cell>
          <cell r="K858">
            <v>45057</v>
          </cell>
          <cell r="L858" t="str">
            <v>828521</v>
          </cell>
          <cell r="M858" t="str">
            <v/>
          </cell>
          <cell r="N858" t="str">
            <v/>
          </cell>
          <cell r="O858" t="str">
            <v/>
          </cell>
          <cell r="P858" t="str">
            <v/>
          </cell>
          <cell r="Q858" t="str">
            <v/>
          </cell>
          <cell r="R858" t="str">
            <v/>
          </cell>
          <cell r="S858" t="str">
            <v/>
          </cell>
          <cell r="T858" t="str">
            <v/>
          </cell>
          <cell r="U858" t="str">
            <v>BB20052510013</v>
          </cell>
          <cell r="V858" t="str">
            <v>E19</v>
          </cell>
          <cell r="W858" t="str">
            <v/>
          </cell>
          <cell r="X858" t="str">
            <v/>
          </cell>
          <cell r="Y858" t="str">
            <v/>
          </cell>
          <cell r="Z858" t="str">
            <v/>
          </cell>
          <cell r="AA858" t="str">
            <v/>
          </cell>
          <cell r="AB858" t="str">
            <v>70002474</v>
          </cell>
          <cell r="AC858">
            <v>1</v>
          </cell>
          <cell r="AD858" t="str">
            <v/>
          </cell>
          <cell r="AE858">
            <v>0</v>
          </cell>
          <cell r="AF858" t="str">
            <v/>
          </cell>
          <cell r="AG858" t="str">
            <v>70002474</v>
          </cell>
          <cell r="AH858">
            <v>44916.13622685185</v>
          </cell>
          <cell r="AI858" t="str">
            <v>E19</v>
          </cell>
          <cell r="AJ858" t="str">
            <v>F</v>
          </cell>
          <cell r="AK858" t="str">
            <v>--</v>
          </cell>
        </row>
        <row r="859">
          <cell r="A859" t="str">
            <v>70000886828521</v>
          </cell>
          <cell r="B859" t="str">
            <v>Keine Z.. In KSTRUKT Jorge Nachfrage</v>
          </cell>
          <cell r="C859" t="e">
            <v>#N/A</v>
          </cell>
          <cell r="D859" t="str">
            <v>EK65</v>
          </cell>
          <cell r="E859" t="str">
            <v>706779</v>
          </cell>
          <cell r="F859" t="str">
            <v>E</v>
          </cell>
          <cell r="G859" t="str">
            <v>70000886</v>
          </cell>
          <cell r="H859" t="str">
            <v>GEWINDEPLATTE GWP 41/22 - A4-50 - M8</v>
          </cell>
          <cell r="I859">
            <v>7650</v>
          </cell>
          <cell r="J859" t="str">
            <v>Stk</v>
          </cell>
          <cell r="K859">
            <v>45057</v>
          </cell>
          <cell r="L859" t="str">
            <v>828521</v>
          </cell>
          <cell r="M859" t="str">
            <v/>
          </cell>
          <cell r="N859" t="str">
            <v/>
          </cell>
          <cell r="O859" t="str">
            <v/>
          </cell>
          <cell r="P859" t="str">
            <v/>
          </cell>
          <cell r="Q859" t="str">
            <v>Acero Inoxidable</v>
          </cell>
          <cell r="R859" t="str">
            <v>A4-50</v>
          </cell>
          <cell r="S859" t="str">
            <v/>
          </cell>
          <cell r="T859" t="str">
            <v/>
          </cell>
          <cell r="U859" t="str">
            <v>BB00640306001</v>
          </cell>
          <cell r="V859" t="str">
            <v>K62</v>
          </cell>
          <cell r="W859" t="str">
            <v/>
          </cell>
          <cell r="X859" t="str">
            <v/>
          </cell>
          <cell r="Y859" t="str">
            <v/>
          </cell>
          <cell r="Z859" t="str">
            <v/>
          </cell>
          <cell r="AA859" t="str">
            <v/>
          </cell>
          <cell r="AB859" t="str">
            <v/>
          </cell>
          <cell r="AC859">
            <v>1</v>
          </cell>
          <cell r="AD859" t="str">
            <v/>
          </cell>
          <cell r="AE859">
            <v>0</v>
          </cell>
          <cell r="AF859" t="str">
            <v/>
          </cell>
          <cell r="AG859" t="str">
            <v>70000886</v>
          </cell>
          <cell r="AH859">
            <v>44961.001840277779</v>
          </cell>
          <cell r="AI859" t="str">
            <v>K62</v>
          </cell>
          <cell r="AJ859" t="str">
            <v/>
          </cell>
          <cell r="AK859" t="str">
            <v>--</v>
          </cell>
        </row>
        <row r="860">
          <cell r="A860" t="str">
            <v>70002506828521</v>
          </cell>
          <cell r="B860" t="str">
            <v>Angefragt 22.03.2023, Zeichnungen unvollst.</v>
          </cell>
          <cell r="C860" t="e">
            <v>#N/A</v>
          </cell>
          <cell r="D860" t="str">
            <v>EK65</v>
          </cell>
          <cell r="E860" t="str">
            <v>701240</v>
          </cell>
          <cell r="F860" t="str">
            <v>E</v>
          </cell>
          <cell r="G860" t="str">
            <v>70002506</v>
          </cell>
          <cell r="H860" t="str">
            <v>PANTOGRAPH PANEL</v>
          </cell>
          <cell r="I860">
            <v>90</v>
          </cell>
          <cell r="J860" t="str">
            <v>Stk</v>
          </cell>
          <cell r="K860">
            <v>45058</v>
          </cell>
          <cell r="L860" t="str">
            <v>828521</v>
          </cell>
          <cell r="M860" t="str">
            <v/>
          </cell>
          <cell r="N860" t="str">
            <v/>
          </cell>
          <cell r="O860" t="str">
            <v/>
          </cell>
          <cell r="P860" t="str">
            <v/>
          </cell>
          <cell r="Q860" t="str">
            <v/>
          </cell>
          <cell r="R860" t="str">
            <v/>
          </cell>
          <cell r="S860" t="str">
            <v/>
          </cell>
          <cell r="T860" t="str">
            <v/>
          </cell>
          <cell r="U860" t="str">
            <v>BB20055011600</v>
          </cell>
          <cell r="V860" t="str">
            <v>I24</v>
          </cell>
          <cell r="W860" t="str">
            <v/>
          </cell>
          <cell r="X860" t="str">
            <v/>
          </cell>
          <cell r="Y860" t="str">
            <v/>
          </cell>
          <cell r="Z860" t="str">
            <v/>
          </cell>
          <cell r="AA860" t="str">
            <v/>
          </cell>
          <cell r="AB860" t="str">
            <v>70002506</v>
          </cell>
          <cell r="AC860">
            <v>1</v>
          </cell>
          <cell r="AD860" t="str">
            <v/>
          </cell>
          <cell r="AE860">
            <v>0</v>
          </cell>
          <cell r="AF860" t="str">
            <v/>
          </cell>
          <cell r="AG860" t="str">
            <v>70002506</v>
          </cell>
          <cell r="AH860">
            <v>44946.968206018515</v>
          </cell>
          <cell r="AI860" t="str">
            <v>I24</v>
          </cell>
          <cell r="AJ860" t="str">
            <v>F</v>
          </cell>
          <cell r="AK860" t="str">
            <v>--</v>
          </cell>
        </row>
        <row r="861">
          <cell r="A861" t="str">
            <v>70002522828521</v>
          </cell>
          <cell r="B861" t="str">
            <v>Angefragt 22.03.2023, Zeichn. Unvoll.</v>
          </cell>
          <cell r="C861" t="e">
            <v>#N/A</v>
          </cell>
          <cell r="D861" t="str">
            <v>EK65</v>
          </cell>
          <cell r="E861" t="str">
            <v>701242</v>
          </cell>
          <cell r="F861" t="str">
            <v>E</v>
          </cell>
          <cell r="G861" t="str">
            <v>70002522</v>
          </cell>
          <cell r="H861" t="str">
            <v>CONNECTORS ASSEMBLY</v>
          </cell>
          <cell r="I861">
            <v>90</v>
          </cell>
          <cell r="J861" t="str">
            <v>Stk</v>
          </cell>
          <cell r="K861">
            <v>45058</v>
          </cell>
          <cell r="L861" t="str">
            <v>828521</v>
          </cell>
          <cell r="M861" t="str">
            <v/>
          </cell>
          <cell r="N861" t="str">
            <v/>
          </cell>
          <cell r="O861" t="str">
            <v/>
          </cell>
          <cell r="P861" t="str">
            <v/>
          </cell>
          <cell r="Q861" t="str">
            <v/>
          </cell>
          <cell r="R861" t="str">
            <v/>
          </cell>
          <cell r="S861" t="str">
            <v/>
          </cell>
          <cell r="T861" t="str">
            <v/>
          </cell>
          <cell r="U861" t="str">
            <v>BB20055011900</v>
          </cell>
          <cell r="V861" t="str">
            <v>I24</v>
          </cell>
          <cell r="W861" t="str">
            <v/>
          </cell>
          <cell r="X861" t="str">
            <v/>
          </cell>
          <cell r="Y861" t="str">
            <v/>
          </cell>
          <cell r="Z861" t="str">
            <v/>
          </cell>
          <cell r="AA861" t="str">
            <v/>
          </cell>
          <cell r="AB861" t="str">
            <v>70002522</v>
          </cell>
          <cell r="AC861">
            <v>1</v>
          </cell>
          <cell r="AD861" t="str">
            <v/>
          </cell>
          <cell r="AE861">
            <v>0</v>
          </cell>
          <cell r="AF861" t="str">
            <v/>
          </cell>
          <cell r="AG861" t="str">
            <v>70002522</v>
          </cell>
          <cell r="AH861">
            <v>44946.968229166669</v>
          </cell>
          <cell r="AI861" t="str">
            <v>I24</v>
          </cell>
          <cell r="AJ861" t="str">
            <v>F</v>
          </cell>
          <cell r="AK861" t="str">
            <v>--</v>
          </cell>
        </row>
        <row r="862">
          <cell r="A862" t="str">
            <v>12491184829053</v>
          </cell>
          <cell r="B862" t="str">
            <v>Angefragt 27.02.2023</v>
          </cell>
          <cell r="C862">
            <v>7</v>
          </cell>
          <cell r="D862" t="str">
            <v>EK65</v>
          </cell>
          <cell r="E862" t="str">
            <v>685304</v>
          </cell>
          <cell r="F862" t="str">
            <v>E</v>
          </cell>
          <cell r="G862" t="str">
            <v>12491184</v>
          </cell>
          <cell r="H862" t="str">
            <v>Halter fuer Klettband</v>
          </cell>
          <cell r="I862">
            <v>117</v>
          </cell>
          <cell r="J862" t="str">
            <v>Stk</v>
          </cell>
          <cell r="K862">
            <v>45184</v>
          </cell>
          <cell r="L862" t="str">
            <v>829053</v>
          </cell>
          <cell r="M862" t="str">
            <v/>
          </cell>
          <cell r="N862" t="str">
            <v/>
          </cell>
          <cell r="O862" t="str">
            <v/>
          </cell>
          <cell r="P862" t="str">
            <v/>
          </cell>
          <cell r="Q862" t="str">
            <v/>
          </cell>
          <cell r="R862" t="str">
            <v/>
          </cell>
          <cell r="S862" t="str">
            <v/>
          </cell>
          <cell r="T862" t="str">
            <v/>
          </cell>
          <cell r="U862" t="str">
            <v/>
          </cell>
          <cell r="V862" t="str">
            <v>N52</v>
          </cell>
          <cell r="W862" t="str">
            <v/>
          </cell>
          <cell r="X862" t="str">
            <v/>
          </cell>
          <cell r="Y862" t="str">
            <v/>
          </cell>
          <cell r="Z862" t="str">
            <v/>
          </cell>
          <cell r="AA862" t="str">
            <v/>
          </cell>
          <cell r="AB862" t="str">
            <v>PA_4256065-CD.7005-3</v>
          </cell>
          <cell r="AC862">
            <v>1</v>
          </cell>
          <cell r="AD862" t="str">
            <v/>
          </cell>
          <cell r="AE862">
            <v>0</v>
          </cell>
          <cell r="AF862" t="str">
            <v/>
          </cell>
          <cell r="AG862" t="str">
            <v>12491184</v>
          </cell>
          <cell r="AH862">
            <v>44914.935439814813</v>
          </cell>
          <cell r="AI862" t="str">
            <v>N52</v>
          </cell>
          <cell r="AJ862" t="str">
            <v>F</v>
          </cell>
          <cell r="AK862" t="str">
            <v>B</v>
          </cell>
        </row>
        <row r="863">
          <cell r="A863" t="str">
            <v>12491205829053</v>
          </cell>
          <cell r="B863" t="str">
            <v>Angefragt 27.02.2023</v>
          </cell>
          <cell r="C863">
            <v>6</v>
          </cell>
          <cell r="D863" t="str">
            <v>EK65</v>
          </cell>
          <cell r="E863" t="str">
            <v>685305</v>
          </cell>
          <cell r="F863" t="str">
            <v>E</v>
          </cell>
          <cell r="G863" t="str">
            <v>12491205</v>
          </cell>
          <cell r="H863" t="str">
            <v>Halter fuer Klettband</v>
          </cell>
          <cell r="I863">
            <v>117</v>
          </cell>
          <cell r="J863" t="str">
            <v>Stk</v>
          </cell>
          <cell r="K863">
            <v>45184</v>
          </cell>
          <cell r="L863" t="str">
            <v>829053</v>
          </cell>
          <cell r="M863" t="str">
            <v/>
          </cell>
          <cell r="N863" t="str">
            <v/>
          </cell>
          <cell r="O863" t="str">
            <v/>
          </cell>
          <cell r="P863" t="str">
            <v/>
          </cell>
          <cell r="Q863" t="str">
            <v/>
          </cell>
          <cell r="R863" t="str">
            <v/>
          </cell>
          <cell r="S863" t="str">
            <v/>
          </cell>
          <cell r="T863" t="str">
            <v/>
          </cell>
          <cell r="U863" t="str">
            <v/>
          </cell>
          <cell r="V863" t="str">
            <v>N52</v>
          </cell>
          <cell r="W863" t="str">
            <v/>
          </cell>
          <cell r="X863" t="str">
            <v/>
          </cell>
          <cell r="Y863" t="str">
            <v/>
          </cell>
          <cell r="Z863" t="str">
            <v/>
          </cell>
          <cell r="AA863" t="str">
            <v/>
          </cell>
          <cell r="AB863" t="str">
            <v>PA_4256087-CD.7005-3</v>
          </cell>
          <cell r="AC863">
            <v>1</v>
          </cell>
          <cell r="AD863" t="str">
            <v/>
          </cell>
          <cell r="AE863">
            <v>0</v>
          </cell>
          <cell r="AF863" t="str">
            <v/>
          </cell>
          <cell r="AG863" t="str">
            <v>12491205</v>
          </cell>
          <cell r="AH863">
            <v>44914.93545138889</v>
          </cell>
          <cell r="AI863" t="str">
            <v>N52</v>
          </cell>
          <cell r="AJ863" t="str">
            <v>F</v>
          </cell>
          <cell r="AK863" t="str">
            <v>A</v>
          </cell>
        </row>
        <row r="864">
          <cell r="A864" t="str">
            <v>12495388829053</v>
          </cell>
          <cell r="B864" t="str">
            <v>Angefragt 27.02.2023</v>
          </cell>
          <cell r="C864" t="e">
            <v>#N/A</v>
          </cell>
          <cell r="D864" t="str">
            <v>EK65</v>
          </cell>
          <cell r="E864" t="str">
            <v>685306</v>
          </cell>
          <cell r="F864" t="str">
            <v>E</v>
          </cell>
          <cell r="G864" t="str">
            <v>12495388</v>
          </cell>
          <cell r="H864" t="str">
            <v>Schottplatte, kpl.</v>
          </cell>
          <cell r="I864">
            <v>50</v>
          </cell>
          <cell r="J864" t="str">
            <v>Stk</v>
          </cell>
          <cell r="K864">
            <v>45204</v>
          </cell>
          <cell r="L864" t="str">
            <v>829053</v>
          </cell>
          <cell r="M864" t="str">
            <v/>
          </cell>
          <cell r="N864" t="str">
            <v/>
          </cell>
          <cell r="O864" t="str">
            <v/>
          </cell>
          <cell r="P864" t="str">
            <v/>
          </cell>
          <cell r="Q864" t="str">
            <v/>
          </cell>
          <cell r="R864" t="str">
            <v/>
          </cell>
          <cell r="S864" t="str">
            <v/>
          </cell>
          <cell r="T864" t="str">
            <v/>
          </cell>
          <cell r="U864" t="str">
            <v/>
          </cell>
          <cell r="V864" t="str">
            <v>N38</v>
          </cell>
          <cell r="W864" t="str">
            <v/>
          </cell>
          <cell r="X864" t="str">
            <v/>
          </cell>
          <cell r="Y864" t="str">
            <v/>
          </cell>
          <cell r="Z864" t="str">
            <v/>
          </cell>
          <cell r="AA864" t="str">
            <v/>
          </cell>
          <cell r="AB864" t="str">
            <v>PA_4282318-QE.7005-2</v>
          </cell>
          <cell r="AC864">
            <v>1</v>
          </cell>
          <cell r="AD864" t="str">
            <v/>
          </cell>
          <cell r="AE864">
            <v>0</v>
          </cell>
          <cell r="AF864" t="str">
            <v/>
          </cell>
          <cell r="AG864" t="str">
            <v>12495388</v>
          </cell>
          <cell r="AH864">
            <v>44914.936030092591</v>
          </cell>
          <cell r="AI864" t="str">
            <v>N38</v>
          </cell>
          <cell r="AJ864" t="str">
            <v>F</v>
          </cell>
          <cell r="AK864" t="str">
            <v>A</v>
          </cell>
        </row>
        <row r="865">
          <cell r="A865" t="str">
            <v>12617803829053</v>
          </cell>
          <cell r="B865" t="str">
            <v>Angefragt 27.02.2023</v>
          </cell>
          <cell r="C865" t="e">
            <v>#N/A</v>
          </cell>
          <cell r="D865" t="str">
            <v>EK65</v>
          </cell>
          <cell r="E865" t="str">
            <v>685730</v>
          </cell>
          <cell r="F865" t="str">
            <v>E</v>
          </cell>
          <cell r="G865" t="str">
            <v>12617803</v>
          </cell>
          <cell r="H865" t="str">
            <v>Halter</v>
          </cell>
          <cell r="I865">
            <v>52</v>
          </cell>
          <cell r="J865" t="str">
            <v>Stk</v>
          </cell>
          <cell r="K865">
            <v>45196</v>
          </cell>
          <cell r="L865" t="str">
            <v>829053</v>
          </cell>
          <cell r="M865" t="str">
            <v/>
          </cell>
          <cell r="N865" t="str">
            <v/>
          </cell>
          <cell r="O865" t="str">
            <v/>
          </cell>
          <cell r="P865" t="str">
            <v/>
          </cell>
          <cell r="Q865" t="str">
            <v/>
          </cell>
          <cell r="R865" t="str">
            <v/>
          </cell>
          <cell r="S865" t="str">
            <v/>
          </cell>
          <cell r="T865" t="str">
            <v/>
          </cell>
          <cell r="U865" t="str">
            <v/>
          </cell>
          <cell r="V865" t="str">
            <v>N52</v>
          </cell>
          <cell r="W865" t="str">
            <v/>
          </cell>
          <cell r="X865" t="str">
            <v/>
          </cell>
          <cell r="Y865" t="str">
            <v/>
          </cell>
          <cell r="Z865" t="str">
            <v/>
          </cell>
          <cell r="AA865" t="str">
            <v/>
          </cell>
          <cell r="AB865" t="str">
            <v>PA_5036402-UA.7004-3</v>
          </cell>
          <cell r="AC865">
            <v>1</v>
          </cell>
          <cell r="AD865" t="str">
            <v/>
          </cell>
          <cell r="AE865">
            <v>0</v>
          </cell>
          <cell r="AF865" t="str">
            <v/>
          </cell>
          <cell r="AG865" t="str">
            <v>12617803</v>
          </cell>
          <cell r="AH865">
            <v>44916.038206018522</v>
          </cell>
          <cell r="AI865" t="str">
            <v>N52</v>
          </cell>
          <cell r="AJ865" t="str">
            <v>F</v>
          </cell>
          <cell r="AK865" t="str">
            <v/>
          </cell>
        </row>
        <row r="866">
          <cell r="A866" t="str">
            <v>70005119828521</v>
          </cell>
          <cell r="B866" t="e">
            <v>#N/A</v>
          </cell>
          <cell r="C866" t="e">
            <v>#N/A</v>
          </cell>
          <cell r="D866" t="str">
            <v>EK65</v>
          </cell>
          <cell r="E866" t="str">
            <v>729238</v>
          </cell>
          <cell r="F866" t="str">
            <v>E</v>
          </cell>
          <cell r="G866" t="str">
            <v>70005119</v>
          </cell>
          <cell r="H866" t="str">
            <v>L SERIES SPACER M8X24 S355J2+N</v>
          </cell>
          <cell r="I866">
            <v>360</v>
          </cell>
          <cell r="J866" t="str">
            <v>Stk</v>
          </cell>
          <cell r="K866">
            <v>45058</v>
          </cell>
          <cell r="L866" t="str">
            <v>828521</v>
          </cell>
          <cell r="M866" t="str">
            <v/>
          </cell>
          <cell r="N866" t="str">
            <v/>
          </cell>
          <cell r="O866" t="str">
            <v/>
          </cell>
          <cell r="P866" t="str">
            <v/>
          </cell>
          <cell r="Q866" t="str">
            <v>S355J2+N</v>
          </cell>
          <cell r="R866" t="str">
            <v/>
          </cell>
          <cell r="S866" t="str">
            <v/>
          </cell>
          <cell r="T866" t="str">
            <v/>
          </cell>
          <cell r="U866" t="str">
            <v>BB00653001000</v>
          </cell>
          <cell r="V866" t="str">
            <v>N52</v>
          </cell>
          <cell r="W866" t="str">
            <v/>
          </cell>
          <cell r="X866" t="str">
            <v/>
          </cell>
          <cell r="Y866" t="str">
            <v/>
          </cell>
          <cell r="Z866" t="str">
            <v/>
          </cell>
          <cell r="AA866" t="str">
            <v/>
          </cell>
          <cell r="AB866" t="str">
            <v>70005119</v>
          </cell>
          <cell r="AC866">
            <v>1</v>
          </cell>
          <cell r="AD866" t="str">
            <v/>
          </cell>
          <cell r="AE866">
            <v>0</v>
          </cell>
          <cell r="AF866" t="str">
            <v/>
          </cell>
          <cell r="AG866" t="str">
            <v>70005119</v>
          </cell>
          <cell r="AH866">
            <v>45029.981354166666</v>
          </cell>
          <cell r="AI866" t="str">
            <v>N52</v>
          </cell>
          <cell r="AJ866" t="str">
            <v>F</v>
          </cell>
          <cell r="AK866" t="str">
            <v>1</v>
          </cell>
        </row>
        <row r="867">
          <cell r="A867" t="str">
            <v>70000797828521</v>
          </cell>
          <cell r="B867" t="str">
            <v>BL20230406-1</v>
          </cell>
          <cell r="C867" t="e">
            <v>#N/A</v>
          </cell>
          <cell r="D867" t="str">
            <v>EK65</v>
          </cell>
          <cell r="E867" t="str">
            <v>686518</v>
          </cell>
          <cell r="F867" t="str">
            <v>E</v>
          </cell>
          <cell r="G867" t="str">
            <v>70000797</v>
          </cell>
          <cell r="H867" t="str">
            <v>SLEEVE</v>
          </cell>
          <cell r="I867">
            <v>3960</v>
          </cell>
          <cell r="J867" t="str">
            <v>Stk</v>
          </cell>
          <cell r="K867">
            <v>45063</v>
          </cell>
          <cell r="L867" t="str">
            <v>828521</v>
          </cell>
          <cell r="M867" t="str">
            <v/>
          </cell>
          <cell r="N867" t="str">
            <v/>
          </cell>
          <cell r="O867" t="str">
            <v/>
          </cell>
          <cell r="P867" t="str">
            <v/>
          </cell>
          <cell r="Q867" t="str">
            <v/>
          </cell>
          <cell r="R867" t="str">
            <v/>
          </cell>
          <cell r="S867" t="str">
            <v/>
          </cell>
          <cell r="T867" t="str">
            <v/>
          </cell>
          <cell r="U867" t="str">
            <v>BB20044210001</v>
          </cell>
          <cell r="V867" t="str">
            <v>N52</v>
          </cell>
          <cell r="W867" t="str">
            <v/>
          </cell>
          <cell r="X867" t="str">
            <v/>
          </cell>
          <cell r="Y867" t="str">
            <v/>
          </cell>
          <cell r="Z867" t="str">
            <v/>
          </cell>
          <cell r="AA867" t="str">
            <v/>
          </cell>
          <cell r="AB867" t="str">
            <v>70000797</v>
          </cell>
          <cell r="AC867">
            <v>1</v>
          </cell>
          <cell r="AD867" t="str">
            <v/>
          </cell>
          <cell r="AE867">
            <v>0</v>
          </cell>
          <cell r="AF867" t="str">
            <v/>
          </cell>
          <cell r="AG867" t="str">
            <v>70000797</v>
          </cell>
          <cell r="AH867">
            <v>44916.117673611108</v>
          </cell>
          <cell r="AI867" t="str">
            <v>N52</v>
          </cell>
          <cell r="AJ867" t="str">
            <v>F</v>
          </cell>
          <cell r="AK867" t="str">
            <v>--</v>
          </cell>
        </row>
        <row r="868">
          <cell r="A868" t="str">
            <v>70002104828521</v>
          </cell>
          <cell r="B868" t="str">
            <v>BL20230406-1</v>
          </cell>
          <cell r="C868" t="e">
            <v>#N/A</v>
          </cell>
          <cell r="D868" t="str">
            <v>EK65</v>
          </cell>
          <cell r="E868" t="str">
            <v>686989</v>
          </cell>
          <cell r="F868" t="str">
            <v>E</v>
          </cell>
          <cell r="G868" t="str">
            <v>70002104</v>
          </cell>
          <cell r="H868" t="str">
            <v>RIVET TIE RODS, 40, 550</v>
          </cell>
          <cell r="I868">
            <v>225</v>
          </cell>
          <cell r="J868" t="str">
            <v>Stk</v>
          </cell>
          <cell r="K868">
            <v>45063</v>
          </cell>
          <cell r="L868" t="str">
            <v>828521</v>
          </cell>
          <cell r="M868" t="str">
            <v/>
          </cell>
          <cell r="N868" t="str">
            <v/>
          </cell>
          <cell r="O868" t="str">
            <v/>
          </cell>
          <cell r="P868" t="str">
            <v/>
          </cell>
          <cell r="Q868" t="str">
            <v/>
          </cell>
          <cell r="R868" t="str">
            <v/>
          </cell>
          <cell r="S868" t="str">
            <v/>
          </cell>
          <cell r="T868" t="str">
            <v/>
          </cell>
          <cell r="U868" t="str">
            <v>BB00613011000</v>
          </cell>
          <cell r="V868" t="str">
            <v>E19</v>
          </cell>
          <cell r="W868" t="str">
            <v/>
          </cell>
          <cell r="X868" t="str">
            <v/>
          </cell>
          <cell r="Y868" t="str">
            <v/>
          </cell>
          <cell r="Z868" t="str">
            <v/>
          </cell>
          <cell r="AA868" t="str">
            <v/>
          </cell>
          <cell r="AB868" t="str">
            <v>70002104</v>
          </cell>
          <cell r="AC868">
            <v>1</v>
          </cell>
          <cell r="AD868" t="str">
            <v/>
          </cell>
          <cell r="AE868">
            <v>0</v>
          </cell>
          <cell r="AF868" t="str">
            <v/>
          </cell>
          <cell r="AG868" t="str">
            <v>70002104</v>
          </cell>
          <cell r="AH868">
            <v>44916.134432870371</v>
          </cell>
          <cell r="AI868" t="str">
            <v>E19</v>
          </cell>
          <cell r="AJ868" t="str">
            <v>F</v>
          </cell>
          <cell r="AK868" t="str">
            <v>B0</v>
          </cell>
        </row>
        <row r="869">
          <cell r="A869" t="str">
            <v>70002458828521</v>
          </cell>
          <cell r="B869" t="str">
            <v>BL20230406-1</v>
          </cell>
          <cell r="C869" t="e">
            <v>#N/A</v>
          </cell>
          <cell r="D869" t="str">
            <v>EK65</v>
          </cell>
          <cell r="E869" t="str">
            <v>687022</v>
          </cell>
          <cell r="F869" t="str">
            <v>E</v>
          </cell>
          <cell r="G869" t="str">
            <v>70002458</v>
          </cell>
          <cell r="H869" t="str">
            <v>SLEEVE</v>
          </cell>
          <cell r="I869">
            <v>1980</v>
          </cell>
          <cell r="J869" t="str">
            <v>Stk</v>
          </cell>
          <cell r="K869">
            <v>45063</v>
          </cell>
          <cell r="L869" t="str">
            <v>828521</v>
          </cell>
          <cell r="M869" t="str">
            <v/>
          </cell>
          <cell r="N869" t="str">
            <v/>
          </cell>
          <cell r="O869" t="str">
            <v/>
          </cell>
          <cell r="P869" t="str">
            <v/>
          </cell>
          <cell r="Q869" t="str">
            <v/>
          </cell>
          <cell r="R869" t="str">
            <v/>
          </cell>
          <cell r="S869" t="str">
            <v/>
          </cell>
          <cell r="T869" t="str">
            <v/>
          </cell>
          <cell r="U869" t="str">
            <v>BB20044910001</v>
          </cell>
          <cell r="V869" t="str">
            <v>N52</v>
          </cell>
          <cell r="W869" t="str">
            <v/>
          </cell>
          <cell r="X869" t="str">
            <v/>
          </cell>
          <cell r="Y869" t="str">
            <v/>
          </cell>
          <cell r="Z869" t="str">
            <v/>
          </cell>
          <cell r="AA869" t="str">
            <v/>
          </cell>
          <cell r="AB869" t="str">
            <v>70002458</v>
          </cell>
          <cell r="AC869">
            <v>1</v>
          </cell>
          <cell r="AD869" t="str">
            <v/>
          </cell>
          <cell r="AE869">
            <v>0</v>
          </cell>
          <cell r="AF869" t="str">
            <v/>
          </cell>
          <cell r="AG869" t="str">
            <v>70002458</v>
          </cell>
          <cell r="AH869">
            <v>44916.135972222219</v>
          </cell>
          <cell r="AI869" t="str">
            <v>N52</v>
          </cell>
          <cell r="AJ869" t="str">
            <v>F</v>
          </cell>
          <cell r="AK869" t="str">
            <v>--</v>
          </cell>
        </row>
        <row r="870">
          <cell r="A870" t="str">
            <v>70002459828521</v>
          </cell>
          <cell r="B870" t="str">
            <v>BL20230406-1</v>
          </cell>
          <cell r="C870" t="e">
            <v>#N/A</v>
          </cell>
          <cell r="D870" t="str">
            <v>EK65</v>
          </cell>
          <cell r="E870" t="str">
            <v>687023</v>
          </cell>
          <cell r="F870" t="str">
            <v>E</v>
          </cell>
          <cell r="G870" t="str">
            <v>70002459</v>
          </cell>
          <cell r="H870" t="str">
            <v>BLOCK</v>
          </cell>
          <cell r="I870">
            <v>180</v>
          </cell>
          <cell r="J870" t="str">
            <v>Stk</v>
          </cell>
          <cell r="K870">
            <v>45063</v>
          </cell>
          <cell r="L870" t="str">
            <v>828521</v>
          </cell>
          <cell r="M870" t="str">
            <v/>
          </cell>
          <cell r="N870" t="str">
            <v/>
          </cell>
          <cell r="O870" t="str">
            <v/>
          </cell>
          <cell r="P870" t="str">
            <v/>
          </cell>
          <cell r="Q870" t="str">
            <v/>
          </cell>
          <cell r="R870" t="str">
            <v/>
          </cell>
          <cell r="S870" t="str">
            <v/>
          </cell>
          <cell r="T870" t="str">
            <v/>
          </cell>
          <cell r="U870" t="str">
            <v>BB20044910002</v>
          </cell>
          <cell r="V870" t="str">
            <v>N52</v>
          </cell>
          <cell r="W870" t="str">
            <v/>
          </cell>
          <cell r="X870" t="str">
            <v/>
          </cell>
          <cell r="Y870" t="str">
            <v/>
          </cell>
          <cell r="Z870" t="str">
            <v/>
          </cell>
          <cell r="AA870" t="str">
            <v/>
          </cell>
          <cell r="AB870" t="str">
            <v>70002459</v>
          </cell>
          <cell r="AC870">
            <v>1</v>
          </cell>
          <cell r="AD870" t="str">
            <v/>
          </cell>
          <cell r="AE870">
            <v>0</v>
          </cell>
          <cell r="AF870" t="str">
            <v/>
          </cell>
          <cell r="AG870" t="str">
            <v>70002459</v>
          </cell>
          <cell r="AH870">
            <v>44916.135983796295</v>
          </cell>
          <cell r="AI870" t="str">
            <v>N52</v>
          </cell>
          <cell r="AJ870" t="str">
            <v>F</v>
          </cell>
          <cell r="AK870" t="str">
            <v>--</v>
          </cell>
        </row>
        <row r="871">
          <cell r="A871" t="str">
            <v>70002488828521</v>
          </cell>
          <cell r="B871" t="str">
            <v>BL20230406-1</v>
          </cell>
          <cell r="C871" t="e">
            <v>#N/A</v>
          </cell>
          <cell r="D871" t="str">
            <v>EK65</v>
          </cell>
          <cell r="E871" t="str">
            <v>687049</v>
          </cell>
          <cell r="F871" t="str">
            <v>E</v>
          </cell>
          <cell r="G871" t="str">
            <v>70002488</v>
          </cell>
          <cell r="H871" t="str">
            <v>WIREWAY SET</v>
          </cell>
          <cell r="I871">
            <v>90</v>
          </cell>
          <cell r="J871" t="str">
            <v>Stk</v>
          </cell>
          <cell r="K871">
            <v>45063</v>
          </cell>
          <cell r="L871" t="str">
            <v>828521</v>
          </cell>
          <cell r="M871" t="str">
            <v/>
          </cell>
          <cell r="N871" t="str">
            <v/>
          </cell>
          <cell r="O871" t="str">
            <v/>
          </cell>
          <cell r="P871" t="str">
            <v/>
          </cell>
          <cell r="Q871" t="str">
            <v/>
          </cell>
          <cell r="R871" t="str">
            <v/>
          </cell>
          <cell r="S871" t="str">
            <v/>
          </cell>
          <cell r="T871" t="str">
            <v/>
          </cell>
          <cell r="U871" t="str">
            <v>BB20053010400</v>
          </cell>
          <cell r="V871" t="str">
            <v>E19</v>
          </cell>
          <cell r="W871" t="str">
            <v/>
          </cell>
          <cell r="X871" t="str">
            <v/>
          </cell>
          <cell r="Y871" t="str">
            <v/>
          </cell>
          <cell r="Z871" t="str">
            <v/>
          </cell>
          <cell r="AA871" t="str">
            <v/>
          </cell>
          <cell r="AB871" t="str">
            <v>70002488</v>
          </cell>
          <cell r="AC871">
            <v>1</v>
          </cell>
          <cell r="AD871" t="str">
            <v/>
          </cell>
          <cell r="AE871">
            <v>0</v>
          </cell>
          <cell r="AF871" t="str">
            <v/>
          </cell>
          <cell r="AG871" t="str">
            <v>70002488</v>
          </cell>
          <cell r="AH871">
            <v>44916.136469907404</v>
          </cell>
          <cell r="AI871" t="str">
            <v>E19</v>
          </cell>
          <cell r="AJ871" t="str">
            <v>F</v>
          </cell>
          <cell r="AK871" t="str">
            <v>--</v>
          </cell>
        </row>
        <row r="872">
          <cell r="A872" t="str">
            <v>70002489828521</v>
          </cell>
          <cell r="B872" t="str">
            <v>BL20230406-1</v>
          </cell>
          <cell r="C872" t="e">
            <v>#N/A</v>
          </cell>
          <cell r="D872" t="str">
            <v>EK65</v>
          </cell>
          <cell r="E872" t="str">
            <v>687050</v>
          </cell>
          <cell r="F872" t="str">
            <v>E</v>
          </cell>
          <cell r="G872" t="str">
            <v>70002489</v>
          </cell>
          <cell r="H872" t="str">
            <v>WIRETRAY SET</v>
          </cell>
          <cell r="I872">
            <v>90</v>
          </cell>
          <cell r="J872" t="str">
            <v>Stk</v>
          </cell>
          <cell r="K872">
            <v>45063</v>
          </cell>
          <cell r="L872" t="str">
            <v>828521</v>
          </cell>
          <cell r="M872" t="str">
            <v/>
          </cell>
          <cell r="N872" t="str">
            <v/>
          </cell>
          <cell r="O872" t="str">
            <v/>
          </cell>
          <cell r="P872" t="str">
            <v/>
          </cell>
          <cell r="Q872" t="str">
            <v/>
          </cell>
          <cell r="R872" t="str">
            <v/>
          </cell>
          <cell r="S872" t="str">
            <v/>
          </cell>
          <cell r="T872" t="str">
            <v/>
          </cell>
          <cell r="U872" t="str">
            <v>BB20053010500</v>
          </cell>
          <cell r="V872" t="str">
            <v>E19</v>
          </cell>
          <cell r="W872" t="str">
            <v/>
          </cell>
          <cell r="X872" t="str">
            <v/>
          </cell>
          <cell r="Y872" t="str">
            <v/>
          </cell>
          <cell r="Z872" t="str">
            <v/>
          </cell>
          <cell r="AA872" t="str">
            <v/>
          </cell>
          <cell r="AB872" t="str">
            <v>70002489</v>
          </cell>
          <cell r="AC872">
            <v>1</v>
          </cell>
          <cell r="AD872" t="str">
            <v/>
          </cell>
          <cell r="AE872">
            <v>0</v>
          </cell>
          <cell r="AF872" t="str">
            <v/>
          </cell>
          <cell r="AG872" t="str">
            <v>70002489</v>
          </cell>
          <cell r="AH872">
            <v>44916.136481481481</v>
          </cell>
          <cell r="AI872" t="str">
            <v>E19</v>
          </cell>
          <cell r="AJ872" t="str">
            <v>F</v>
          </cell>
          <cell r="AK872" t="str">
            <v>--</v>
          </cell>
        </row>
        <row r="873">
          <cell r="A873" t="str">
            <v>70002490828521</v>
          </cell>
          <cell r="B873" t="str">
            <v>BL20230406-1</v>
          </cell>
          <cell r="C873" t="e">
            <v>#N/A</v>
          </cell>
          <cell r="D873" t="str">
            <v>EK65</v>
          </cell>
          <cell r="E873" t="str">
            <v>687051</v>
          </cell>
          <cell r="F873" t="str">
            <v>E</v>
          </cell>
          <cell r="G873" t="str">
            <v>70002490</v>
          </cell>
          <cell r="H873" t="str">
            <v>WIREWAY SET</v>
          </cell>
          <cell r="I873">
            <v>90</v>
          </cell>
          <cell r="J873" t="str">
            <v>Stk</v>
          </cell>
          <cell r="K873">
            <v>45063</v>
          </cell>
          <cell r="L873" t="str">
            <v>828521</v>
          </cell>
          <cell r="M873" t="str">
            <v/>
          </cell>
          <cell r="N873" t="str">
            <v/>
          </cell>
          <cell r="O873" t="str">
            <v/>
          </cell>
          <cell r="P873" t="str">
            <v/>
          </cell>
          <cell r="Q873" t="str">
            <v/>
          </cell>
          <cell r="R873" t="str">
            <v/>
          </cell>
          <cell r="S873" t="str">
            <v/>
          </cell>
          <cell r="T873" t="str">
            <v/>
          </cell>
          <cell r="U873" t="str">
            <v>BB20053010600</v>
          </cell>
          <cell r="V873" t="str">
            <v>E19</v>
          </cell>
          <cell r="W873" t="str">
            <v/>
          </cell>
          <cell r="X873" t="str">
            <v/>
          </cell>
          <cell r="Y873" t="str">
            <v/>
          </cell>
          <cell r="Z873" t="str">
            <v/>
          </cell>
          <cell r="AA873" t="str">
            <v/>
          </cell>
          <cell r="AB873" t="str">
            <v>70002490</v>
          </cell>
          <cell r="AC873">
            <v>1</v>
          </cell>
          <cell r="AD873" t="str">
            <v/>
          </cell>
          <cell r="AE873">
            <v>0</v>
          </cell>
          <cell r="AF873" t="str">
            <v/>
          </cell>
          <cell r="AG873" t="str">
            <v>70002490</v>
          </cell>
          <cell r="AH873">
            <v>44916.136504629627</v>
          </cell>
          <cell r="AI873" t="str">
            <v>E19</v>
          </cell>
          <cell r="AJ873" t="str">
            <v>F</v>
          </cell>
          <cell r="AK873" t="str">
            <v>--</v>
          </cell>
        </row>
        <row r="874">
          <cell r="A874" t="str">
            <v>70002491828521</v>
          </cell>
          <cell r="B874" t="str">
            <v>BL20230406-1</v>
          </cell>
          <cell r="C874" t="e">
            <v>#N/A</v>
          </cell>
          <cell r="D874" t="str">
            <v>EK65</v>
          </cell>
          <cell r="E874" t="str">
            <v>687052</v>
          </cell>
          <cell r="F874" t="str">
            <v>E</v>
          </cell>
          <cell r="G874" t="str">
            <v>70002491</v>
          </cell>
          <cell r="H874" t="str">
            <v>WIRETRAY SET</v>
          </cell>
          <cell r="I874">
            <v>90</v>
          </cell>
          <cell r="J874" t="str">
            <v>Stk</v>
          </cell>
          <cell r="K874">
            <v>45063</v>
          </cell>
          <cell r="L874" t="str">
            <v>828521</v>
          </cell>
          <cell r="M874" t="str">
            <v/>
          </cell>
          <cell r="N874" t="str">
            <v/>
          </cell>
          <cell r="O874" t="str">
            <v/>
          </cell>
          <cell r="P874" t="str">
            <v/>
          </cell>
          <cell r="Q874" t="str">
            <v/>
          </cell>
          <cell r="R874" t="str">
            <v/>
          </cell>
          <cell r="S874" t="str">
            <v/>
          </cell>
          <cell r="T874" t="str">
            <v/>
          </cell>
          <cell r="U874" t="str">
            <v>BB20053010700</v>
          </cell>
          <cell r="V874" t="str">
            <v>E19</v>
          </cell>
          <cell r="W874" t="str">
            <v/>
          </cell>
          <cell r="X874" t="str">
            <v/>
          </cell>
          <cell r="Y874" t="str">
            <v/>
          </cell>
          <cell r="Z874" t="str">
            <v/>
          </cell>
          <cell r="AA874" t="str">
            <v/>
          </cell>
          <cell r="AB874" t="str">
            <v>70002491</v>
          </cell>
          <cell r="AC874">
            <v>1</v>
          </cell>
          <cell r="AD874" t="str">
            <v/>
          </cell>
          <cell r="AE874">
            <v>0</v>
          </cell>
          <cell r="AF874" t="str">
            <v/>
          </cell>
          <cell r="AG874" t="str">
            <v>70002491</v>
          </cell>
          <cell r="AH874">
            <v>44916.136516203704</v>
          </cell>
          <cell r="AI874" t="str">
            <v>E19</v>
          </cell>
          <cell r="AJ874" t="str">
            <v>F</v>
          </cell>
          <cell r="AK874" t="str">
            <v>A0</v>
          </cell>
        </row>
        <row r="875">
          <cell r="A875" t="str">
            <v>70002493828521</v>
          </cell>
          <cell r="B875" t="str">
            <v>BL20230406-1</v>
          </cell>
          <cell r="C875" t="e">
            <v>#N/A</v>
          </cell>
          <cell r="D875" t="str">
            <v>EK65</v>
          </cell>
          <cell r="E875" t="str">
            <v>687054</v>
          </cell>
          <cell r="F875" t="str">
            <v>E</v>
          </cell>
          <cell r="G875" t="str">
            <v>70002493</v>
          </cell>
          <cell r="H875" t="str">
            <v>WIRETRAY SET</v>
          </cell>
          <cell r="I875">
            <v>90</v>
          </cell>
          <cell r="J875" t="str">
            <v>Stk</v>
          </cell>
          <cell r="K875">
            <v>45063</v>
          </cell>
          <cell r="L875" t="str">
            <v>828521</v>
          </cell>
          <cell r="M875" t="str">
            <v/>
          </cell>
          <cell r="N875" t="str">
            <v/>
          </cell>
          <cell r="O875" t="str">
            <v/>
          </cell>
          <cell r="P875" t="str">
            <v/>
          </cell>
          <cell r="Q875" t="str">
            <v/>
          </cell>
          <cell r="R875" t="str">
            <v/>
          </cell>
          <cell r="S875" t="str">
            <v/>
          </cell>
          <cell r="T875" t="str">
            <v/>
          </cell>
          <cell r="U875" t="str">
            <v>BB20053010900</v>
          </cell>
          <cell r="V875" t="str">
            <v>E19</v>
          </cell>
          <cell r="W875" t="str">
            <v/>
          </cell>
          <cell r="X875" t="str">
            <v/>
          </cell>
          <cell r="Y875" t="str">
            <v/>
          </cell>
          <cell r="Z875" t="str">
            <v/>
          </cell>
          <cell r="AA875" t="str">
            <v/>
          </cell>
          <cell r="AB875" t="str">
            <v>70002493</v>
          </cell>
          <cell r="AC875">
            <v>1</v>
          </cell>
          <cell r="AD875" t="str">
            <v/>
          </cell>
          <cell r="AE875">
            <v>0</v>
          </cell>
          <cell r="AF875" t="str">
            <v/>
          </cell>
          <cell r="AG875" t="str">
            <v>70002493</v>
          </cell>
          <cell r="AH875">
            <v>44916.136550925927</v>
          </cell>
          <cell r="AI875" t="str">
            <v>E19</v>
          </cell>
          <cell r="AJ875" t="str">
            <v>F</v>
          </cell>
          <cell r="AK875" t="str">
            <v>--</v>
          </cell>
        </row>
        <row r="876">
          <cell r="A876" t="str">
            <v>70002495828521</v>
          </cell>
          <cell r="B876" t="str">
            <v>BL20230406-1</v>
          </cell>
          <cell r="C876" t="e">
            <v>#N/A</v>
          </cell>
          <cell r="D876" t="str">
            <v>EK65</v>
          </cell>
          <cell r="E876" t="str">
            <v>687056</v>
          </cell>
          <cell r="F876" t="str">
            <v>E</v>
          </cell>
          <cell r="G876" t="str">
            <v>70002495</v>
          </cell>
          <cell r="H876" t="str">
            <v>PERFORATED TRAY</v>
          </cell>
          <cell r="I876">
            <v>90</v>
          </cell>
          <cell r="J876" t="str">
            <v>Stk</v>
          </cell>
          <cell r="K876">
            <v>45063</v>
          </cell>
          <cell r="L876" t="str">
            <v>828521</v>
          </cell>
          <cell r="M876" t="str">
            <v/>
          </cell>
          <cell r="N876" t="str">
            <v/>
          </cell>
          <cell r="O876" t="str">
            <v/>
          </cell>
          <cell r="P876" t="str">
            <v/>
          </cell>
          <cell r="Q876" t="str">
            <v/>
          </cell>
          <cell r="R876" t="str">
            <v/>
          </cell>
          <cell r="S876" t="str">
            <v/>
          </cell>
          <cell r="T876" t="str">
            <v/>
          </cell>
          <cell r="U876" t="str">
            <v>BB20053010001</v>
          </cell>
          <cell r="V876" t="str">
            <v>E19</v>
          </cell>
          <cell r="W876" t="str">
            <v/>
          </cell>
          <cell r="X876" t="str">
            <v/>
          </cell>
          <cell r="Y876" t="str">
            <v/>
          </cell>
          <cell r="Z876" t="str">
            <v/>
          </cell>
          <cell r="AA876" t="str">
            <v/>
          </cell>
          <cell r="AB876" t="str">
            <v>70002495</v>
          </cell>
          <cell r="AC876">
            <v>1</v>
          </cell>
          <cell r="AD876" t="str">
            <v/>
          </cell>
          <cell r="AE876">
            <v>0</v>
          </cell>
          <cell r="AF876" t="str">
            <v/>
          </cell>
          <cell r="AG876" t="str">
            <v>70002495</v>
          </cell>
          <cell r="AH876">
            <v>44916.13658564815</v>
          </cell>
          <cell r="AI876" t="str">
            <v>E19</v>
          </cell>
          <cell r="AJ876" t="str">
            <v>F</v>
          </cell>
          <cell r="AK876" t="str">
            <v>--</v>
          </cell>
        </row>
        <row r="877">
          <cell r="A877" t="str">
            <v>70002496828521</v>
          </cell>
          <cell r="B877" t="str">
            <v>BL20230406-1</v>
          </cell>
          <cell r="C877" t="e">
            <v>#N/A</v>
          </cell>
          <cell r="D877" t="str">
            <v>EK65</v>
          </cell>
          <cell r="E877" t="str">
            <v>687057</v>
          </cell>
          <cell r="F877" t="str">
            <v>E</v>
          </cell>
          <cell r="G877" t="str">
            <v>70002496</v>
          </cell>
          <cell r="H877" t="str">
            <v>PERFORATED TRAY</v>
          </cell>
          <cell r="I877">
            <v>180</v>
          </cell>
          <cell r="J877" t="str">
            <v>Stk</v>
          </cell>
          <cell r="K877">
            <v>45063</v>
          </cell>
          <cell r="L877" t="str">
            <v>828521</v>
          </cell>
          <cell r="M877" t="str">
            <v/>
          </cell>
          <cell r="N877" t="str">
            <v/>
          </cell>
          <cell r="O877" t="str">
            <v/>
          </cell>
          <cell r="P877" t="str">
            <v/>
          </cell>
          <cell r="Q877" t="str">
            <v/>
          </cell>
          <cell r="R877" t="str">
            <v/>
          </cell>
          <cell r="S877" t="str">
            <v/>
          </cell>
          <cell r="T877" t="str">
            <v/>
          </cell>
          <cell r="U877" t="str">
            <v>BB20053010002</v>
          </cell>
          <cell r="V877" t="str">
            <v>E19</v>
          </cell>
          <cell r="W877" t="str">
            <v/>
          </cell>
          <cell r="X877" t="str">
            <v/>
          </cell>
          <cell r="Y877" t="str">
            <v/>
          </cell>
          <cell r="Z877" t="str">
            <v/>
          </cell>
          <cell r="AA877" t="str">
            <v/>
          </cell>
          <cell r="AB877" t="str">
            <v>70002496</v>
          </cell>
          <cell r="AC877">
            <v>1</v>
          </cell>
          <cell r="AD877" t="str">
            <v/>
          </cell>
          <cell r="AE877">
            <v>0</v>
          </cell>
          <cell r="AF877" t="str">
            <v/>
          </cell>
          <cell r="AG877" t="str">
            <v>70002496</v>
          </cell>
          <cell r="AH877">
            <v>44916.136597222219</v>
          </cell>
          <cell r="AI877" t="str">
            <v>E19</v>
          </cell>
          <cell r="AJ877" t="str">
            <v>F</v>
          </cell>
          <cell r="AK877" t="str">
            <v>--</v>
          </cell>
        </row>
        <row r="878">
          <cell r="A878" t="str">
            <v>70000105828521</v>
          </cell>
          <cell r="B878" t="str">
            <v>BL20230406-1</v>
          </cell>
          <cell r="C878" t="e">
            <v>#N/A</v>
          </cell>
          <cell r="D878" t="str">
            <v>EK65</v>
          </cell>
          <cell r="E878" t="str">
            <v>699188</v>
          </cell>
          <cell r="F878" t="str">
            <v>E</v>
          </cell>
          <cell r="G878" t="str">
            <v>70000105</v>
          </cell>
          <cell r="H878" t="str">
            <v>CAGED NUT M6</v>
          </cell>
          <cell r="I878">
            <v>8640</v>
          </cell>
          <cell r="J878" t="str">
            <v>Stk</v>
          </cell>
          <cell r="K878">
            <v>45063</v>
          </cell>
          <cell r="L878" t="str">
            <v>828521</v>
          </cell>
          <cell r="M878" t="str">
            <v/>
          </cell>
          <cell r="N878" t="str">
            <v/>
          </cell>
          <cell r="O878" t="str">
            <v/>
          </cell>
          <cell r="P878" t="str">
            <v/>
          </cell>
          <cell r="Q878" t="str">
            <v/>
          </cell>
          <cell r="R878" t="str">
            <v/>
          </cell>
          <cell r="S878" t="str">
            <v/>
          </cell>
          <cell r="T878" t="str">
            <v/>
          </cell>
          <cell r="U878" t="str">
            <v>BB13649430400</v>
          </cell>
          <cell r="V878" t="str">
            <v>N32</v>
          </cell>
          <cell r="W878" t="str">
            <v/>
          </cell>
          <cell r="X878" t="str">
            <v/>
          </cell>
          <cell r="Y878" t="str">
            <v/>
          </cell>
          <cell r="Z878" t="str">
            <v/>
          </cell>
          <cell r="AA878" t="str">
            <v/>
          </cell>
          <cell r="AB878" t="str">
            <v>70000105</v>
          </cell>
          <cell r="AC878">
            <v>1</v>
          </cell>
          <cell r="AD878" t="str">
            <v/>
          </cell>
          <cell r="AE878">
            <v>0</v>
          </cell>
          <cell r="AF878" t="str">
            <v/>
          </cell>
          <cell r="AG878" t="str">
            <v>70000105</v>
          </cell>
          <cell r="AH878">
            <v>44943.922777777778</v>
          </cell>
          <cell r="AI878" t="str">
            <v>N32</v>
          </cell>
          <cell r="AJ878" t="str">
            <v>F</v>
          </cell>
          <cell r="AK878" t="str">
            <v>--</v>
          </cell>
        </row>
        <row r="879">
          <cell r="A879" t="str">
            <v>70000941828521</v>
          </cell>
          <cell r="B879" t="str">
            <v>BL20230406-1</v>
          </cell>
          <cell r="C879" t="e">
            <v>#N/A</v>
          </cell>
          <cell r="D879" t="str">
            <v>EK65</v>
          </cell>
          <cell r="E879" t="str">
            <v>700222</v>
          </cell>
          <cell r="F879" t="str">
            <v>E</v>
          </cell>
          <cell r="G879" t="str">
            <v>70000941</v>
          </cell>
          <cell r="H879" t="str">
            <v>SUPPORT ASSEMBLY</v>
          </cell>
          <cell r="I879">
            <v>90</v>
          </cell>
          <cell r="J879" t="str">
            <v>Stk</v>
          </cell>
          <cell r="K879">
            <v>45063</v>
          </cell>
          <cell r="L879" t="str">
            <v>828521</v>
          </cell>
          <cell r="M879" t="str">
            <v/>
          </cell>
          <cell r="N879" t="str">
            <v/>
          </cell>
          <cell r="O879" t="str">
            <v/>
          </cell>
          <cell r="P879" t="str">
            <v/>
          </cell>
          <cell r="Q879" t="str">
            <v/>
          </cell>
          <cell r="R879" t="str">
            <v/>
          </cell>
          <cell r="S879" t="str">
            <v/>
          </cell>
          <cell r="T879" t="str">
            <v/>
          </cell>
          <cell r="U879" t="str">
            <v>BB20055032400</v>
          </cell>
          <cell r="V879" t="str">
            <v>I24</v>
          </cell>
          <cell r="W879" t="str">
            <v/>
          </cell>
          <cell r="X879" t="str">
            <v/>
          </cell>
          <cell r="Y879" t="str">
            <v/>
          </cell>
          <cell r="Z879" t="str">
            <v/>
          </cell>
          <cell r="AA879" t="str">
            <v/>
          </cell>
          <cell r="AB879" t="str">
            <v>70000941</v>
          </cell>
          <cell r="AC879">
            <v>1</v>
          </cell>
          <cell r="AD879" t="str">
            <v/>
          </cell>
          <cell r="AE879">
            <v>0</v>
          </cell>
          <cell r="AF879" t="str">
            <v/>
          </cell>
          <cell r="AG879" t="str">
            <v>70000941</v>
          </cell>
          <cell r="AH879">
            <v>44944.937476851854</v>
          </cell>
          <cell r="AI879" t="str">
            <v>I24</v>
          </cell>
          <cell r="AJ879" t="str">
            <v>F</v>
          </cell>
          <cell r="AK879" t="str">
            <v>--</v>
          </cell>
        </row>
        <row r="880">
          <cell r="A880" t="str">
            <v>70000942828521</v>
          </cell>
          <cell r="B880" t="str">
            <v>BL20230406-1</v>
          </cell>
          <cell r="C880" t="e">
            <v>#N/A</v>
          </cell>
          <cell r="D880" t="str">
            <v>EK65</v>
          </cell>
          <cell r="E880" t="str">
            <v>700223</v>
          </cell>
          <cell r="F880" t="str">
            <v>E</v>
          </cell>
          <cell r="G880" t="str">
            <v>70000942</v>
          </cell>
          <cell r="H880" t="str">
            <v>SUPPORT ASSEMBLY</v>
          </cell>
          <cell r="I880">
            <v>90</v>
          </cell>
          <cell r="J880" t="str">
            <v>Stk</v>
          </cell>
          <cell r="K880">
            <v>45063</v>
          </cell>
          <cell r="L880" t="str">
            <v>828521</v>
          </cell>
          <cell r="M880" t="str">
            <v/>
          </cell>
          <cell r="N880" t="str">
            <v/>
          </cell>
          <cell r="O880" t="str">
            <v/>
          </cell>
          <cell r="P880" t="str">
            <v/>
          </cell>
          <cell r="Q880" t="str">
            <v/>
          </cell>
          <cell r="R880" t="str">
            <v/>
          </cell>
          <cell r="S880" t="str">
            <v/>
          </cell>
          <cell r="T880" t="str">
            <v/>
          </cell>
          <cell r="U880" t="str">
            <v>BB20055032500</v>
          </cell>
          <cell r="V880" t="str">
            <v>I24</v>
          </cell>
          <cell r="W880" t="str">
            <v/>
          </cell>
          <cell r="X880" t="str">
            <v/>
          </cell>
          <cell r="Y880" t="str">
            <v/>
          </cell>
          <cell r="Z880" t="str">
            <v/>
          </cell>
          <cell r="AA880" t="str">
            <v/>
          </cell>
          <cell r="AB880" t="str">
            <v>70000942</v>
          </cell>
          <cell r="AC880">
            <v>1</v>
          </cell>
          <cell r="AD880" t="str">
            <v/>
          </cell>
          <cell r="AE880">
            <v>0</v>
          </cell>
          <cell r="AF880" t="str">
            <v/>
          </cell>
          <cell r="AG880" t="str">
            <v>70000942</v>
          </cell>
          <cell r="AH880">
            <v>44944.937488425923</v>
          </cell>
          <cell r="AI880" t="str">
            <v>I24</v>
          </cell>
          <cell r="AJ880" t="str">
            <v>F</v>
          </cell>
          <cell r="AK880" t="str">
            <v>--</v>
          </cell>
        </row>
        <row r="881">
          <cell r="A881" t="str">
            <v>70000950828521</v>
          </cell>
          <cell r="B881" t="str">
            <v>BL20230406-1</v>
          </cell>
          <cell r="C881" t="e">
            <v>#N/A</v>
          </cell>
          <cell r="D881" t="str">
            <v>EK65</v>
          </cell>
          <cell r="E881" t="str">
            <v>700224</v>
          </cell>
          <cell r="F881" t="str">
            <v>E</v>
          </cell>
          <cell r="G881" t="str">
            <v>70000950</v>
          </cell>
          <cell r="H881" t="str">
            <v>TRAY ASSEMBLY</v>
          </cell>
          <cell r="I881">
            <v>45</v>
          </cell>
          <cell r="J881" t="str">
            <v>Stk</v>
          </cell>
          <cell r="K881">
            <v>45063</v>
          </cell>
          <cell r="L881" t="str">
            <v>828521</v>
          </cell>
          <cell r="M881" t="str">
            <v/>
          </cell>
          <cell r="N881" t="str">
            <v/>
          </cell>
          <cell r="O881" t="str">
            <v/>
          </cell>
          <cell r="P881" t="str">
            <v/>
          </cell>
          <cell r="Q881" t="str">
            <v/>
          </cell>
          <cell r="R881" t="str">
            <v/>
          </cell>
          <cell r="S881" t="str">
            <v/>
          </cell>
          <cell r="T881" t="str">
            <v/>
          </cell>
          <cell r="U881" t="str">
            <v>BB20055032800</v>
          </cell>
          <cell r="V881" t="str">
            <v>I24</v>
          </cell>
          <cell r="W881" t="str">
            <v/>
          </cell>
          <cell r="X881" t="str">
            <v/>
          </cell>
          <cell r="Y881" t="str">
            <v/>
          </cell>
          <cell r="Z881" t="str">
            <v/>
          </cell>
          <cell r="AA881" t="str">
            <v/>
          </cell>
          <cell r="AB881" t="str">
            <v>70000950</v>
          </cell>
          <cell r="AC881">
            <v>1</v>
          </cell>
          <cell r="AD881" t="str">
            <v/>
          </cell>
          <cell r="AE881">
            <v>0</v>
          </cell>
          <cell r="AF881" t="str">
            <v/>
          </cell>
          <cell r="AG881" t="str">
            <v>70000950</v>
          </cell>
          <cell r="AH881">
            <v>44944.937488425923</v>
          </cell>
          <cell r="AI881" t="str">
            <v>I24</v>
          </cell>
          <cell r="AJ881" t="str">
            <v>F</v>
          </cell>
          <cell r="AK881" t="str">
            <v>--</v>
          </cell>
        </row>
        <row r="882">
          <cell r="A882" t="str">
            <v>70000951828521</v>
          </cell>
          <cell r="B882" t="str">
            <v>BL20230406-1</v>
          </cell>
          <cell r="C882" t="e">
            <v>#N/A</v>
          </cell>
          <cell r="D882" t="str">
            <v>EK65</v>
          </cell>
          <cell r="E882" t="str">
            <v>700225</v>
          </cell>
          <cell r="F882" t="str">
            <v>E</v>
          </cell>
          <cell r="G882" t="str">
            <v>70000951</v>
          </cell>
          <cell r="H882" t="str">
            <v>TRAY ASSEMBLY</v>
          </cell>
          <cell r="I882">
            <v>90</v>
          </cell>
          <cell r="J882" t="str">
            <v>Stk</v>
          </cell>
          <cell r="K882">
            <v>45063</v>
          </cell>
          <cell r="L882" t="str">
            <v>828521</v>
          </cell>
          <cell r="M882" t="str">
            <v/>
          </cell>
          <cell r="N882" t="str">
            <v/>
          </cell>
          <cell r="O882" t="str">
            <v/>
          </cell>
          <cell r="P882" t="str">
            <v/>
          </cell>
          <cell r="Q882" t="str">
            <v/>
          </cell>
          <cell r="R882" t="str">
            <v/>
          </cell>
          <cell r="S882" t="str">
            <v/>
          </cell>
          <cell r="T882" t="str">
            <v/>
          </cell>
          <cell r="U882" t="str">
            <v>BB20055032900</v>
          </cell>
          <cell r="V882" t="str">
            <v>I24</v>
          </cell>
          <cell r="W882" t="str">
            <v/>
          </cell>
          <cell r="X882" t="str">
            <v/>
          </cell>
          <cell r="Y882" t="str">
            <v/>
          </cell>
          <cell r="Z882" t="str">
            <v/>
          </cell>
          <cell r="AA882" t="str">
            <v/>
          </cell>
          <cell r="AB882" t="str">
            <v>70000951</v>
          </cell>
          <cell r="AC882">
            <v>1</v>
          </cell>
          <cell r="AD882" t="str">
            <v/>
          </cell>
          <cell r="AE882">
            <v>0</v>
          </cell>
          <cell r="AF882" t="str">
            <v/>
          </cell>
          <cell r="AG882" t="str">
            <v>70000951</v>
          </cell>
          <cell r="AH882">
            <v>44944.9375</v>
          </cell>
          <cell r="AI882" t="str">
            <v>I24</v>
          </cell>
          <cell r="AJ882" t="str">
            <v>F</v>
          </cell>
          <cell r="AK882" t="str">
            <v>--</v>
          </cell>
        </row>
        <row r="883">
          <cell r="A883" t="str">
            <v>70000952828521</v>
          </cell>
          <cell r="B883" t="str">
            <v>BL20230406-1</v>
          </cell>
          <cell r="C883" t="e">
            <v>#N/A</v>
          </cell>
          <cell r="D883" t="str">
            <v>EK65</v>
          </cell>
          <cell r="E883" t="str">
            <v>700226</v>
          </cell>
          <cell r="F883" t="str">
            <v>E</v>
          </cell>
          <cell r="G883" t="str">
            <v>70000952</v>
          </cell>
          <cell r="H883" t="str">
            <v>SUPPORT ASSEMBLY</v>
          </cell>
          <cell r="I883">
            <v>270</v>
          </cell>
          <cell r="J883" t="str">
            <v>Stk</v>
          </cell>
          <cell r="K883">
            <v>45063</v>
          </cell>
          <cell r="L883" t="str">
            <v>828521</v>
          </cell>
          <cell r="M883" t="str">
            <v/>
          </cell>
          <cell r="N883" t="str">
            <v/>
          </cell>
          <cell r="O883" t="str">
            <v/>
          </cell>
          <cell r="P883" t="str">
            <v/>
          </cell>
          <cell r="Q883" t="str">
            <v/>
          </cell>
          <cell r="R883" t="str">
            <v/>
          </cell>
          <cell r="S883" t="str">
            <v/>
          </cell>
          <cell r="T883" t="str">
            <v/>
          </cell>
          <cell r="U883" t="str">
            <v>BB20055033000</v>
          </cell>
          <cell r="V883" t="str">
            <v>I24</v>
          </cell>
          <cell r="W883" t="str">
            <v/>
          </cell>
          <cell r="X883" t="str">
            <v/>
          </cell>
          <cell r="Y883" t="str">
            <v/>
          </cell>
          <cell r="Z883" t="str">
            <v/>
          </cell>
          <cell r="AA883" t="str">
            <v/>
          </cell>
          <cell r="AB883" t="str">
            <v>70000952</v>
          </cell>
          <cell r="AC883">
            <v>1</v>
          </cell>
          <cell r="AD883" t="str">
            <v/>
          </cell>
          <cell r="AE883">
            <v>0</v>
          </cell>
          <cell r="AF883" t="str">
            <v/>
          </cell>
          <cell r="AG883" t="str">
            <v>70000952</v>
          </cell>
          <cell r="AH883">
            <v>44944.937511574077</v>
          </cell>
          <cell r="AI883" t="str">
            <v>I24</v>
          </cell>
          <cell r="AJ883" t="str">
            <v>F</v>
          </cell>
          <cell r="AK883" t="str">
            <v>--</v>
          </cell>
        </row>
        <row r="884">
          <cell r="A884" t="str">
            <v>70002103828521</v>
          </cell>
          <cell r="B884" t="str">
            <v>BL20230406-1</v>
          </cell>
          <cell r="C884" t="e">
            <v>#N/A</v>
          </cell>
          <cell r="D884" t="str">
            <v>EK65</v>
          </cell>
          <cell r="E884" t="str">
            <v>701235</v>
          </cell>
          <cell r="F884" t="str">
            <v>E</v>
          </cell>
          <cell r="G884" t="str">
            <v>70002103</v>
          </cell>
          <cell r="H884" t="str">
            <v>RIVET TIE RODS, 25, 100</v>
          </cell>
          <cell r="I884">
            <v>315</v>
          </cell>
          <cell r="J884" t="str">
            <v>Stk</v>
          </cell>
          <cell r="K884">
            <v>45063</v>
          </cell>
          <cell r="L884" t="str">
            <v>828521</v>
          </cell>
          <cell r="M884" t="str">
            <v/>
          </cell>
          <cell r="N884" t="str">
            <v/>
          </cell>
          <cell r="O884" t="str">
            <v/>
          </cell>
          <cell r="P884" t="str">
            <v/>
          </cell>
          <cell r="Q884" t="str">
            <v/>
          </cell>
          <cell r="R884" t="str">
            <v/>
          </cell>
          <cell r="S884" t="str">
            <v/>
          </cell>
          <cell r="T884" t="str">
            <v/>
          </cell>
          <cell r="U884" t="str">
            <v>BB00613011000</v>
          </cell>
          <cell r="V884" t="str">
            <v>N32</v>
          </cell>
          <cell r="W884" t="str">
            <v/>
          </cell>
          <cell r="X884" t="str">
            <v/>
          </cell>
          <cell r="Y884" t="str">
            <v/>
          </cell>
          <cell r="Z884" t="str">
            <v/>
          </cell>
          <cell r="AA884" t="str">
            <v/>
          </cell>
          <cell r="AB884" t="str">
            <v>70002103</v>
          </cell>
          <cell r="AC884">
            <v>1</v>
          </cell>
          <cell r="AD884" t="str">
            <v/>
          </cell>
          <cell r="AE884">
            <v>0</v>
          </cell>
          <cell r="AF884" t="str">
            <v/>
          </cell>
          <cell r="AG884" t="str">
            <v>70002103</v>
          </cell>
          <cell r="AH884">
            <v>44946.965624999997</v>
          </cell>
          <cell r="AI884" t="str">
            <v>N32</v>
          </cell>
          <cell r="AJ884" t="str">
            <v>F</v>
          </cell>
          <cell r="AK884" t="str">
            <v>B0</v>
          </cell>
        </row>
        <row r="885">
          <cell r="A885" t="str">
            <v>70000617828521</v>
          </cell>
          <cell r="B885" t="str">
            <v>BL20230406-1</v>
          </cell>
          <cell r="C885" t="e">
            <v>#N/A</v>
          </cell>
          <cell r="D885" t="str">
            <v>EK65</v>
          </cell>
          <cell r="E885" t="str">
            <v>706769</v>
          </cell>
          <cell r="F885" t="str">
            <v>E</v>
          </cell>
          <cell r="G885" t="str">
            <v>70000617</v>
          </cell>
          <cell r="H885" t="str">
            <v>PLATE</v>
          </cell>
          <cell r="I885">
            <v>1170</v>
          </cell>
          <cell r="J885" t="str">
            <v>Stk</v>
          </cell>
          <cell r="K885">
            <v>45063</v>
          </cell>
          <cell r="L885" t="str">
            <v>828521</v>
          </cell>
          <cell r="M885" t="str">
            <v/>
          </cell>
          <cell r="N885" t="str">
            <v/>
          </cell>
          <cell r="O885" t="str">
            <v/>
          </cell>
          <cell r="P885" t="str">
            <v/>
          </cell>
          <cell r="Q885" t="str">
            <v/>
          </cell>
          <cell r="R885" t="str">
            <v/>
          </cell>
          <cell r="S885" t="str">
            <v/>
          </cell>
          <cell r="T885" t="str">
            <v/>
          </cell>
          <cell r="U885" t="str">
            <v>BB20053010004</v>
          </cell>
          <cell r="V885" t="str">
            <v>B00</v>
          </cell>
          <cell r="W885" t="str">
            <v/>
          </cell>
          <cell r="X885" t="str">
            <v/>
          </cell>
          <cell r="Y885" t="str">
            <v/>
          </cell>
          <cell r="Z885" t="str">
            <v/>
          </cell>
          <cell r="AA885" t="str">
            <v/>
          </cell>
          <cell r="AB885" t="str">
            <v>70000617</v>
          </cell>
          <cell r="AC885">
            <v>1</v>
          </cell>
          <cell r="AD885" t="str">
            <v/>
          </cell>
          <cell r="AE885">
            <v>0</v>
          </cell>
          <cell r="AF885" t="str">
            <v/>
          </cell>
          <cell r="AG885" t="str">
            <v>70000617</v>
          </cell>
          <cell r="AH885">
            <v>44960.998356481483</v>
          </cell>
          <cell r="AI885" t="str">
            <v>B00</v>
          </cell>
          <cell r="AJ885" t="str">
            <v>F</v>
          </cell>
          <cell r="AK885" t="str">
            <v>--</v>
          </cell>
        </row>
        <row r="886">
          <cell r="A886" t="str">
            <v>70001320828521</v>
          </cell>
          <cell r="B886" t="str">
            <v>BL20230406-1</v>
          </cell>
          <cell r="C886" t="e">
            <v>#N/A</v>
          </cell>
          <cell r="D886" t="str">
            <v>EK65</v>
          </cell>
          <cell r="E886" t="str">
            <v>717325</v>
          </cell>
          <cell r="F886" t="str">
            <v>E</v>
          </cell>
          <cell r="G886" t="str">
            <v>70001320</v>
          </cell>
          <cell r="H886" t="str">
            <v>TERMINAL SLEEVE 24 RSK-17</v>
          </cell>
          <cell r="I886">
            <v>2160</v>
          </cell>
          <cell r="J886" t="str">
            <v>Stk</v>
          </cell>
          <cell r="K886">
            <v>45063</v>
          </cell>
          <cell r="L886" t="str">
            <v>828521</v>
          </cell>
          <cell r="M886" t="str">
            <v/>
          </cell>
          <cell r="N886" t="str">
            <v/>
          </cell>
          <cell r="O886" t="str">
            <v/>
          </cell>
          <cell r="P886" t="str">
            <v/>
          </cell>
          <cell r="Q886" t="str">
            <v/>
          </cell>
          <cell r="R886" t="str">
            <v/>
          </cell>
          <cell r="S886" t="str">
            <v/>
          </cell>
          <cell r="T886" t="str">
            <v/>
          </cell>
          <cell r="U886" t="str">
            <v>BB03008682000</v>
          </cell>
          <cell r="V886" t="str">
            <v>H06</v>
          </cell>
          <cell r="W886" t="str">
            <v/>
          </cell>
          <cell r="X886" t="str">
            <v/>
          </cell>
          <cell r="Y886" t="str">
            <v/>
          </cell>
          <cell r="Z886" t="str">
            <v/>
          </cell>
          <cell r="AA886" t="str">
            <v/>
          </cell>
          <cell r="AB886" t="str">
            <v>70001320</v>
          </cell>
          <cell r="AC886">
            <v>1</v>
          </cell>
          <cell r="AD886" t="str">
            <v/>
          </cell>
          <cell r="AE886">
            <v>0</v>
          </cell>
          <cell r="AF886" t="str">
            <v/>
          </cell>
          <cell r="AG886" t="str">
            <v>70001320</v>
          </cell>
          <cell r="AH886">
            <v>44999.910752314812</v>
          </cell>
          <cell r="AI886" t="str">
            <v>H06</v>
          </cell>
          <cell r="AJ886" t="str">
            <v>F</v>
          </cell>
          <cell r="AK886" t="str">
            <v>B0</v>
          </cell>
        </row>
        <row r="887">
          <cell r="A887" t="str">
            <v>70001360828521</v>
          </cell>
          <cell r="B887" t="str">
            <v>Zeichnung nicht versorg</v>
          </cell>
          <cell r="C887" t="e">
            <v>#N/A</v>
          </cell>
          <cell r="D887" t="str">
            <v>EK65</v>
          </cell>
          <cell r="E887" t="str">
            <v>723403</v>
          </cell>
          <cell r="F887" t="str">
            <v>E</v>
          </cell>
          <cell r="G887" t="str">
            <v>70001360</v>
          </cell>
          <cell r="H887" t="str">
            <v>WIRING GUIDE AL 170X15</v>
          </cell>
          <cell r="I887">
            <v>270</v>
          </cell>
          <cell r="J887" t="str">
            <v>Stk</v>
          </cell>
          <cell r="K887">
            <v>45063</v>
          </cell>
          <cell r="L887" t="str">
            <v>828521</v>
          </cell>
          <cell r="M887" t="str">
            <v/>
          </cell>
          <cell r="N887" t="str">
            <v/>
          </cell>
          <cell r="O887" t="str">
            <v/>
          </cell>
          <cell r="P887" t="str">
            <v/>
          </cell>
          <cell r="Q887" t="str">
            <v/>
          </cell>
          <cell r="R887" t="str">
            <v/>
          </cell>
          <cell r="S887" t="str">
            <v/>
          </cell>
          <cell r="T887" t="str">
            <v/>
          </cell>
          <cell r="U887" t="str">
            <v>SLO2523257000</v>
          </cell>
          <cell r="V887" t="str">
            <v>N32</v>
          </cell>
          <cell r="W887" t="str">
            <v/>
          </cell>
          <cell r="X887" t="str">
            <v/>
          </cell>
          <cell r="Y887" t="str">
            <v/>
          </cell>
          <cell r="Z887" t="str">
            <v/>
          </cell>
          <cell r="AA887" t="str">
            <v/>
          </cell>
          <cell r="AB887" t="str">
            <v/>
          </cell>
          <cell r="AC887">
            <v>1</v>
          </cell>
          <cell r="AD887" t="str">
            <v/>
          </cell>
          <cell r="AE887">
            <v>0</v>
          </cell>
          <cell r="AF887" t="str">
            <v/>
          </cell>
          <cell r="AG887" t="str">
            <v>70001360</v>
          </cell>
          <cell r="AH887">
            <v>45016.918506944443</v>
          </cell>
          <cell r="AI887" t="str">
            <v>N32</v>
          </cell>
          <cell r="AJ887" t="str">
            <v/>
          </cell>
          <cell r="AK887" t="str">
            <v>A0</v>
          </cell>
        </row>
        <row r="888">
          <cell r="A888" t="str">
            <v>70002486828521</v>
          </cell>
          <cell r="B888" t="str">
            <v>BL20230412-1</v>
          </cell>
          <cell r="C888" t="e">
            <v>#N/A</v>
          </cell>
          <cell r="D888" t="str">
            <v>EK65</v>
          </cell>
          <cell r="E888" t="str">
            <v>723525</v>
          </cell>
          <cell r="F888" t="str">
            <v>E</v>
          </cell>
          <cell r="G888" t="str">
            <v>70002486</v>
          </cell>
          <cell r="H888" t="str">
            <v>WIREWAY SET</v>
          </cell>
          <cell r="I888">
            <v>90</v>
          </cell>
          <cell r="J888" t="str">
            <v>Stk</v>
          </cell>
          <cell r="K888">
            <v>45063</v>
          </cell>
          <cell r="L888" t="str">
            <v>828521</v>
          </cell>
          <cell r="M888" t="str">
            <v/>
          </cell>
          <cell r="N888" t="str">
            <v/>
          </cell>
          <cell r="O888" t="str">
            <v/>
          </cell>
          <cell r="P888" t="str">
            <v/>
          </cell>
          <cell r="Q888" t="str">
            <v/>
          </cell>
          <cell r="R888" t="str">
            <v/>
          </cell>
          <cell r="S888" t="str">
            <v/>
          </cell>
          <cell r="T888" t="str">
            <v/>
          </cell>
          <cell r="U888" t="str">
            <v>BB20053010200</v>
          </cell>
          <cell r="V888" t="str">
            <v>E19</v>
          </cell>
          <cell r="W888" t="str">
            <v/>
          </cell>
          <cell r="X888" t="str">
            <v/>
          </cell>
          <cell r="Y888" t="str">
            <v/>
          </cell>
          <cell r="Z888" t="str">
            <v/>
          </cell>
          <cell r="AA888" t="str">
            <v/>
          </cell>
          <cell r="AB888" t="str">
            <v>70002486</v>
          </cell>
          <cell r="AC888">
            <v>1</v>
          </cell>
          <cell r="AD888" t="str">
            <v/>
          </cell>
          <cell r="AE888">
            <v>0</v>
          </cell>
          <cell r="AF888" t="str">
            <v/>
          </cell>
          <cell r="AG888" t="str">
            <v>70002486</v>
          </cell>
          <cell r="AH888">
            <v>45016.928379629629</v>
          </cell>
          <cell r="AI888" t="str">
            <v>E19</v>
          </cell>
          <cell r="AJ888" t="str">
            <v>F</v>
          </cell>
          <cell r="AK888" t="str">
            <v>1</v>
          </cell>
        </row>
        <row r="889">
          <cell r="A889" t="str">
            <v>70002487828521</v>
          </cell>
          <cell r="B889" t="str">
            <v>BL20230412-1</v>
          </cell>
          <cell r="C889" t="e">
            <v>#N/A</v>
          </cell>
          <cell r="D889" t="str">
            <v>EK65</v>
          </cell>
          <cell r="E889" t="str">
            <v>723526</v>
          </cell>
          <cell r="F889" t="str">
            <v>E</v>
          </cell>
          <cell r="G889" t="str">
            <v>70002487</v>
          </cell>
          <cell r="H889" t="str">
            <v>WIRETRAY SET</v>
          </cell>
          <cell r="I889">
            <v>90</v>
          </cell>
          <cell r="J889" t="str">
            <v>Stk</v>
          </cell>
          <cell r="K889">
            <v>45063</v>
          </cell>
          <cell r="L889" t="str">
            <v>828521</v>
          </cell>
          <cell r="M889" t="str">
            <v/>
          </cell>
          <cell r="N889" t="str">
            <v/>
          </cell>
          <cell r="O889" t="str">
            <v/>
          </cell>
          <cell r="P889" t="str">
            <v/>
          </cell>
          <cell r="Q889" t="str">
            <v/>
          </cell>
          <cell r="R889" t="str">
            <v/>
          </cell>
          <cell r="S889" t="str">
            <v/>
          </cell>
          <cell r="T889" t="str">
            <v/>
          </cell>
          <cell r="U889" t="str">
            <v>BB20053010300</v>
          </cell>
          <cell r="V889" t="str">
            <v>E19</v>
          </cell>
          <cell r="W889" t="str">
            <v/>
          </cell>
          <cell r="X889" t="str">
            <v/>
          </cell>
          <cell r="Y889" t="str">
            <v/>
          </cell>
          <cell r="Z889" t="str">
            <v/>
          </cell>
          <cell r="AA889" t="str">
            <v/>
          </cell>
          <cell r="AB889" t="str">
            <v>70002487</v>
          </cell>
          <cell r="AC889">
            <v>1</v>
          </cell>
          <cell r="AD889" t="str">
            <v/>
          </cell>
          <cell r="AE889">
            <v>0</v>
          </cell>
          <cell r="AF889" t="str">
            <v/>
          </cell>
          <cell r="AG889" t="str">
            <v>70002487</v>
          </cell>
          <cell r="AH889">
            <v>45016.928391203706</v>
          </cell>
          <cell r="AI889" t="str">
            <v>E19</v>
          </cell>
          <cell r="AJ889" t="str">
            <v>F</v>
          </cell>
          <cell r="AK889" t="str">
            <v>1</v>
          </cell>
        </row>
        <row r="890">
          <cell r="A890" t="str">
            <v>70002492828521</v>
          </cell>
          <cell r="B890" t="str">
            <v>BL20230412-1</v>
          </cell>
          <cell r="C890" t="e">
            <v>#N/A</v>
          </cell>
          <cell r="D890" t="str">
            <v>EK65</v>
          </cell>
          <cell r="E890" t="str">
            <v>723527</v>
          </cell>
          <cell r="F890" t="str">
            <v>E</v>
          </cell>
          <cell r="G890" t="str">
            <v>70002492</v>
          </cell>
          <cell r="H890" t="str">
            <v>WIRETRAY SET</v>
          </cell>
          <cell r="I890">
            <v>90</v>
          </cell>
          <cell r="J890" t="str">
            <v>Stk</v>
          </cell>
          <cell r="K890">
            <v>45063</v>
          </cell>
          <cell r="L890" t="str">
            <v>828521</v>
          </cell>
          <cell r="M890" t="str">
            <v/>
          </cell>
          <cell r="N890" t="str">
            <v/>
          </cell>
          <cell r="O890" t="str">
            <v/>
          </cell>
          <cell r="P890" t="str">
            <v/>
          </cell>
          <cell r="Q890" t="str">
            <v/>
          </cell>
          <cell r="R890" t="str">
            <v/>
          </cell>
          <cell r="S890" t="str">
            <v/>
          </cell>
          <cell r="T890" t="str">
            <v/>
          </cell>
          <cell r="U890" t="str">
            <v>BB20053010800</v>
          </cell>
          <cell r="V890" t="str">
            <v>E19</v>
          </cell>
          <cell r="W890" t="str">
            <v/>
          </cell>
          <cell r="X890" t="str">
            <v/>
          </cell>
          <cell r="Y890" t="str">
            <v/>
          </cell>
          <cell r="Z890" t="str">
            <v/>
          </cell>
          <cell r="AA890" t="str">
            <v/>
          </cell>
          <cell r="AB890" t="str">
            <v>70002492</v>
          </cell>
          <cell r="AC890">
            <v>1</v>
          </cell>
          <cell r="AD890" t="str">
            <v/>
          </cell>
          <cell r="AE890">
            <v>0</v>
          </cell>
          <cell r="AF890" t="str">
            <v/>
          </cell>
          <cell r="AG890" t="str">
            <v>70002492</v>
          </cell>
          <cell r="AH890">
            <v>45016.928460648145</v>
          </cell>
          <cell r="AI890" t="str">
            <v>E19</v>
          </cell>
          <cell r="AJ890" t="str">
            <v>F</v>
          </cell>
          <cell r="AK890" t="str">
            <v>1</v>
          </cell>
        </row>
        <row r="891">
          <cell r="A891" t="str">
            <v>70002494828521</v>
          </cell>
          <cell r="B891" t="str">
            <v>BL20230412-1</v>
          </cell>
          <cell r="C891" t="e">
            <v>#N/A</v>
          </cell>
          <cell r="D891" t="str">
            <v>EK65</v>
          </cell>
          <cell r="E891" t="str">
            <v>723528</v>
          </cell>
          <cell r="F891" t="str">
            <v>E</v>
          </cell>
          <cell r="G891" t="str">
            <v>70002494</v>
          </cell>
          <cell r="H891" t="str">
            <v>WIRETRAY SET</v>
          </cell>
          <cell r="I891">
            <v>90</v>
          </cell>
          <cell r="J891" t="str">
            <v>Stk</v>
          </cell>
          <cell r="K891">
            <v>45063</v>
          </cell>
          <cell r="L891" t="str">
            <v>828521</v>
          </cell>
          <cell r="M891" t="str">
            <v/>
          </cell>
          <cell r="N891" t="str">
            <v/>
          </cell>
          <cell r="O891" t="str">
            <v/>
          </cell>
          <cell r="P891" t="str">
            <v/>
          </cell>
          <cell r="Q891" t="str">
            <v/>
          </cell>
          <cell r="R891" t="str">
            <v/>
          </cell>
          <cell r="S891" t="str">
            <v/>
          </cell>
          <cell r="T891" t="str">
            <v/>
          </cell>
          <cell r="U891" t="str">
            <v>BB20053011000</v>
          </cell>
          <cell r="V891" t="str">
            <v>E19</v>
          </cell>
          <cell r="W891" t="str">
            <v/>
          </cell>
          <cell r="X891" t="str">
            <v/>
          </cell>
          <cell r="Y891" t="str">
            <v/>
          </cell>
          <cell r="Z891" t="str">
            <v/>
          </cell>
          <cell r="AA891" t="str">
            <v/>
          </cell>
          <cell r="AB891" t="str">
            <v>70002494</v>
          </cell>
          <cell r="AC891">
            <v>1</v>
          </cell>
          <cell r="AD891" t="str">
            <v/>
          </cell>
          <cell r="AE891">
            <v>0</v>
          </cell>
          <cell r="AF891" t="str">
            <v/>
          </cell>
          <cell r="AG891" t="str">
            <v>70002494</v>
          </cell>
          <cell r="AH891">
            <v>45016.928495370368</v>
          </cell>
          <cell r="AI891" t="str">
            <v>E19</v>
          </cell>
          <cell r="AJ891" t="str">
            <v>F</v>
          </cell>
          <cell r="AK891" t="str">
            <v>1</v>
          </cell>
        </row>
        <row r="892">
          <cell r="A892" t="str">
            <v>70002485828521</v>
          </cell>
          <cell r="B892" t="str">
            <v>BL20230412-1</v>
          </cell>
          <cell r="C892" t="e">
            <v>#N/A</v>
          </cell>
          <cell r="D892" t="str">
            <v>EK65</v>
          </cell>
          <cell r="E892" t="str">
            <v>729213</v>
          </cell>
          <cell r="F892" t="str">
            <v>E</v>
          </cell>
          <cell r="G892" t="str">
            <v>70002485</v>
          </cell>
          <cell r="H892" t="str">
            <v>WIREWAY SET</v>
          </cell>
          <cell r="I892">
            <v>90</v>
          </cell>
          <cell r="J892" t="str">
            <v>Stk</v>
          </cell>
          <cell r="K892">
            <v>45063</v>
          </cell>
          <cell r="L892" t="str">
            <v>828521</v>
          </cell>
          <cell r="M892" t="str">
            <v/>
          </cell>
          <cell r="N892" t="str">
            <v/>
          </cell>
          <cell r="O892" t="str">
            <v/>
          </cell>
          <cell r="P892" t="str">
            <v/>
          </cell>
          <cell r="Q892" t="str">
            <v/>
          </cell>
          <cell r="R892" t="str">
            <v/>
          </cell>
          <cell r="S892" t="str">
            <v/>
          </cell>
          <cell r="T892" t="str">
            <v/>
          </cell>
          <cell r="U892" t="str">
            <v>BB20053010100</v>
          </cell>
          <cell r="V892" t="str">
            <v>E19</v>
          </cell>
          <cell r="W892" t="str">
            <v/>
          </cell>
          <cell r="X892" t="str">
            <v/>
          </cell>
          <cell r="Y892" t="str">
            <v/>
          </cell>
          <cell r="Z892" t="str">
            <v/>
          </cell>
          <cell r="AA892" t="str">
            <v/>
          </cell>
          <cell r="AB892" t="str">
            <v>70002485</v>
          </cell>
          <cell r="AC892">
            <v>1</v>
          </cell>
          <cell r="AD892" t="str">
            <v/>
          </cell>
          <cell r="AE892">
            <v>0</v>
          </cell>
          <cell r="AF892" t="str">
            <v/>
          </cell>
          <cell r="AG892" t="str">
            <v>70002485</v>
          </cell>
          <cell r="AH892">
            <v>45029.979641203703</v>
          </cell>
          <cell r="AI892" t="str">
            <v>E19</v>
          </cell>
          <cell r="AJ892" t="str">
            <v>F</v>
          </cell>
          <cell r="AK892" t="str">
            <v>B0</v>
          </cell>
        </row>
        <row r="893">
          <cell r="A893" t="str">
            <v>70000633828521</v>
          </cell>
          <cell r="B893" t="str">
            <v>BL20230412-1</v>
          </cell>
          <cell r="C893" t="e">
            <v>#N/A</v>
          </cell>
          <cell r="D893" t="str">
            <v>EK65</v>
          </cell>
          <cell r="E893" t="str">
            <v>699214</v>
          </cell>
          <cell r="F893" t="str">
            <v>E</v>
          </cell>
          <cell r="G893" t="str">
            <v>70000633</v>
          </cell>
          <cell r="H893" t="str">
            <v>RIVET TIE RODS, 25, 150</v>
          </cell>
          <cell r="I893">
            <v>90</v>
          </cell>
          <cell r="J893" t="str">
            <v>Stk</v>
          </cell>
          <cell r="K893">
            <v>45068</v>
          </cell>
          <cell r="L893" t="str">
            <v>828521</v>
          </cell>
          <cell r="M893" t="str">
            <v/>
          </cell>
          <cell r="N893" t="str">
            <v/>
          </cell>
          <cell r="O893" t="str">
            <v/>
          </cell>
          <cell r="P893" t="str">
            <v/>
          </cell>
          <cell r="Q893" t="str">
            <v/>
          </cell>
          <cell r="R893" t="str">
            <v/>
          </cell>
          <cell r="S893" t="str">
            <v/>
          </cell>
          <cell r="T893" t="str">
            <v/>
          </cell>
          <cell r="U893" t="str">
            <v>BB00613011000</v>
          </cell>
          <cell r="V893" t="str">
            <v>E19</v>
          </cell>
          <cell r="W893" t="str">
            <v/>
          </cell>
          <cell r="X893" t="str">
            <v/>
          </cell>
          <cell r="Y893" t="str">
            <v/>
          </cell>
          <cell r="Z893" t="str">
            <v/>
          </cell>
          <cell r="AA893" t="str">
            <v/>
          </cell>
          <cell r="AB893" t="str">
            <v>70000633</v>
          </cell>
          <cell r="AC893">
            <v>1</v>
          </cell>
          <cell r="AD893" t="str">
            <v/>
          </cell>
          <cell r="AE893">
            <v>0</v>
          </cell>
          <cell r="AF893" t="str">
            <v/>
          </cell>
          <cell r="AG893" t="str">
            <v>70000633</v>
          </cell>
          <cell r="AH893">
            <v>44943.931527777779</v>
          </cell>
          <cell r="AI893" t="str">
            <v>E19</v>
          </cell>
          <cell r="AJ893" t="str">
            <v>F</v>
          </cell>
          <cell r="AK893" t="str">
            <v>B0</v>
          </cell>
        </row>
        <row r="894">
          <cell r="A894" t="str">
            <v>70002605828521</v>
          </cell>
          <cell r="B894" t="str">
            <v>BL20230412-1</v>
          </cell>
          <cell r="C894" t="e">
            <v>#N/A</v>
          </cell>
          <cell r="D894" t="str">
            <v>EK65</v>
          </cell>
          <cell r="E894" t="str">
            <v>707763</v>
          </cell>
          <cell r="F894" t="str">
            <v>E</v>
          </cell>
          <cell r="G894" t="str">
            <v>70002605</v>
          </cell>
          <cell r="H894" t="str">
            <v>COVER ASSEMBLY</v>
          </cell>
          <cell r="I894">
            <v>90</v>
          </cell>
          <cell r="J894" t="str">
            <v>Stk</v>
          </cell>
          <cell r="K894">
            <v>45068</v>
          </cell>
          <cell r="L894" t="str">
            <v>828521</v>
          </cell>
          <cell r="M894" t="str">
            <v/>
          </cell>
          <cell r="N894" t="str">
            <v/>
          </cell>
          <cell r="O894" t="str">
            <v/>
          </cell>
          <cell r="P894" t="str">
            <v/>
          </cell>
          <cell r="Q894" t="str">
            <v/>
          </cell>
          <cell r="R894" t="str">
            <v/>
          </cell>
          <cell r="S894" t="str">
            <v/>
          </cell>
          <cell r="T894" t="str">
            <v/>
          </cell>
          <cell r="U894" t="str">
            <v>BB20031914000</v>
          </cell>
          <cell r="V894" t="str">
            <v>B00</v>
          </cell>
          <cell r="W894" t="str">
            <v/>
          </cell>
          <cell r="X894" t="str">
            <v/>
          </cell>
          <cell r="Y894" t="str">
            <v/>
          </cell>
          <cell r="Z894" t="str">
            <v/>
          </cell>
          <cell r="AA894" t="str">
            <v/>
          </cell>
          <cell r="AB894" t="str">
            <v>70002605</v>
          </cell>
          <cell r="AC894">
            <v>1</v>
          </cell>
          <cell r="AD894" t="str">
            <v/>
          </cell>
          <cell r="AE894">
            <v>0</v>
          </cell>
          <cell r="AF894" t="str">
            <v/>
          </cell>
          <cell r="AG894" t="str">
            <v>70002605</v>
          </cell>
          <cell r="AH894">
            <v>44961.059606481482</v>
          </cell>
          <cell r="AI894" t="str">
            <v>B00</v>
          </cell>
          <cell r="AJ894" t="str">
            <v>F</v>
          </cell>
          <cell r="AK894" t="str">
            <v>--</v>
          </cell>
        </row>
        <row r="895">
          <cell r="A895" t="str">
            <v>70000613828521</v>
          </cell>
          <cell r="B895" t="str">
            <v>BL20230412-1</v>
          </cell>
          <cell r="C895" t="e">
            <v>#N/A</v>
          </cell>
          <cell r="D895" t="str">
            <v>EK65</v>
          </cell>
          <cell r="E895" t="str">
            <v>717314</v>
          </cell>
          <cell r="F895" t="str">
            <v>E</v>
          </cell>
          <cell r="G895" t="str">
            <v>70000613</v>
          </cell>
          <cell r="H895" t="str">
            <v>TERMINAL SLEEVE 32 RKS-23</v>
          </cell>
          <cell r="I895">
            <v>1530</v>
          </cell>
          <cell r="J895" t="str">
            <v>Stk</v>
          </cell>
          <cell r="K895">
            <v>45068</v>
          </cell>
          <cell r="L895" t="str">
            <v>828521</v>
          </cell>
          <cell r="M895" t="str">
            <v/>
          </cell>
          <cell r="N895" t="str">
            <v/>
          </cell>
          <cell r="O895" t="str">
            <v/>
          </cell>
          <cell r="P895" t="str">
            <v/>
          </cell>
          <cell r="Q895" t="str">
            <v/>
          </cell>
          <cell r="R895" t="str">
            <v/>
          </cell>
          <cell r="S895" t="str">
            <v/>
          </cell>
          <cell r="T895" t="str">
            <v/>
          </cell>
          <cell r="U895" t="str">
            <v>BB03008682000</v>
          </cell>
          <cell r="V895" t="str">
            <v>H06</v>
          </cell>
          <cell r="W895" t="str">
            <v/>
          </cell>
          <cell r="X895" t="str">
            <v/>
          </cell>
          <cell r="Y895" t="str">
            <v/>
          </cell>
          <cell r="Z895" t="str">
            <v/>
          </cell>
          <cell r="AA895" t="str">
            <v/>
          </cell>
          <cell r="AB895" t="str">
            <v>70000613</v>
          </cell>
          <cell r="AC895">
            <v>1</v>
          </cell>
          <cell r="AD895" t="str">
            <v/>
          </cell>
          <cell r="AE895">
            <v>0</v>
          </cell>
          <cell r="AF895" t="str">
            <v/>
          </cell>
          <cell r="AG895" t="str">
            <v>70000613</v>
          </cell>
          <cell r="AH895">
            <v>44999.909780092596</v>
          </cell>
          <cell r="AI895" t="str">
            <v>H06</v>
          </cell>
          <cell r="AJ895" t="str">
            <v>F</v>
          </cell>
          <cell r="AK895" t="str">
            <v>B0</v>
          </cell>
        </row>
        <row r="896">
          <cell r="A896" t="str">
            <v>70001347828521</v>
          </cell>
          <cell r="B896" t="str">
            <v>BL20230412-1</v>
          </cell>
          <cell r="C896" t="e">
            <v>#N/A</v>
          </cell>
          <cell r="D896" t="str">
            <v>EK65</v>
          </cell>
          <cell r="E896" t="str">
            <v>686700</v>
          </cell>
          <cell r="F896" t="str">
            <v>E</v>
          </cell>
          <cell r="G896" t="str">
            <v>70001347</v>
          </cell>
          <cell r="H896" t="str">
            <v>PERFORATED TRAY</v>
          </cell>
          <cell r="I896">
            <v>90</v>
          </cell>
          <cell r="J896" t="str">
            <v>Stk</v>
          </cell>
          <cell r="K896">
            <v>45069</v>
          </cell>
          <cell r="L896" t="str">
            <v>828521</v>
          </cell>
          <cell r="M896" t="str">
            <v/>
          </cell>
          <cell r="N896" t="str">
            <v/>
          </cell>
          <cell r="O896" t="str">
            <v/>
          </cell>
          <cell r="P896" t="str">
            <v/>
          </cell>
          <cell r="Q896" t="str">
            <v/>
          </cell>
          <cell r="R896" t="str">
            <v/>
          </cell>
          <cell r="S896" t="str">
            <v/>
          </cell>
          <cell r="T896" t="str">
            <v/>
          </cell>
          <cell r="U896" t="str">
            <v>BB20023010001</v>
          </cell>
          <cell r="V896" t="str">
            <v>E19</v>
          </cell>
          <cell r="W896" t="str">
            <v/>
          </cell>
          <cell r="X896" t="str">
            <v/>
          </cell>
          <cell r="Y896" t="str">
            <v/>
          </cell>
          <cell r="Z896" t="str">
            <v/>
          </cell>
          <cell r="AA896" t="str">
            <v/>
          </cell>
          <cell r="AB896" t="str">
            <v>70001347</v>
          </cell>
          <cell r="AC896">
            <v>1</v>
          </cell>
          <cell r="AD896" t="str">
            <v/>
          </cell>
          <cell r="AE896">
            <v>0</v>
          </cell>
          <cell r="AF896" t="str">
            <v/>
          </cell>
          <cell r="AG896" t="str">
            <v>70001347</v>
          </cell>
          <cell r="AH896">
            <v>44916.124791666669</v>
          </cell>
          <cell r="AI896" t="str">
            <v>E19</v>
          </cell>
          <cell r="AJ896" t="str">
            <v>F</v>
          </cell>
          <cell r="AK896" t="str">
            <v>--</v>
          </cell>
        </row>
        <row r="897">
          <cell r="A897" t="str">
            <v>70001348828521</v>
          </cell>
          <cell r="B897" t="str">
            <v>BL20230412-1</v>
          </cell>
          <cell r="C897" t="e">
            <v>#N/A</v>
          </cell>
          <cell r="D897" t="str">
            <v>EK65</v>
          </cell>
          <cell r="E897" t="str">
            <v>686701</v>
          </cell>
          <cell r="F897" t="str">
            <v>E</v>
          </cell>
          <cell r="G897" t="str">
            <v>70001348</v>
          </cell>
          <cell r="H897" t="str">
            <v>PERFORATED TRAY</v>
          </cell>
          <cell r="I897">
            <v>270</v>
          </cell>
          <cell r="J897" t="str">
            <v>Stk</v>
          </cell>
          <cell r="K897">
            <v>45069</v>
          </cell>
          <cell r="L897" t="str">
            <v>828521</v>
          </cell>
          <cell r="M897" t="str">
            <v/>
          </cell>
          <cell r="N897" t="str">
            <v/>
          </cell>
          <cell r="O897" t="str">
            <v/>
          </cell>
          <cell r="P897" t="str">
            <v/>
          </cell>
          <cell r="Q897" t="str">
            <v/>
          </cell>
          <cell r="R897" t="str">
            <v/>
          </cell>
          <cell r="S897" t="str">
            <v/>
          </cell>
          <cell r="T897" t="str">
            <v/>
          </cell>
          <cell r="U897" t="str">
            <v>BB20023010002</v>
          </cell>
          <cell r="V897" t="str">
            <v>E19</v>
          </cell>
          <cell r="W897" t="str">
            <v/>
          </cell>
          <cell r="X897" t="str">
            <v/>
          </cell>
          <cell r="Y897" t="str">
            <v/>
          </cell>
          <cell r="Z897" t="str">
            <v/>
          </cell>
          <cell r="AA897" t="str">
            <v/>
          </cell>
          <cell r="AB897" t="str">
            <v>70001348</v>
          </cell>
          <cell r="AC897">
            <v>1</v>
          </cell>
          <cell r="AD897" t="str">
            <v/>
          </cell>
          <cell r="AE897">
            <v>0</v>
          </cell>
          <cell r="AF897" t="str">
            <v/>
          </cell>
          <cell r="AG897" t="str">
            <v>70001348</v>
          </cell>
          <cell r="AH897">
            <v>44916.124803240738</v>
          </cell>
          <cell r="AI897" t="str">
            <v>E19</v>
          </cell>
          <cell r="AJ897" t="str">
            <v>F</v>
          </cell>
          <cell r="AK897" t="str">
            <v>--</v>
          </cell>
        </row>
        <row r="898">
          <cell r="A898" t="str">
            <v>70001349828521</v>
          </cell>
          <cell r="B898" t="str">
            <v>BL20230412-1</v>
          </cell>
          <cell r="C898" t="e">
            <v>#N/A</v>
          </cell>
          <cell r="D898" t="str">
            <v>EK65</v>
          </cell>
          <cell r="E898" t="str">
            <v>686702</v>
          </cell>
          <cell r="F898" t="str">
            <v>E</v>
          </cell>
          <cell r="G898" t="str">
            <v>70001349</v>
          </cell>
          <cell r="H898" t="str">
            <v>PERFORATED TRAY</v>
          </cell>
          <cell r="I898">
            <v>90</v>
          </cell>
          <cell r="J898" t="str">
            <v>Stk</v>
          </cell>
          <cell r="K898">
            <v>45069</v>
          </cell>
          <cell r="L898" t="str">
            <v>828521</v>
          </cell>
          <cell r="M898" t="str">
            <v/>
          </cell>
          <cell r="N898" t="str">
            <v/>
          </cell>
          <cell r="O898" t="str">
            <v/>
          </cell>
          <cell r="P898" t="str">
            <v/>
          </cell>
          <cell r="Q898" t="str">
            <v/>
          </cell>
          <cell r="R898" t="str">
            <v/>
          </cell>
          <cell r="S898" t="str">
            <v/>
          </cell>
          <cell r="T898" t="str">
            <v/>
          </cell>
          <cell r="U898" t="str">
            <v>BB20023010003</v>
          </cell>
          <cell r="V898" t="str">
            <v>E19</v>
          </cell>
          <cell r="W898" t="str">
            <v/>
          </cell>
          <cell r="X898" t="str">
            <v/>
          </cell>
          <cell r="Y898" t="str">
            <v/>
          </cell>
          <cell r="Z898" t="str">
            <v/>
          </cell>
          <cell r="AA898" t="str">
            <v/>
          </cell>
          <cell r="AB898" t="str">
            <v>70001349</v>
          </cell>
          <cell r="AC898">
            <v>1</v>
          </cell>
          <cell r="AD898" t="str">
            <v/>
          </cell>
          <cell r="AE898">
            <v>0</v>
          </cell>
          <cell r="AF898" t="str">
            <v/>
          </cell>
          <cell r="AG898" t="str">
            <v>70001349</v>
          </cell>
          <cell r="AH898">
            <v>44916.124826388892</v>
          </cell>
          <cell r="AI898" t="str">
            <v>E19</v>
          </cell>
          <cell r="AJ898" t="str">
            <v>F</v>
          </cell>
          <cell r="AK898" t="str">
            <v>--</v>
          </cell>
        </row>
        <row r="899">
          <cell r="A899" t="str">
            <v>70001350828521</v>
          </cell>
          <cell r="B899" t="str">
            <v>BL20230412-1</v>
          </cell>
          <cell r="C899" t="e">
            <v>#N/A</v>
          </cell>
          <cell r="D899" t="str">
            <v>EK65</v>
          </cell>
          <cell r="E899" t="str">
            <v>686703</v>
          </cell>
          <cell r="F899" t="str">
            <v>E</v>
          </cell>
          <cell r="G899" t="str">
            <v>70001350</v>
          </cell>
          <cell r="H899" t="str">
            <v>PERFORATED TRAY</v>
          </cell>
          <cell r="I899">
            <v>90</v>
          </cell>
          <cell r="J899" t="str">
            <v>Stk</v>
          </cell>
          <cell r="K899">
            <v>45069</v>
          </cell>
          <cell r="L899" t="str">
            <v>828521</v>
          </cell>
          <cell r="M899" t="str">
            <v/>
          </cell>
          <cell r="N899" t="str">
            <v/>
          </cell>
          <cell r="O899" t="str">
            <v/>
          </cell>
          <cell r="P899" t="str">
            <v/>
          </cell>
          <cell r="Q899" t="str">
            <v/>
          </cell>
          <cell r="R899" t="str">
            <v/>
          </cell>
          <cell r="S899" t="str">
            <v/>
          </cell>
          <cell r="T899" t="str">
            <v/>
          </cell>
          <cell r="U899" t="str">
            <v>BB20023010005</v>
          </cell>
          <cell r="V899" t="str">
            <v>E19</v>
          </cell>
          <cell r="W899" t="str">
            <v/>
          </cell>
          <cell r="X899" t="str">
            <v/>
          </cell>
          <cell r="Y899" t="str">
            <v/>
          </cell>
          <cell r="Z899" t="str">
            <v/>
          </cell>
          <cell r="AA899" t="str">
            <v/>
          </cell>
          <cell r="AB899" t="str">
            <v>70001350</v>
          </cell>
          <cell r="AC899">
            <v>1</v>
          </cell>
          <cell r="AD899" t="str">
            <v/>
          </cell>
          <cell r="AE899">
            <v>0</v>
          </cell>
          <cell r="AF899" t="str">
            <v/>
          </cell>
          <cell r="AG899" t="str">
            <v>70001350</v>
          </cell>
          <cell r="AH899">
            <v>44916.124849537038</v>
          </cell>
          <cell r="AI899" t="str">
            <v>E19</v>
          </cell>
          <cell r="AJ899" t="str">
            <v>F</v>
          </cell>
          <cell r="AK899" t="str">
            <v>--</v>
          </cell>
        </row>
        <row r="900">
          <cell r="A900" t="str">
            <v>70001351828521</v>
          </cell>
          <cell r="B900" t="str">
            <v>BL20230412-1</v>
          </cell>
          <cell r="C900" t="e">
            <v>#N/A</v>
          </cell>
          <cell r="D900" t="str">
            <v>EK65</v>
          </cell>
          <cell r="E900" t="str">
            <v>686704</v>
          </cell>
          <cell r="F900" t="str">
            <v>E</v>
          </cell>
          <cell r="G900" t="str">
            <v>70001351</v>
          </cell>
          <cell r="H900" t="str">
            <v>PERFORATED TRAY</v>
          </cell>
          <cell r="I900">
            <v>270</v>
          </cell>
          <cell r="J900" t="str">
            <v>Stk</v>
          </cell>
          <cell r="K900">
            <v>45069</v>
          </cell>
          <cell r="L900" t="str">
            <v>828521</v>
          </cell>
          <cell r="M900" t="str">
            <v/>
          </cell>
          <cell r="N900" t="str">
            <v/>
          </cell>
          <cell r="O900" t="str">
            <v/>
          </cell>
          <cell r="P900" t="str">
            <v/>
          </cell>
          <cell r="Q900" t="str">
            <v/>
          </cell>
          <cell r="R900" t="str">
            <v/>
          </cell>
          <cell r="S900" t="str">
            <v/>
          </cell>
          <cell r="T900" t="str">
            <v/>
          </cell>
          <cell r="U900" t="str">
            <v>BB20023010008</v>
          </cell>
          <cell r="V900" t="str">
            <v>E19</v>
          </cell>
          <cell r="W900" t="str">
            <v/>
          </cell>
          <cell r="X900" t="str">
            <v/>
          </cell>
          <cell r="Y900" t="str">
            <v/>
          </cell>
          <cell r="Z900" t="str">
            <v/>
          </cell>
          <cell r="AA900" t="str">
            <v/>
          </cell>
          <cell r="AB900" t="str">
            <v>70001351</v>
          </cell>
          <cell r="AC900">
            <v>1</v>
          </cell>
          <cell r="AD900" t="str">
            <v/>
          </cell>
          <cell r="AE900">
            <v>0</v>
          </cell>
          <cell r="AF900" t="str">
            <v/>
          </cell>
          <cell r="AG900" t="str">
            <v>70001351</v>
          </cell>
          <cell r="AH900">
            <v>44916.124872685185</v>
          </cell>
          <cell r="AI900" t="str">
            <v>E19</v>
          </cell>
          <cell r="AJ900" t="str">
            <v>F</v>
          </cell>
          <cell r="AK900" t="str">
            <v>--</v>
          </cell>
        </row>
        <row r="901">
          <cell r="A901" t="str">
            <v>70001352828521</v>
          </cell>
          <cell r="B901" t="str">
            <v>BL20230412-1</v>
          </cell>
          <cell r="C901" t="e">
            <v>#N/A</v>
          </cell>
          <cell r="D901" t="str">
            <v>EK65</v>
          </cell>
          <cell r="E901" t="str">
            <v>686705</v>
          </cell>
          <cell r="F901" t="str">
            <v>E</v>
          </cell>
          <cell r="G901" t="str">
            <v>70001352</v>
          </cell>
          <cell r="H901" t="str">
            <v>PERFORATED TRAY</v>
          </cell>
          <cell r="I901">
            <v>90</v>
          </cell>
          <cell r="J901" t="str">
            <v>Stk</v>
          </cell>
          <cell r="K901">
            <v>45069</v>
          </cell>
          <cell r="L901" t="str">
            <v>828521</v>
          </cell>
          <cell r="M901" t="str">
            <v/>
          </cell>
          <cell r="N901" t="str">
            <v/>
          </cell>
          <cell r="O901" t="str">
            <v/>
          </cell>
          <cell r="P901" t="str">
            <v/>
          </cell>
          <cell r="Q901" t="str">
            <v/>
          </cell>
          <cell r="R901" t="str">
            <v/>
          </cell>
          <cell r="S901" t="str">
            <v/>
          </cell>
          <cell r="T901" t="str">
            <v/>
          </cell>
          <cell r="U901" t="str">
            <v>BB20023010009</v>
          </cell>
          <cell r="V901" t="str">
            <v>E19</v>
          </cell>
          <cell r="W901" t="str">
            <v/>
          </cell>
          <cell r="X901" t="str">
            <v/>
          </cell>
          <cell r="Y901" t="str">
            <v/>
          </cell>
          <cell r="Z901" t="str">
            <v/>
          </cell>
          <cell r="AA901" t="str">
            <v/>
          </cell>
          <cell r="AB901" t="str">
            <v>70001352</v>
          </cell>
          <cell r="AC901">
            <v>1</v>
          </cell>
          <cell r="AD901" t="str">
            <v/>
          </cell>
          <cell r="AE901">
            <v>0</v>
          </cell>
          <cell r="AF901" t="str">
            <v/>
          </cell>
          <cell r="AG901" t="str">
            <v>70001352</v>
          </cell>
          <cell r="AH901">
            <v>44916.124895833331</v>
          </cell>
          <cell r="AI901" t="str">
            <v>E19</v>
          </cell>
          <cell r="AJ901" t="str">
            <v>F</v>
          </cell>
          <cell r="AK901" t="str">
            <v>--</v>
          </cell>
        </row>
        <row r="902">
          <cell r="A902" t="str">
            <v>70001354828521</v>
          </cell>
          <cell r="B902" t="str">
            <v>BL20230412-1</v>
          </cell>
          <cell r="C902" t="e">
            <v>#N/A</v>
          </cell>
          <cell r="D902" t="str">
            <v>EK65</v>
          </cell>
          <cell r="E902" t="str">
            <v>686707</v>
          </cell>
          <cell r="F902" t="str">
            <v>E</v>
          </cell>
          <cell r="G902" t="str">
            <v>70001354</v>
          </cell>
          <cell r="H902" t="str">
            <v>TRAY SUPPORT</v>
          </cell>
          <cell r="I902">
            <v>270</v>
          </cell>
          <cell r="J902" t="str">
            <v>Stk</v>
          </cell>
          <cell r="K902">
            <v>45069</v>
          </cell>
          <cell r="L902" t="str">
            <v>828521</v>
          </cell>
          <cell r="M902" t="str">
            <v/>
          </cell>
          <cell r="N902" t="str">
            <v/>
          </cell>
          <cell r="O902" t="str">
            <v/>
          </cell>
          <cell r="P902" t="str">
            <v/>
          </cell>
          <cell r="Q902" t="str">
            <v/>
          </cell>
          <cell r="R902" t="str">
            <v/>
          </cell>
          <cell r="S902" t="str">
            <v/>
          </cell>
          <cell r="T902" t="str">
            <v/>
          </cell>
          <cell r="U902" t="str">
            <v>BB08423010009</v>
          </cell>
          <cell r="V902" t="str">
            <v>E19</v>
          </cell>
          <cell r="W902" t="str">
            <v/>
          </cell>
          <cell r="X902" t="str">
            <v/>
          </cell>
          <cell r="Y902" t="str">
            <v/>
          </cell>
          <cell r="Z902" t="str">
            <v/>
          </cell>
          <cell r="AA902" t="str">
            <v/>
          </cell>
          <cell r="AB902" t="str">
            <v>70001354</v>
          </cell>
          <cell r="AC902">
            <v>1</v>
          </cell>
          <cell r="AD902" t="str">
            <v/>
          </cell>
          <cell r="AE902">
            <v>0</v>
          </cell>
          <cell r="AF902" t="str">
            <v/>
          </cell>
          <cell r="AG902" t="str">
            <v>70001354</v>
          </cell>
          <cell r="AH902">
            <v>44916.124942129631</v>
          </cell>
          <cell r="AI902" t="str">
            <v>E19</v>
          </cell>
          <cell r="AJ902" t="str">
            <v>F</v>
          </cell>
          <cell r="AK902" t="str">
            <v>--</v>
          </cell>
        </row>
        <row r="903">
          <cell r="A903" t="str">
            <v>70002376828521</v>
          </cell>
          <cell r="B903" t="str">
            <v>BL20230412-1</v>
          </cell>
          <cell r="C903" t="e">
            <v>#N/A</v>
          </cell>
          <cell r="D903" t="str">
            <v>EK65</v>
          </cell>
          <cell r="E903" t="str">
            <v>687015</v>
          </cell>
          <cell r="F903" t="str">
            <v>E</v>
          </cell>
          <cell r="G903" t="str">
            <v>70002376</v>
          </cell>
          <cell r="H903" t="str">
            <v>SPACER</v>
          </cell>
          <cell r="I903">
            <v>360</v>
          </cell>
          <cell r="J903" t="str">
            <v>Stk</v>
          </cell>
          <cell r="K903">
            <v>45069</v>
          </cell>
          <cell r="L903" t="str">
            <v>828521</v>
          </cell>
          <cell r="M903" t="str">
            <v/>
          </cell>
          <cell r="N903" t="str">
            <v/>
          </cell>
          <cell r="O903" t="str">
            <v/>
          </cell>
          <cell r="P903" t="str">
            <v/>
          </cell>
          <cell r="Q903" t="str">
            <v/>
          </cell>
          <cell r="R903" t="str">
            <v/>
          </cell>
          <cell r="S903" t="str">
            <v/>
          </cell>
          <cell r="T903" t="str">
            <v/>
          </cell>
          <cell r="U903" t="str">
            <v>BB20038210002</v>
          </cell>
          <cell r="V903" t="str">
            <v>N52</v>
          </cell>
          <cell r="W903" t="str">
            <v/>
          </cell>
          <cell r="X903" t="str">
            <v/>
          </cell>
          <cell r="Y903" t="str">
            <v/>
          </cell>
          <cell r="Z903" t="str">
            <v/>
          </cell>
          <cell r="AA903" t="str">
            <v/>
          </cell>
          <cell r="AB903" t="str">
            <v>70002376</v>
          </cell>
          <cell r="AC903">
            <v>1</v>
          </cell>
          <cell r="AD903" t="str">
            <v/>
          </cell>
          <cell r="AE903">
            <v>0</v>
          </cell>
          <cell r="AF903" t="str">
            <v/>
          </cell>
          <cell r="AG903" t="str">
            <v>70002376</v>
          </cell>
          <cell r="AH903">
            <v>44916.135682870372</v>
          </cell>
          <cell r="AI903" t="str">
            <v>N52</v>
          </cell>
          <cell r="AJ903" t="str">
            <v>F</v>
          </cell>
          <cell r="AK903" t="str">
            <v>--</v>
          </cell>
        </row>
        <row r="904">
          <cell r="A904" t="str">
            <v>70002120828521</v>
          </cell>
          <cell r="B904" t="str">
            <v>BL20230412-1</v>
          </cell>
          <cell r="C904" t="e">
            <v>#N/A</v>
          </cell>
          <cell r="D904" t="str">
            <v>EK65</v>
          </cell>
          <cell r="E904" t="str">
            <v>704958</v>
          </cell>
          <cell r="F904" t="str">
            <v>E</v>
          </cell>
          <cell r="G904" t="str">
            <v>70002120</v>
          </cell>
          <cell r="H904" t="str">
            <v>BRACKET ASSEMBLY</v>
          </cell>
          <cell r="I904">
            <v>90</v>
          </cell>
          <cell r="J904" t="str">
            <v>Stk</v>
          </cell>
          <cell r="K904">
            <v>45069</v>
          </cell>
          <cell r="L904" t="str">
            <v>828521</v>
          </cell>
          <cell r="M904" t="str">
            <v/>
          </cell>
          <cell r="N904" t="str">
            <v/>
          </cell>
          <cell r="O904" t="str">
            <v/>
          </cell>
          <cell r="P904" t="str">
            <v/>
          </cell>
          <cell r="Q904" t="str">
            <v/>
          </cell>
          <cell r="R904" t="str">
            <v/>
          </cell>
          <cell r="S904" t="str">
            <v/>
          </cell>
          <cell r="T904" t="str">
            <v/>
          </cell>
          <cell r="U904" t="str">
            <v>BB20042711100</v>
          </cell>
          <cell r="V904" t="str">
            <v>B00</v>
          </cell>
          <cell r="W904" t="str">
            <v/>
          </cell>
          <cell r="X904" t="str">
            <v/>
          </cell>
          <cell r="Y904" t="str">
            <v/>
          </cell>
          <cell r="Z904" t="str">
            <v/>
          </cell>
          <cell r="AA904" t="str">
            <v/>
          </cell>
          <cell r="AB904" t="str">
            <v>70002120</v>
          </cell>
          <cell r="AC904">
            <v>1</v>
          </cell>
          <cell r="AD904" t="str">
            <v/>
          </cell>
          <cell r="AE904">
            <v>0</v>
          </cell>
          <cell r="AF904" t="str">
            <v/>
          </cell>
          <cell r="AG904" t="str">
            <v>70002120</v>
          </cell>
          <cell r="AH904">
            <v>44953.887256944443</v>
          </cell>
          <cell r="AI904" t="str">
            <v>B00</v>
          </cell>
          <cell r="AJ904" t="str">
            <v>F</v>
          </cell>
          <cell r="AK904" t="str">
            <v>--</v>
          </cell>
        </row>
        <row r="905">
          <cell r="A905" t="str">
            <v>70000618828521</v>
          </cell>
          <cell r="B905" t="str">
            <v>BL20230412-1</v>
          </cell>
          <cell r="C905" t="e">
            <v>#N/A</v>
          </cell>
          <cell r="D905" t="str">
            <v>EK65</v>
          </cell>
          <cell r="E905" t="str">
            <v>706770</v>
          </cell>
          <cell r="F905" t="str">
            <v>E</v>
          </cell>
          <cell r="G905" t="str">
            <v>70000618</v>
          </cell>
          <cell r="H905" t="str">
            <v>PLATE</v>
          </cell>
          <cell r="I905">
            <v>810</v>
          </cell>
          <cell r="J905" t="str">
            <v>Stk</v>
          </cell>
          <cell r="K905">
            <v>45069</v>
          </cell>
          <cell r="L905" t="str">
            <v>828521</v>
          </cell>
          <cell r="M905" t="str">
            <v/>
          </cell>
          <cell r="N905" t="str">
            <v/>
          </cell>
          <cell r="O905" t="str">
            <v/>
          </cell>
          <cell r="P905" t="str">
            <v/>
          </cell>
          <cell r="Q905" t="str">
            <v/>
          </cell>
          <cell r="R905" t="str">
            <v/>
          </cell>
          <cell r="S905" t="str">
            <v/>
          </cell>
          <cell r="T905" t="str">
            <v/>
          </cell>
          <cell r="U905" t="str">
            <v>BB19067830017</v>
          </cell>
          <cell r="V905" t="str">
            <v>B00</v>
          </cell>
          <cell r="W905" t="str">
            <v/>
          </cell>
          <cell r="X905" t="str">
            <v/>
          </cell>
          <cell r="Y905" t="str">
            <v/>
          </cell>
          <cell r="Z905" t="str">
            <v/>
          </cell>
          <cell r="AA905" t="str">
            <v/>
          </cell>
          <cell r="AB905" t="str">
            <v>70000618</v>
          </cell>
          <cell r="AC905">
            <v>1</v>
          </cell>
          <cell r="AD905" t="str">
            <v/>
          </cell>
          <cell r="AE905">
            <v>0</v>
          </cell>
          <cell r="AF905" t="str">
            <v/>
          </cell>
          <cell r="AG905" t="str">
            <v>70000618</v>
          </cell>
          <cell r="AH905">
            <v>44960.998402777775</v>
          </cell>
          <cell r="AI905" t="str">
            <v>B00</v>
          </cell>
          <cell r="AJ905" t="str">
            <v>F</v>
          </cell>
          <cell r="AK905" t="str">
            <v>--</v>
          </cell>
        </row>
        <row r="906">
          <cell r="A906" t="str">
            <v>70000796828521</v>
          </cell>
          <cell r="B906" t="str">
            <v>BL20230412-1</v>
          </cell>
          <cell r="C906" t="e">
            <v>#N/A</v>
          </cell>
          <cell r="D906" t="str">
            <v>EK65</v>
          </cell>
          <cell r="E906" t="str">
            <v>706774</v>
          </cell>
          <cell r="F906" t="str">
            <v>E</v>
          </cell>
          <cell r="G906" t="str">
            <v>70000796</v>
          </cell>
          <cell r="H906" t="str">
            <v>FOLDED PLATE</v>
          </cell>
          <cell r="I906">
            <v>1440</v>
          </cell>
          <cell r="J906" t="str">
            <v>Stk</v>
          </cell>
          <cell r="K906">
            <v>45069</v>
          </cell>
          <cell r="L906" t="str">
            <v>828521</v>
          </cell>
          <cell r="M906" t="str">
            <v/>
          </cell>
          <cell r="N906" t="str">
            <v/>
          </cell>
          <cell r="O906" t="str">
            <v/>
          </cell>
          <cell r="P906" t="str">
            <v/>
          </cell>
          <cell r="Q906" t="str">
            <v/>
          </cell>
          <cell r="R906" t="str">
            <v/>
          </cell>
          <cell r="S906" t="str">
            <v/>
          </cell>
          <cell r="T906" t="str">
            <v/>
          </cell>
          <cell r="U906" t="str">
            <v>BB20045210001</v>
          </cell>
          <cell r="V906" t="str">
            <v>B00</v>
          </cell>
          <cell r="W906" t="str">
            <v/>
          </cell>
          <cell r="X906" t="str">
            <v/>
          </cell>
          <cell r="Y906" t="str">
            <v/>
          </cell>
          <cell r="Z906" t="str">
            <v/>
          </cell>
          <cell r="AA906" t="str">
            <v/>
          </cell>
          <cell r="AB906" t="str">
            <v>70000796</v>
          </cell>
          <cell r="AC906">
            <v>1</v>
          </cell>
          <cell r="AD906" t="str">
            <v/>
          </cell>
          <cell r="AE906">
            <v>0</v>
          </cell>
          <cell r="AF906" t="str">
            <v/>
          </cell>
          <cell r="AG906" t="str">
            <v>70000796</v>
          </cell>
          <cell r="AH906">
            <v>44961.000486111108</v>
          </cell>
          <cell r="AI906" t="str">
            <v>B00</v>
          </cell>
          <cell r="AJ906" t="str">
            <v>F</v>
          </cell>
          <cell r="AK906" t="str">
            <v>--</v>
          </cell>
        </row>
        <row r="907">
          <cell r="A907" t="str">
            <v>70000798828521</v>
          </cell>
          <cell r="B907" t="str">
            <v>Zeichnung nicht versorgt</v>
          </cell>
          <cell r="C907" t="e">
            <v>#N/A</v>
          </cell>
          <cell r="D907" t="str">
            <v>EK65</v>
          </cell>
          <cell r="E907" t="str">
            <v>706775</v>
          </cell>
          <cell r="F907" t="str">
            <v>E</v>
          </cell>
          <cell r="G907" t="str">
            <v>70000798</v>
          </cell>
          <cell r="H907" t="str">
            <v>GEWINDEPLATTE GWP 41/22 - GV - M12</v>
          </cell>
          <cell r="I907">
            <v>720</v>
          </cell>
          <cell r="J907" t="str">
            <v>Stk</v>
          </cell>
          <cell r="K907">
            <v>45069</v>
          </cell>
          <cell r="L907" t="str">
            <v>828521</v>
          </cell>
          <cell r="M907" t="str">
            <v/>
          </cell>
          <cell r="N907" t="str">
            <v/>
          </cell>
          <cell r="O907" t="str">
            <v/>
          </cell>
          <cell r="P907" t="str">
            <v/>
          </cell>
          <cell r="Q907" t="str">
            <v>Galvanizado</v>
          </cell>
          <cell r="R907" t="str">
            <v>4.6</v>
          </cell>
          <cell r="S907" t="str">
            <v/>
          </cell>
          <cell r="T907" t="str">
            <v/>
          </cell>
          <cell r="U907" t="str">
            <v>BB00640306001</v>
          </cell>
          <cell r="V907" t="str">
            <v>K62</v>
          </cell>
          <cell r="W907" t="str">
            <v/>
          </cell>
          <cell r="X907" t="str">
            <v/>
          </cell>
          <cell r="Y907" t="str">
            <v/>
          </cell>
          <cell r="Z907" t="str">
            <v/>
          </cell>
          <cell r="AA907" t="str">
            <v/>
          </cell>
          <cell r="AB907" t="str">
            <v/>
          </cell>
          <cell r="AC907">
            <v>1</v>
          </cell>
          <cell r="AD907" t="str">
            <v/>
          </cell>
          <cell r="AE907">
            <v>0</v>
          </cell>
          <cell r="AF907" t="str">
            <v/>
          </cell>
          <cell r="AG907" t="str">
            <v>70000798</v>
          </cell>
          <cell r="AH907">
            <v>44961.000636574077</v>
          </cell>
          <cell r="AI907" t="str">
            <v>K62</v>
          </cell>
          <cell r="AJ907" t="str">
            <v/>
          </cell>
          <cell r="AK907" t="str">
            <v>--</v>
          </cell>
        </row>
        <row r="908">
          <cell r="A908" t="str">
            <v>70001292828521</v>
          </cell>
          <cell r="B908" t="str">
            <v>BL20230412-1</v>
          </cell>
          <cell r="C908" t="e">
            <v>#N/A</v>
          </cell>
          <cell r="D908" t="str">
            <v>EK65</v>
          </cell>
          <cell r="E908" t="str">
            <v>706835</v>
          </cell>
          <cell r="F908" t="str">
            <v>E</v>
          </cell>
          <cell r="G908" t="str">
            <v>70001292</v>
          </cell>
          <cell r="H908" t="str">
            <v>PLATE</v>
          </cell>
          <cell r="I908">
            <v>1890</v>
          </cell>
          <cell r="J908" t="str">
            <v>Stk</v>
          </cell>
          <cell r="K908">
            <v>45069</v>
          </cell>
          <cell r="L908" t="str">
            <v>828521</v>
          </cell>
          <cell r="M908" t="str">
            <v/>
          </cell>
          <cell r="N908" t="str">
            <v/>
          </cell>
          <cell r="O908" t="str">
            <v/>
          </cell>
          <cell r="P908" t="str">
            <v/>
          </cell>
          <cell r="Q908" t="str">
            <v/>
          </cell>
          <cell r="R908" t="str">
            <v/>
          </cell>
          <cell r="S908" t="str">
            <v/>
          </cell>
          <cell r="T908" t="str">
            <v/>
          </cell>
          <cell r="U908" t="str">
            <v>BB20042510002</v>
          </cell>
          <cell r="V908" t="str">
            <v>B00</v>
          </cell>
          <cell r="W908" t="str">
            <v/>
          </cell>
          <cell r="X908" t="str">
            <v/>
          </cell>
          <cell r="Y908" t="str">
            <v/>
          </cell>
          <cell r="Z908" t="str">
            <v/>
          </cell>
          <cell r="AA908" t="str">
            <v/>
          </cell>
          <cell r="AB908" t="str">
            <v>70001292</v>
          </cell>
          <cell r="AC908">
            <v>1</v>
          </cell>
          <cell r="AD908" t="str">
            <v/>
          </cell>
          <cell r="AE908">
            <v>0</v>
          </cell>
          <cell r="AF908" t="str">
            <v/>
          </cell>
          <cell r="AG908" t="str">
            <v>70001292</v>
          </cell>
          <cell r="AH908">
            <v>44961.006932870368</v>
          </cell>
          <cell r="AI908" t="str">
            <v>B00</v>
          </cell>
          <cell r="AJ908" t="str">
            <v>F</v>
          </cell>
          <cell r="AK908" t="str">
            <v>--</v>
          </cell>
        </row>
        <row r="909">
          <cell r="A909" t="str">
            <v>70001355828521</v>
          </cell>
          <cell r="B909" t="str">
            <v>BL20230412-1</v>
          </cell>
          <cell r="C909" t="e">
            <v>#N/A</v>
          </cell>
          <cell r="D909" t="str">
            <v>EK65</v>
          </cell>
          <cell r="E909" t="str">
            <v>706837</v>
          </cell>
          <cell r="F909" t="str">
            <v>E</v>
          </cell>
          <cell r="G909" t="str">
            <v>70001355</v>
          </cell>
          <cell r="H909" t="str">
            <v>CHANNEL HALFEN HM 28/15 A2 L=60</v>
          </cell>
          <cell r="I909">
            <v>90</v>
          </cell>
          <cell r="J909" t="str">
            <v>Stk</v>
          </cell>
          <cell r="K909">
            <v>45069</v>
          </cell>
          <cell r="L909" t="str">
            <v>828521</v>
          </cell>
          <cell r="M909" t="str">
            <v/>
          </cell>
          <cell r="N909" t="str">
            <v/>
          </cell>
          <cell r="O909" t="str">
            <v/>
          </cell>
          <cell r="P909" t="str">
            <v/>
          </cell>
          <cell r="Q909" t="str">
            <v/>
          </cell>
          <cell r="R909" t="str">
            <v/>
          </cell>
          <cell r="S909" t="str">
            <v/>
          </cell>
          <cell r="T909" t="str">
            <v/>
          </cell>
          <cell r="U909" t="str">
            <v>BB00640304000</v>
          </cell>
          <cell r="V909" t="str">
            <v>B50</v>
          </cell>
          <cell r="W909" t="str">
            <v/>
          </cell>
          <cell r="X909" t="str">
            <v/>
          </cell>
          <cell r="Y909" t="str">
            <v/>
          </cell>
          <cell r="Z909" t="str">
            <v/>
          </cell>
          <cell r="AA909" t="str">
            <v/>
          </cell>
          <cell r="AB909" t="str">
            <v>70001355</v>
          </cell>
          <cell r="AC909">
            <v>1</v>
          </cell>
          <cell r="AD909" t="str">
            <v/>
          </cell>
          <cell r="AE909">
            <v>0</v>
          </cell>
          <cell r="AF909" t="str">
            <v/>
          </cell>
          <cell r="AG909" t="str">
            <v>70001355</v>
          </cell>
          <cell r="AH909">
            <v>44961.007939814815</v>
          </cell>
          <cell r="AI909" t="str">
            <v>B50</v>
          </cell>
          <cell r="AJ909" t="str">
            <v>F</v>
          </cell>
          <cell r="AK909" t="str">
            <v>C0</v>
          </cell>
        </row>
        <row r="910">
          <cell r="A910" t="str">
            <v>70002052828521</v>
          </cell>
          <cell r="B910" t="str">
            <v>BL20230412-1</v>
          </cell>
          <cell r="C910" t="e">
            <v>#N/A</v>
          </cell>
          <cell r="D910" t="str">
            <v>EK65</v>
          </cell>
          <cell r="E910" t="str">
            <v>706908</v>
          </cell>
          <cell r="F910" t="str">
            <v>E</v>
          </cell>
          <cell r="G910" t="str">
            <v>70002052</v>
          </cell>
          <cell r="H910" t="str">
            <v>BRACKET</v>
          </cell>
          <cell r="I910">
            <v>90</v>
          </cell>
          <cell r="J910" t="str">
            <v>Stk</v>
          </cell>
          <cell r="K910">
            <v>45069</v>
          </cell>
          <cell r="L910" t="str">
            <v>828521</v>
          </cell>
          <cell r="M910" t="str">
            <v/>
          </cell>
          <cell r="N910" t="str">
            <v/>
          </cell>
          <cell r="O910" t="str">
            <v/>
          </cell>
          <cell r="P910" t="str">
            <v/>
          </cell>
          <cell r="Q910" t="str">
            <v/>
          </cell>
          <cell r="R910" t="str">
            <v/>
          </cell>
          <cell r="S910" t="str">
            <v/>
          </cell>
          <cell r="T910" t="str">
            <v/>
          </cell>
          <cell r="U910" t="str">
            <v>BB20042410004</v>
          </cell>
          <cell r="V910" t="str">
            <v>B00</v>
          </cell>
          <cell r="W910" t="str">
            <v/>
          </cell>
          <cell r="X910" t="str">
            <v/>
          </cell>
          <cell r="Y910" t="str">
            <v/>
          </cell>
          <cell r="Z910" t="str">
            <v/>
          </cell>
          <cell r="AA910" t="str">
            <v/>
          </cell>
          <cell r="AB910" t="str">
            <v>70002052</v>
          </cell>
          <cell r="AC910">
            <v>1</v>
          </cell>
          <cell r="AD910" t="str">
            <v/>
          </cell>
          <cell r="AE910">
            <v>0</v>
          </cell>
          <cell r="AF910" t="str">
            <v/>
          </cell>
          <cell r="AG910" t="str">
            <v>70002052</v>
          </cell>
          <cell r="AH910">
            <v>44961.013749999998</v>
          </cell>
          <cell r="AI910" t="str">
            <v>B00</v>
          </cell>
          <cell r="AJ910" t="str">
            <v>F</v>
          </cell>
          <cell r="AK910" t="str">
            <v>--</v>
          </cell>
        </row>
        <row r="911">
          <cell r="A911" t="str">
            <v>70002053828521</v>
          </cell>
          <cell r="B911" t="str">
            <v>BL20230412-1</v>
          </cell>
          <cell r="C911" t="e">
            <v>#N/A</v>
          </cell>
          <cell r="D911" t="str">
            <v>EK65</v>
          </cell>
          <cell r="E911" t="str">
            <v>706909</v>
          </cell>
          <cell r="F911" t="str">
            <v>E</v>
          </cell>
          <cell r="G911" t="str">
            <v>70002053</v>
          </cell>
          <cell r="H911" t="str">
            <v>PLATE</v>
          </cell>
          <cell r="I911">
            <v>180</v>
          </cell>
          <cell r="J911" t="str">
            <v>Stk</v>
          </cell>
          <cell r="K911">
            <v>45069</v>
          </cell>
          <cell r="L911" t="str">
            <v>828521</v>
          </cell>
          <cell r="M911" t="str">
            <v/>
          </cell>
          <cell r="N911" t="str">
            <v/>
          </cell>
          <cell r="O911" t="str">
            <v/>
          </cell>
          <cell r="P911" t="str">
            <v/>
          </cell>
          <cell r="Q911" t="str">
            <v/>
          </cell>
          <cell r="R911" t="str">
            <v/>
          </cell>
          <cell r="S911" t="str">
            <v/>
          </cell>
          <cell r="T911" t="str">
            <v/>
          </cell>
          <cell r="U911" t="str">
            <v>BB20042410007</v>
          </cell>
          <cell r="V911" t="str">
            <v>B00</v>
          </cell>
          <cell r="W911" t="str">
            <v/>
          </cell>
          <cell r="X911" t="str">
            <v/>
          </cell>
          <cell r="Y911" t="str">
            <v/>
          </cell>
          <cell r="Z911" t="str">
            <v/>
          </cell>
          <cell r="AA911" t="str">
            <v/>
          </cell>
          <cell r="AB911" t="str">
            <v>70002053</v>
          </cell>
          <cell r="AC911">
            <v>1</v>
          </cell>
          <cell r="AD911" t="str">
            <v/>
          </cell>
          <cell r="AE911">
            <v>0</v>
          </cell>
          <cell r="AF911" t="str">
            <v/>
          </cell>
          <cell r="AG911" t="str">
            <v>70002053</v>
          </cell>
          <cell r="AH911">
            <v>44961.013761574075</v>
          </cell>
          <cell r="AI911" t="str">
            <v>B00</v>
          </cell>
          <cell r="AJ911" t="str">
            <v>F</v>
          </cell>
          <cell r="AK911" t="str">
            <v>--</v>
          </cell>
        </row>
        <row r="912">
          <cell r="A912" t="str">
            <v>70002054828521</v>
          </cell>
          <cell r="B912" t="str">
            <v>BL20230412-1</v>
          </cell>
          <cell r="C912" t="e">
            <v>#N/A</v>
          </cell>
          <cell r="D912" t="str">
            <v>EK65</v>
          </cell>
          <cell r="E912" t="str">
            <v>706910</v>
          </cell>
          <cell r="F912" t="str">
            <v>E</v>
          </cell>
          <cell r="G912" t="str">
            <v>70002054</v>
          </cell>
          <cell r="H912" t="str">
            <v>SUPPORT ASSEMBLY</v>
          </cell>
          <cell r="I912">
            <v>90</v>
          </cell>
          <cell r="J912" t="str">
            <v>Stk</v>
          </cell>
          <cell r="K912">
            <v>45069</v>
          </cell>
          <cell r="L912" t="str">
            <v>828521</v>
          </cell>
          <cell r="M912" t="str">
            <v/>
          </cell>
          <cell r="N912" t="str">
            <v/>
          </cell>
          <cell r="O912" t="str">
            <v/>
          </cell>
          <cell r="P912" t="str">
            <v/>
          </cell>
          <cell r="Q912" t="str">
            <v/>
          </cell>
          <cell r="R912" t="str">
            <v/>
          </cell>
          <cell r="S912" t="str">
            <v/>
          </cell>
          <cell r="T912" t="str">
            <v/>
          </cell>
          <cell r="U912" t="str">
            <v>BB20042410800</v>
          </cell>
          <cell r="V912" t="str">
            <v>B00</v>
          </cell>
          <cell r="W912" t="str">
            <v/>
          </cell>
          <cell r="X912" t="str">
            <v/>
          </cell>
          <cell r="Y912" t="str">
            <v/>
          </cell>
          <cell r="Z912" t="str">
            <v/>
          </cell>
          <cell r="AA912" t="str">
            <v/>
          </cell>
          <cell r="AB912" t="str">
            <v>70002054</v>
          </cell>
          <cell r="AC912">
            <v>1</v>
          </cell>
          <cell r="AD912" t="str">
            <v/>
          </cell>
          <cell r="AE912">
            <v>0</v>
          </cell>
          <cell r="AF912" t="str">
            <v/>
          </cell>
          <cell r="AG912" t="str">
            <v>70002054</v>
          </cell>
          <cell r="AH912">
            <v>44961.013773148145</v>
          </cell>
          <cell r="AI912" t="str">
            <v>B00</v>
          </cell>
          <cell r="AJ912" t="str">
            <v>F</v>
          </cell>
          <cell r="AK912" t="str">
            <v>--</v>
          </cell>
        </row>
        <row r="913">
          <cell r="A913" t="str">
            <v>70002055828521</v>
          </cell>
          <cell r="B913" t="str">
            <v>BL20230412-1</v>
          </cell>
          <cell r="C913" t="e">
            <v>#N/A</v>
          </cell>
          <cell r="D913" t="str">
            <v>EK65</v>
          </cell>
          <cell r="E913" t="str">
            <v>706911</v>
          </cell>
          <cell r="F913" t="str">
            <v>E</v>
          </cell>
          <cell r="G913" t="str">
            <v>70002055</v>
          </cell>
          <cell r="H913" t="str">
            <v>SUPPORT ASSEMBLY</v>
          </cell>
          <cell r="I913">
            <v>90</v>
          </cell>
          <cell r="J913" t="str">
            <v>Stk</v>
          </cell>
          <cell r="K913">
            <v>45069</v>
          </cell>
          <cell r="L913" t="str">
            <v>828521</v>
          </cell>
          <cell r="M913" t="str">
            <v/>
          </cell>
          <cell r="N913" t="str">
            <v/>
          </cell>
          <cell r="O913" t="str">
            <v/>
          </cell>
          <cell r="P913" t="str">
            <v/>
          </cell>
          <cell r="Q913" t="str">
            <v/>
          </cell>
          <cell r="R913" t="str">
            <v/>
          </cell>
          <cell r="S913" t="str">
            <v/>
          </cell>
          <cell r="T913" t="str">
            <v/>
          </cell>
          <cell r="U913" t="str">
            <v>BB20042410900</v>
          </cell>
          <cell r="V913" t="str">
            <v>B00</v>
          </cell>
          <cell r="W913" t="str">
            <v/>
          </cell>
          <cell r="X913" t="str">
            <v/>
          </cell>
          <cell r="Y913" t="str">
            <v/>
          </cell>
          <cell r="Z913" t="str">
            <v/>
          </cell>
          <cell r="AA913" t="str">
            <v/>
          </cell>
          <cell r="AB913" t="str">
            <v>70002055</v>
          </cell>
          <cell r="AC913">
            <v>1</v>
          </cell>
          <cell r="AD913" t="str">
            <v/>
          </cell>
          <cell r="AE913">
            <v>0</v>
          </cell>
          <cell r="AF913" t="str">
            <v/>
          </cell>
          <cell r="AG913" t="str">
            <v>70002055</v>
          </cell>
          <cell r="AH913">
            <v>44961.013796296298</v>
          </cell>
          <cell r="AI913" t="str">
            <v>B00</v>
          </cell>
          <cell r="AJ913" t="str">
            <v>F</v>
          </cell>
          <cell r="AK913" t="str">
            <v>--</v>
          </cell>
        </row>
        <row r="914">
          <cell r="A914" t="str">
            <v>70002118828521</v>
          </cell>
          <cell r="B914" t="str">
            <v>BL20230412-1</v>
          </cell>
          <cell r="C914" t="e">
            <v>#N/A</v>
          </cell>
          <cell r="D914" t="str">
            <v>EK65</v>
          </cell>
          <cell r="E914" t="str">
            <v>706920</v>
          </cell>
          <cell r="F914" t="str">
            <v>E</v>
          </cell>
          <cell r="G914" t="str">
            <v>70002118</v>
          </cell>
          <cell r="H914" t="str">
            <v>BRACKET ASSEMBLY</v>
          </cell>
          <cell r="I914">
            <v>90</v>
          </cell>
          <cell r="J914" t="str">
            <v>Stk</v>
          </cell>
          <cell r="K914">
            <v>45069</v>
          </cell>
          <cell r="L914" t="str">
            <v>828521</v>
          </cell>
          <cell r="M914" t="str">
            <v/>
          </cell>
          <cell r="N914" t="str">
            <v/>
          </cell>
          <cell r="O914" t="str">
            <v/>
          </cell>
          <cell r="P914" t="str">
            <v/>
          </cell>
          <cell r="Q914" t="str">
            <v/>
          </cell>
          <cell r="R914" t="str">
            <v/>
          </cell>
          <cell r="S914" t="str">
            <v/>
          </cell>
          <cell r="T914" t="str">
            <v/>
          </cell>
          <cell r="U914" t="str">
            <v>BB20042710900</v>
          </cell>
          <cell r="V914" t="str">
            <v>B00</v>
          </cell>
          <cell r="W914" t="str">
            <v/>
          </cell>
          <cell r="X914" t="str">
            <v/>
          </cell>
          <cell r="Y914" t="str">
            <v/>
          </cell>
          <cell r="Z914" t="str">
            <v/>
          </cell>
          <cell r="AA914" t="str">
            <v/>
          </cell>
          <cell r="AB914" t="str">
            <v>70002118</v>
          </cell>
          <cell r="AC914">
            <v>1</v>
          </cell>
          <cell r="AD914" t="str">
            <v/>
          </cell>
          <cell r="AE914">
            <v>0</v>
          </cell>
          <cell r="AF914" t="str">
            <v/>
          </cell>
          <cell r="AG914" t="str">
            <v>70002118</v>
          </cell>
          <cell r="AH914">
            <v>44961.014826388891</v>
          </cell>
          <cell r="AI914" t="str">
            <v>B00</v>
          </cell>
          <cell r="AJ914" t="str">
            <v>F</v>
          </cell>
          <cell r="AK914" t="str">
            <v>--</v>
          </cell>
        </row>
        <row r="915">
          <cell r="A915" t="str">
            <v>70002119828521</v>
          </cell>
          <cell r="B915" t="str">
            <v>BL20230412-1</v>
          </cell>
          <cell r="C915" t="e">
            <v>#N/A</v>
          </cell>
          <cell r="D915" t="str">
            <v>EK65</v>
          </cell>
          <cell r="E915" t="str">
            <v>706921</v>
          </cell>
          <cell r="F915" t="str">
            <v>E</v>
          </cell>
          <cell r="G915" t="str">
            <v>70002119</v>
          </cell>
          <cell r="H915" t="str">
            <v>BRACKET ASSEMBLY</v>
          </cell>
          <cell r="I915">
            <v>90</v>
          </cell>
          <cell r="J915" t="str">
            <v>Stk</v>
          </cell>
          <cell r="K915">
            <v>45069</v>
          </cell>
          <cell r="L915" t="str">
            <v>828521</v>
          </cell>
          <cell r="M915" t="str">
            <v/>
          </cell>
          <cell r="N915" t="str">
            <v/>
          </cell>
          <cell r="O915" t="str">
            <v/>
          </cell>
          <cell r="P915" t="str">
            <v/>
          </cell>
          <cell r="Q915" t="str">
            <v/>
          </cell>
          <cell r="R915" t="str">
            <v/>
          </cell>
          <cell r="S915" t="str">
            <v/>
          </cell>
          <cell r="T915" t="str">
            <v/>
          </cell>
          <cell r="U915" t="str">
            <v>BB20042711000</v>
          </cell>
          <cell r="V915" t="str">
            <v>B00</v>
          </cell>
          <cell r="W915" t="str">
            <v/>
          </cell>
          <cell r="X915" t="str">
            <v/>
          </cell>
          <cell r="Y915" t="str">
            <v/>
          </cell>
          <cell r="Z915" t="str">
            <v/>
          </cell>
          <cell r="AA915" t="str">
            <v/>
          </cell>
          <cell r="AB915" t="str">
            <v>70002119</v>
          </cell>
          <cell r="AC915">
            <v>1</v>
          </cell>
          <cell r="AD915" t="str">
            <v/>
          </cell>
          <cell r="AE915">
            <v>0</v>
          </cell>
          <cell r="AF915" t="str">
            <v/>
          </cell>
          <cell r="AG915" t="str">
            <v>70002119</v>
          </cell>
          <cell r="AH915">
            <v>44961.014837962961</v>
          </cell>
          <cell r="AI915" t="str">
            <v>B00</v>
          </cell>
          <cell r="AJ915" t="str">
            <v>F</v>
          </cell>
          <cell r="AK915" t="str">
            <v>--</v>
          </cell>
        </row>
        <row r="916">
          <cell r="A916" t="str">
            <v>70002121828521</v>
          </cell>
          <cell r="B916" t="str">
            <v>BL20230412-1</v>
          </cell>
          <cell r="C916" t="e">
            <v>#N/A</v>
          </cell>
          <cell r="D916" t="str">
            <v>EK65</v>
          </cell>
          <cell r="E916" t="str">
            <v>706922</v>
          </cell>
          <cell r="F916" t="str">
            <v>E</v>
          </cell>
          <cell r="G916" t="str">
            <v>70002121</v>
          </cell>
          <cell r="H916" t="str">
            <v>BRACKET ASSEMBLY</v>
          </cell>
          <cell r="I916">
            <v>90</v>
          </cell>
          <cell r="J916" t="str">
            <v>Stk</v>
          </cell>
          <cell r="K916">
            <v>45069</v>
          </cell>
          <cell r="L916" t="str">
            <v>828521</v>
          </cell>
          <cell r="M916" t="str">
            <v/>
          </cell>
          <cell r="N916" t="str">
            <v/>
          </cell>
          <cell r="O916" t="str">
            <v/>
          </cell>
          <cell r="P916" t="str">
            <v/>
          </cell>
          <cell r="Q916" t="str">
            <v/>
          </cell>
          <cell r="R916" t="str">
            <v/>
          </cell>
          <cell r="S916" t="str">
            <v/>
          </cell>
          <cell r="T916" t="str">
            <v/>
          </cell>
          <cell r="U916" t="str">
            <v>BB20042711200</v>
          </cell>
          <cell r="V916" t="str">
            <v>B00</v>
          </cell>
          <cell r="W916" t="str">
            <v/>
          </cell>
          <cell r="X916" t="str">
            <v/>
          </cell>
          <cell r="Y916" t="str">
            <v/>
          </cell>
          <cell r="Z916" t="str">
            <v/>
          </cell>
          <cell r="AA916" t="str">
            <v/>
          </cell>
          <cell r="AB916" t="str">
            <v>70002121</v>
          </cell>
          <cell r="AC916">
            <v>1</v>
          </cell>
          <cell r="AD916" t="str">
            <v/>
          </cell>
          <cell r="AE916">
            <v>0</v>
          </cell>
          <cell r="AF916" t="str">
            <v/>
          </cell>
          <cell r="AG916" t="str">
            <v>70002121</v>
          </cell>
          <cell r="AH916">
            <v>44961.014861111114</v>
          </cell>
          <cell r="AI916" t="str">
            <v>B00</v>
          </cell>
          <cell r="AJ916" t="str">
            <v>F</v>
          </cell>
          <cell r="AK916" t="str">
            <v>--</v>
          </cell>
        </row>
        <row r="917">
          <cell r="A917" t="str">
            <v>70002123828521</v>
          </cell>
          <cell r="B917" t="str">
            <v>BL20230413-2</v>
          </cell>
          <cell r="C917" t="e">
            <v>#N/A</v>
          </cell>
          <cell r="D917" t="str">
            <v>EK65</v>
          </cell>
          <cell r="E917" t="str">
            <v>706923</v>
          </cell>
          <cell r="F917" t="str">
            <v>E</v>
          </cell>
          <cell r="G917" t="str">
            <v>70002123</v>
          </cell>
          <cell r="H917" t="str">
            <v>SHIM</v>
          </cell>
          <cell r="I917">
            <v>360</v>
          </cell>
          <cell r="J917" t="str">
            <v>Stk</v>
          </cell>
          <cell r="K917">
            <v>45069</v>
          </cell>
          <cell r="L917" t="str">
            <v>828521</v>
          </cell>
          <cell r="M917" t="str">
            <v/>
          </cell>
          <cell r="N917" t="str">
            <v/>
          </cell>
          <cell r="O917" t="str">
            <v/>
          </cell>
          <cell r="P917" t="str">
            <v/>
          </cell>
          <cell r="Q917" t="str">
            <v/>
          </cell>
          <cell r="R917" t="str">
            <v/>
          </cell>
          <cell r="S917" t="str">
            <v/>
          </cell>
          <cell r="T917" t="str">
            <v/>
          </cell>
          <cell r="U917" t="str">
            <v>BB20042710002</v>
          </cell>
          <cell r="V917" t="str">
            <v>B00</v>
          </cell>
          <cell r="W917" t="str">
            <v/>
          </cell>
          <cell r="X917" t="str">
            <v/>
          </cell>
          <cell r="Y917" t="str">
            <v/>
          </cell>
          <cell r="Z917" t="str">
            <v/>
          </cell>
          <cell r="AA917" t="str">
            <v/>
          </cell>
          <cell r="AB917" t="str">
            <v>70002123</v>
          </cell>
          <cell r="AC917">
            <v>1</v>
          </cell>
          <cell r="AD917" t="str">
            <v/>
          </cell>
          <cell r="AE917">
            <v>0</v>
          </cell>
          <cell r="AF917" t="str">
            <v/>
          </cell>
          <cell r="AG917" t="str">
            <v>70002123</v>
          </cell>
          <cell r="AH917">
            <v>44961.01489583333</v>
          </cell>
          <cell r="AI917" t="str">
            <v>B00</v>
          </cell>
          <cell r="AJ917" t="str">
            <v>F</v>
          </cell>
          <cell r="AK917" t="str">
            <v>--</v>
          </cell>
        </row>
        <row r="918">
          <cell r="A918" t="str">
            <v>70002343828521</v>
          </cell>
          <cell r="B918" t="str">
            <v>BL20230413-2</v>
          </cell>
          <cell r="C918" t="e">
            <v>#N/A</v>
          </cell>
          <cell r="D918" t="str">
            <v>EK65</v>
          </cell>
          <cell r="E918" t="str">
            <v>706924</v>
          </cell>
          <cell r="F918" t="str">
            <v>E</v>
          </cell>
          <cell r="G918" t="str">
            <v>70002343</v>
          </cell>
          <cell r="H918" t="str">
            <v>FOLDED PLATE</v>
          </cell>
          <cell r="I918">
            <v>1440</v>
          </cell>
          <cell r="J918" t="str">
            <v>Stk</v>
          </cell>
          <cell r="K918">
            <v>45069</v>
          </cell>
          <cell r="L918" t="str">
            <v>828521</v>
          </cell>
          <cell r="M918" t="str">
            <v/>
          </cell>
          <cell r="N918" t="str">
            <v/>
          </cell>
          <cell r="O918" t="str">
            <v/>
          </cell>
          <cell r="P918" t="str">
            <v/>
          </cell>
          <cell r="Q918" t="str">
            <v/>
          </cell>
          <cell r="R918" t="str">
            <v/>
          </cell>
          <cell r="S918" t="str">
            <v/>
          </cell>
          <cell r="T918" t="str">
            <v/>
          </cell>
          <cell r="U918" t="str">
            <v>BB20044210002</v>
          </cell>
          <cell r="V918" t="str">
            <v>B00</v>
          </cell>
          <cell r="W918" t="str">
            <v/>
          </cell>
          <cell r="X918" t="str">
            <v/>
          </cell>
          <cell r="Y918" t="str">
            <v/>
          </cell>
          <cell r="Z918" t="str">
            <v/>
          </cell>
          <cell r="AA918" t="str">
            <v/>
          </cell>
          <cell r="AB918" t="str">
            <v>70002343</v>
          </cell>
          <cell r="AC918">
            <v>1</v>
          </cell>
          <cell r="AD918" t="str">
            <v/>
          </cell>
          <cell r="AE918">
            <v>0</v>
          </cell>
          <cell r="AF918" t="str">
            <v/>
          </cell>
          <cell r="AG918" t="str">
            <v>70002343</v>
          </cell>
          <cell r="AH918">
            <v>44961.016122685185</v>
          </cell>
          <cell r="AI918" t="str">
            <v>B00</v>
          </cell>
          <cell r="AJ918" t="str">
            <v>F</v>
          </cell>
          <cell r="AK918" t="str">
            <v>--</v>
          </cell>
        </row>
        <row r="919">
          <cell r="A919" t="str">
            <v>70002354828521</v>
          </cell>
          <cell r="B919" t="str">
            <v>BL20230413-2</v>
          </cell>
          <cell r="C919" t="e">
            <v>#N/A</v>
          </cell>
          <cell r="D919" t="str">
            <v>EK65</v>
          </cell>
          <cell r="E919" t="str">
            <v>706925</v>
          </cell>
          <cell r="F919" t="str">
            <v>E</v>
          </cell>
          <cell r="G919" t="str">
            <v>70002354</v>
          </cell>
          <cell r="H919" t="str">
            <v>ALUMINUM BUFFER</v>
          </cell>
          <cell r="I919">
            <v>90</v>
          </cell>
          <cell r="J919" t="str">
            <v>Stk</v>
          </cell>
          <cell r="K919">
            <v>45069</v>
          </cell>
          <cell r="L919" t="str">
            <v>828521</v>
          </cell>
          <cell r="M919" t="str">
            <v/>
          </cell>
          <cell r="N919" t="str">
            <v/>
          </cell>
          <cell r="O919" t="str">
            <v/>
          </cell>
          <cell r="P919" t="str">
            <v/>
          </cell>
          <cell r="Q919" t="str">
            <v/>
          </cell>
          <cell r="R919" t="str">
            <v/>
          </cell>
          <cell r="S919" t="str">
            <v/>
          </cell>
          <cell r="T919" t="str">
            <v/>
          </cell>
          <cell r="U919" t="str">
            <v>BB14544230025</v>
          </cell>
          <cell r="V919" t="str">
            <v>B00</v>
          </cell>
          <cell r="W919" t="str">
            <v/>
          </cell>
          <cell r="X919" t="str">
            <v/>
          </cell>
          <cell r="Y919" t="str">
            <v/>
          </cell>
          <cell r="Z919" t="str">
            <v/>
          </cell>
          <cell r="AA919" t="str">
            <v/>
          </cell>
          <cell r="AB919" t="str">
            <v>70002354</v>
          </cell>
          <cell r="AC919">
            <v>1</v>
          </cell>
          <cell r="AD919" t="str">
            <v/>
          </cell>
          <cell r="AE919">
            <v>0</v>
          </cell>
          <cell r="AF919" t="str">
            <v/>
          </cell>
          <cell r="AG919" t="str">
            <v>70002354</v>
          </cell>
          <cell r="AH919">
            <v>44961.016319444447</v>
          </cell>
          <cell r="AI919" t="str">
            <v>B00</v>
          </cell>
          <cell r="AJ919" t="str">
            <v>F</v>
          </cell>
          <cell r="AK919" t="str">
            <v>--</v>
          </cell>
        </row>
        <row r="920">
          <cell r="A920" t="str">
            <v>70002355828521</v>
          </cell>
          <cell r="B920" t="str">
            <v>BL20230413-2</v>
          </cell>
          <cell r="C920" t="e">
            <v>#N/A</v>
          </cell>
          <cell r="D920" t="str">
            <v>EK65</v>
          </cell>
          <cell r="E920" t="str">
            <v>706926</v>
          </cell>
          <cell r="F920" t="str">
            <v>E</v>
          </cell>
          <cell r="G920" t="str">
            <v>70002355</v>
          </cell>
          <cell r="H920" t="str">
            <v>SHIM 2MM</v>
          </cell>
          <cell r="I920">
            <v>360</v>
          </cell>
          <cell r="J920" t="str">
            <v>Stk</v>
          </cell>
          <cell r="K920">
            <v>45069</v>
          </cell>
          <cell r="L920" t="str">
            <v>828521</v>
          </cell>
          <cell r="M920" t="str">
            <v/>
          </cell>
          <cell r="N920" t="str">
            <v/>
          </cell>
          <cell r="O920" t="str">
            <v/>
          </cell>
          <cell r="P920" t="str">
            <v/>
          </cell>
          <cell r="Q920" t="str">
            <v/>
          </cell>
          <cell r="R920" t="str">
            <v/>
          </cell>
          <cell r="S920" t="str">
            <v/>
          </cell>
          <cell r="T920" t="str">
            <v/>
          </cell>
          <cell r="U920" t="str">
            <v>BB20044410005</v>
          </cell>
          <cell r="V920" t="str">
            <v>B00</v>
          </cell>
          <cell r="W920" t="str">
            <v/>
          </cell>
          <cell r="X920" t="str">
            <v/>
          </cell>
          <cell r="Y920" t="str">
            <v/>
          </cell>
          <cell r="Z920" t="str">
            <v/>
          </cell>
          <cell r="AA920" t="str">
            <v/>
          </cell>
          <cell r="AB920" t="str">
            <v>70002355</v>
          </cell>
          <cell r="AC920">
            <v>1</v>
          </cell>
          <cell r="AD920" t="str">
            <v/>
          </cell>
          <cell r="AE920">
            <v>0</v>
          </cell>
          <cell r="AF920" t="str">
            <v/>
          </cell>
          <cell r="AG920" t="str">
            <v>70002355</v>
          </cell>
          <cell r="AH920">
            <v>44961.016331018516</v>
          </cell>
          <cell r="AI920" t="str">
            <v>B00</v>
          </cell>
          <cell r="AJ920" t="str">
            <v>F</v>
          </cell>
          <cell r="AK920" t="str">
            <v>--</v>
          </cell>
        </row>
        <row r="921">
          <cell r="A921" t="str">
            <v>0418105</v>
          </cell>
          <cell r="B921" t="str">
            <v>BL20230412-1</v>
          </cell>
          <cell r="C921" t="e">
            <v>#N/A</v>
          </cell>
          <cell r="D921" t="str">
            <v>EK65</v>
          </cell>
          <cell r="E921" t="str">
            <v>687301</v>
          </cell>
          <cell r="F921" t="str">
            <v>B</v>
          </cell>
          <cell r="G921" t="str">
            <v>0418105</v>
          </cell>
          <cell r="H921" t="str">
            <v>Ausgleichsplatte</v>
          </cell>
          <cell r="I921">
            <v>23</v>
          </cell>
          <cell r="J921" t="str">
            <v>Stk</v>
          </cell>
          <cell r="K921">
            <v>44918</v>
          </cell>
          <cell r="L921" t="str">
            <v/>
          </cell>
          <cell r="M921" t="str">
            <v/>
          </cell>
          <cell r="N921" t="str">
            <v/>
          </cell>
          <cell r="O921" t="str">
            <v/>
          </cell>
          <cell r="P921" t="str">
            <v/>
          </cell>
          <cell r="Q921" t="str">
            <v/>
          </cell>
          <cell r="R921" t="str">
            <v/>
          </cell>
          <cell r="S921" t="str">
            <v/>
          </cell>
          <cell r="T921" t="str">
            <v/>
          </cell>
          <cell r="U921" t="str">
            <v/>
          </cell>
          <cell r="V921" t="str">
            <v>N32</v>
          </cell>
          <cell r="W921" t="str">
            <v/>
          </cell>
          <cell r="X921" t="str">
            <v/>
          </cell>
          <cell r="Y921" t="str">
            <v/>
          </cell>
          <cell r="Z921" t="str">
            <v/>
          </cell>
          <cell r="AA921" t="str">
            <v/>
          </cell>
          <cell r="AB921" t="str">
            <v>PA_2186430-BG.7500-3P.3</v>
          </cell>
          <cell r="AC921">
            <v>4</v>
          </cell>
          <cell r="AD921" t="str">
            <v/>
          </cell>
          <cell r="AE921">
            <v>0</v>
          </cell>
          <cell r="AF921" t="str">
            <v/>
          </cell>
          <cell r="AG921" t="str">
            <v>0418105</v>
          </cell>
          <cell r="AH921">
            <v>44916.834050925929</v>
          </cell>
          <cell r="AI921" t="str">
            <v>N32</v>
          </cell>
          <cell r="AJ921" t="str">
            <v>F</v>
          </cell>
          <cell r="AK921" t="str">
            <v>B</v>
          </cell>
        </row>
        <row r="922">
          <cell r="A922" t="str">
            <v>0418138</v>
          </cell>
          <cell r="B922" t="str">
            <v>BL20230412-1</v>
          </cell>
          <cell r="C922" t="e">
            <v>#N/A</v>
          </cell>
          <cell r="D922" t="str">
            <v>EK65</v>
          </cell>
          <cell r="E922" t="str">
            <v>687302</v>
          </cell>
          <cell r="F922" t="str">
            <v>B</v>
          </cell>
          <cell r="G922" t="str">
            <v>0418138</v>
          </cell>
          <cell r="H922" t="str">
            <v>Ausgleichsplatte</v>
          </cell>
          <cell r="I922">
            <v>49</v>
          </cell>
          <cell r="J922" t="str">
            <v>Stk</v>
          </cell>
          <cell r="K922">
            <v>44918</v>
          </cell>
          <cell r="L922" t="str">
            <v/>
          </cell>
          <cell r="M922" t="str">
            <v/>
          </cell>
          <cell r="N922" t="str">
            <v/>
          </cell>
          <cell r="O922" t="str">
            <v/>
          </cell>
          <cell r="P922" t="str">
            <v/>
          </cell>
          <cell r="Q922" t="str">
            <v/>
          </cell>
          <cell r="R922" t="str">
            <v/>
          </cell>
          <cell r="S922" t="str">
            <v/>
          </cell>
          <cell r="T922" t="str">
            <v/>
          </cell>
          <cell r="U922" t="str">
            <v/>
          </cell>
          <cell r="V922" t="str">
            <v>N32</v>
          </cell>
          <cell r="W922" t="str">
            <v/>
          </cell>
          <cell r="X922" t="str">
            <v/>
          </cell>
          <cell r="Y922" t="str">
            <v/>
          </cell>
          <cell r="Z922" t="str">
            <v/>
          </cell>
          <cell r="AA922" t="str">
            <v/>
          </cell>
          <cell r="AB922" t="str">
            <v>PA_2186430-BG.7500-3P.5</v>
          </cell>
          <cell r="AC922">
            <v>4</v>
          </cell>
          <cell r="AD922" t="str">
            <v/>
          </cell>
          <cell r="AE922">
            <v>0</v>
          </cell>
          <cell r="AF922" t="str">
            <v/>
          </cell>
          <cell r="AG922" t="str">
            <v>0418138</v>
          </cell>
          <cell r="AH922">
            <v>44916.834050925929</v>
          </cell>
          <cell r="AI922" t="str">
            <v>N32</v>
          </cell>
          <cell r="AJ922" t="str">
            <v>F</v>
          </cell>
          <cell r="AK922" t="str">
            <v>B</v>
          </cell>
        </row>
        <row r="923">
          <cell r="A923" t="str">
            <v>1065219</v>
          </cell>
          <cell r="B923" t="str">
            <v>BL20230412-1</v>
          </cell>
          <cell r="C923" t="e">
            <v>#N/A</v>
          </cell>
          <cell r="D923" t="str">
            <v>EK65</v>
          </cell>
          <cell r="E923" t="str">
            <v>687337</v>
          </cell>
          <cell r="F923" t="str">
            <v>B</v>
          </cell>
          <cell r="G923" t="str">
            <v>1065219</v>
          </cell>
          <cell r="H923" t="str">
            <v>Dehnhuelse</v>
          </cell>
          <cell r="I923">
            <v>18</v>
          </cell>
          <cell r="J923" t="str">
            <v>Stk</v>
          </cell>
          <cell r="K923">
            <v>44918</v>
          </cell>
          <cell r="L923" t="str">
            <v/>
          </cell>
          <cell r="M923" t="str">
            <v/>
          </cell>
          <cell r="N923" t="str">
            <v/>
          </cell>
          <cell r="O923" t="str">
            <v/>
          </cell>
          <cell r="P923" t="str">
            <v/>
          </cell>
          <cell r="Q923" t="str">
            <v/>
          </cell>
          <cell r="R923" t="str">
            <v/>
          </cell>
          <cell r="S923" t="str">
            <v/>
          </cell>
          <cell r="T923" t="str">
            <v/>
          </cell>
          <cell r="U923" t="str">
            <v/>
          </cell>
          <cell r="V923" t="str">
            <v>N52</v>
          </cell>
          <cell r="W923" t="str">
            <v/>
          </cell>
          <cell r="X923" t="str">
            <v/>
          </cell>
          <cell r="Y923" t="str">
            <v/>
          </cell>
          <cell r="Z923" t="str">
            <v/>
          </cell>
          <cell r="AA923" t="str">
            <v/>
          </cell>
          <cell r="AB923" t="str">
            <v>PA_2260193-QE.7501-4</v>
          </cell>
          <cell r="AC923">
            <v>4</v>
          </cell>
          <cell r="AD923" t="str">
            <v/>
          </cell>
          <cell r="AE923">
            <v>0</v>
          </cell>
          <cell r="AF923" t="str">
            <v/>
          </cell>
          <cell r="AG923" t="str">
            <v>1065219</v>
          </cell>
          <cell r="AH923">
            <v>44916.835034722222</v>
          </cell>
          <cell r="AI923" t="str">
            <v>N52</v>
          </cell>
          <cell r="AJ923" t="str">
            <v>F</v>
          </cell>
          <cell r="AK923" t="str">
            <v/>
          </cell>
        </row>
        <row r="924">
          <cell r="A924" t="str">
            <v>1100505</v>
          </cell>
          <cell r="B924" t="str">
            <v>BL20230412-1</v>
          </cell>
          <cell r="C924" t="e">
            <v>#N/A</v>
          </cell>
          <cell r="D924" t="str">
            <v>EK65</v>
          </cell>
          <cell r="E924" t="str">
            <v>687338</v>
          </cell>
          <cell r="F924" t="str">
            <v>B</v>
          </cell>
          <cell r="G924" t="str">
            <v>1100505</v>
          </cell>
          <cell r="H924" t="str">
            <v>Ueberwurfmutter M36x2</v>
          </cell>
          <cell r="I924">
            <v>2</v>
          </cell>
          <cell r="J924" t="str">
            <v>Stk</v>
          </cell>
          <cell r="K924">
            <v>44918</v>
          </cell>
          <cell r="L924" t="str">
            <v/>
          </cell>
          <cell r="M924" t="str">
            <v/>
          </cell>
          <cell r="N924" t="str">
            <v/>
          </cell>
          <cell r="O924" t="str">
            <v/>
          </cell>
          <cell r="P924" t="str">
            <v/>
          </cell>
          <cell r="Q924" t="str">
            <v/>
          </cell>
          <cell r="R924" t="str">
            <v/>
          </cell>
          <cell r="S924" t="str">
            <v/>
          </cell>
          <cell r="T924" t="str">
            <v/>
          </cell>
          <cell r="U924" t="str">
            <v/>
          </cell>
          <cell r="V924" t="str">
            <v>N52</v>
          </cell>
          <cell r="W924" t="str">
            <v/>
          </cell>
          <cell r="X924" t="str">
            <v/>
          </cell>
          <cell r="Y924" t="str">
            <v/>
          </cell>
          <cell r="Z924" t="str">
            <v/>
          </cell>
          <cell r="AA924" t="str">
            <v/>
          </cell>
          <cell r="AB924" t="str">
            <v>PA_2173889-MB.7500-4</v>
          </cell>
          <cell r="AC924">
            <v>4</v>
          </cell>
          <cell r="AD924" t="str">
            <v/>
          </cell>
          <cell r="AE924">
            <v>0</v>
          </cell>
          <cell r="AF924" t="str">
            <v/>
          </cell>
          <cell r="AG924" t="str">
            <v>1100505</v>
          </cell>
          <cell r="AH924">
            <v>44916.835081018522</v>
          </cell>
          <cell r="AI924" t="str">
            <v>N52</v>
          </cell>
          <cell r="AJ924" t="str">
            <v>F</v>
          </cell>
          <cell r="AK924" t="str">
            <v>A</v>
          </cell>
        </row>
        <row r="925">
          <cell r="A925" t="str">
            <v>1292604</v>
          </cell>
          <cell r="B925" t="e">
            <v>#N/A</v>
          </cell>
          <cell r="C925" t="e">
            <v>#N/A</v>
          </cell>
          <cell r="D925" t="str">
            <v>EK65</v>
          </cell>
          <cell r="E925" t="str">
            <v>687351</v>
          </cell>
          <cell r="F925" t="str">
            <v>B</v>
          </cell>
          <cell r="G925" t="str">
            <v>1292604</v>
          </cell>
          <cell r="H925" t="str">
            <v>DISTANZBLECH 1MM</v>
          </cell>
          <cell r="I925">
            <v>791</v>
          </cell>
          <cell r="J925" t="str">
            <v>Stk</v>
          </cell>
          <cell r="K925">
            <v>44918</v>
          </cell>
          <cell r="L925" t="str">
            <v/>
          </cell>
          <cell r="M925" t="str">
            <v/>
          </cell>
          <cell r="N925" t="str">
            <v/>
          </cell>
          <cell r="O925" t="str">
            <v/>
          </cell>
          <cell r="P925" t="str">
            <v/>
          </cell>
          <cell r="Q925" t="str">
            <v/>
          </cell>
          <cell r="R925" t="str">
            <v/>
          </cell>
          <cell r="S925" t="str">
            <v/>
          </cell>
          <cell r="T925" t="str">
            <v/>
          </cell>
          <cell r="U925" t="str">
            <v/>
          </cell>
          <cell r="V925" t="str">
            <v>N52</v>
          </cell>
          <cell r="W925" t="str">
            <v/>
          </cell>
          <cell r="X925" t="str">
            <v/>
          </cell>
          <cell r="Y925" t="str">
            <v/>
          </cell>
          <cell r="Z925" t="str">
            <v/>
          </cell>
          <cell r="AA925" t="str">
            <v/>
          </cell>
          <cell r="AB925" t="str">
            <v>PA_1172669-CD.4005-4</v>
          </cell>
          <cell r="AC925">
            <v>4</v>
          </cell>
          <cell r="AD925" t="str">
            <v/>
          </cell>
          <cell r="AE925">
            <v>0</v>
          </cell>
          <cell r="AF925" t="str">
            <v/>
          </cell>
          <cell r="AG925" t="str">
            <v>1292604</v>
          </cell>
          <cell r="AH925">
            <v>44916.835393518515</v>
          </cell>
          <cell r="AI925" t="str">
            <v>N52</v>
          </cell>
          <cell r="AJ925" t="str">
            <v>F</v>
          </cell>
          <cell r="AK925" t="str">
            <v/>
          </cell>
        </row>
        <row r="926">
          <cell r="A926" t="str">
            <v>1292626</v>
          </cell>
          <cell r="B926" t="e">
            <v>#N/A</v>
          </cell>
          <cell r="C926" t="e">
            <v>#N/A</v>
          </cell>
          <cell r="D926" t="str">
            <v>EK65</v>
          </cell>
          <cell r="E926" t="str">
            <v>687352</v>
          </cell>
          <cell r="F926" t="str">
            <v>B</v>
          </cell>
          <cell r="G926" t="str">
            <v>1292626</v>
          </cell>
          <cell r="H926" t="str">
            <v>DISTANZBLECH 5MM</v>
          </cell>
          <cell r="I926">
            <v>1500</v>
          </cell>
          <cell r="J926" t="str">
            <v>Stk</v>
          </cell>
          <cell r="K926">
            <v>44918</v>
          </cell>
          <cell r="L926" t="str">
            <v/>
          </cell>
          <cell r="M926" t="str">
            <v/>
          </cell>
          <cell r="N926" t="str">
            <v/>
          </cell>
          <cell r="O926" t="str">
            <v/>
          </cell>
          <cell r="P926" t="str">
            <v/>
          </cell>
          <cell r="Q926" t="str">
            <v/>
          </cell>
          <cell r="R926" t="str">
            <v/>
          </cell>
          <cell r="S926" t="str">
            <v/>
          </cell>
          <cell r="T926" t="str">
            <v/>
          </cell>
          <cell r="U926" t="str">
            <v/>
          </cell>
          <cell r="V926" t="str">
            <v>N52</v>
          </cell>
          <cell r="W926" t="str">
            <v/>
          </cell>
          <cell r="X926" t="str">
            <v/>
          </cell>
          <cell r="Y926" t="str">
            <v/>
          </cell>
          <cell r="Z926" t="str">
            <v/>
          </cell>
          <cell r="AA926" t="str">
            <v/>
          </cell>
          <cell r="AB926" t="str">
            <v>PA_1159101-CD.4005-4</v>
          </cell>
          <cell r="AC926">
            <v>4</v>
          </cell>
          <cell r="AD926" t="str">
            <v/>
          </cell>
          <cell r="AE926">
            <v>0</v>
          </cell>
          <cell r="AF926" t="str">
            <v/>
          </cell>
          <cell r="AG926" t="str">
            <v>1292626</v>
          </cell>
          <cell r="AH926">
            <v>44916.835393518515</v>
          </cell>
          <cell r="AI926" t="str">
            <v>N52</v>
          </cell>
          <cell r="AJ926" t="str">
            <v>F</v>
          </cell>
          <cell r="AK926" t="str">
            <v/>
          </cell>
        </row>
        <row r="927">
          <cell r="A927" t="str">
            <v>2507165</v>
          </cell>
          <cell r="B927" t="e">
            <v>#N/A</v>
          </cell>
          <cell r="C927" t="e">
            <v>#N/A</v>
          </cell>
          <cell r="D927" t="str">
            <v>EK65</v>
          </cell>
          <cell r="E927" t="str">
            <v>687420</v>
          </cell>
          <cell r="F927" t="str">
            <v>B</v>
          </cell>
          <cell r="G927" t="str">
            <v>2507165</v>
          </cell>
          <cell r="H927" t="str">
            <v>Distanzstueck</v>
          </cell>
          <cell r="I927">
            <v>200</v>
          </cell>
          <cell r="J927" t="str">
            <v>Stk</v>
          </cell>
          <cell r="K927">
            <v>44918</v>
          </cell>
          <cell r="L927" t="str">
            <v/>
          </cell>
          <cell r="M927" t="str">
            <v/>
          </cell>
          <cell r="N927" t="str">
            <v/>
          </cell>
          <cell r="O927" t="str">
            <v/>
          </cell>
          <cell r="P927" t="str">
            <v/>
          </cell>
          <cell r="Q927" t="str">
            <v/>
          </cell>
          <cell r="R927" t="str">
            <v/>
          </cell>
          <cell r="S927" t="str">
            <v/>
          </cell>
          <cell r="T927" t="str">
            <v/>
          </cell>
          <cell r="U927" t="str">
            <v/>
          </cell>
          <cell r="V927" t="str">
            <v>N52</v>
          </cell>
          <cell r="W927" t="str">
            <v/>
          </cell>
          <cell r="X927" t="str">
            <v/>
          </cell>
          <cell r="Y927" t="str">
            <v/>
          </cell>
          <cell r="Z927" t="str">
            <v/>
          </cell>
          <cell r="AA927" t="str">
            <v/>
          </cell>
          <cell r="AB927" t="str">
            <v>PA_2207519-DD.3038-4</v>
          </cell>
          <cell r="AC927">
            <v>4</v>
          </cell>
          <cell r="AD927" t="str">
            <v/>
          </cell>
          <cell r="AE927">
            <v>0</v>
          </cell>
          <cell r="AF927" t="str">
            <v/>
          </cell>
          <cell r="AG927" t="str">
            <v>2507165</v>
          </cell>
          <cell r="AH927">
            <v>44916.836099537039</v>
          </cell>
          <cell r="AI927" t="str">
            <v>N52</v>
          </cell>
          <cell r="AJ927" t="str">
            <v>F</v>
          </cell>
          <cell r="AK927" t="str">
            <v/>
          </cell>
        </row>
        <row r="928">
          <cell r="A928" t="str">
            <v>4027323</v>
          </cell>
          <cell r="B928" t="e">
            <v>#N/A</v>
          </cell>
          <cell r="C928" t="e">
            <v>#N/A</v>
          </cell>
          <cell r="D928" t="str">
            <v>EK65</v>
          </cell>
          <cell r="E928" t="str">
            <v>687440</v>
          </cell>
          <cell r="F928" t="str">
            <v>B</v>
          </cell>
          <cell r="G928" t="str">
            <v>4027323</v>
          </cell>
          <cell r="H928" t="str">
            <v>Dehnhuelse L24, D21/9</v>
          </cell>
          <cell r="I928">
            <v>70</v>
          </cell>
          <cell r="J928" t="str">
            <v>Stk</v>
          </cell>
          <cell r="K928">
            <v>44918</v>
          </cell>
          <cell r="L928" t="str">
            <v/>
          </cell>
          <cell r="M928" t="str">
            <v/>
          </cell>
          <cell r="N928" t="str">
            <v/>
          </cell>
          <cell r="O928" t="str">
            <v/>
          </cell>
          <cell r="P928" t="str">
            <v/>
          </cell>
          <cell r="Q928" t="str">
            <v/>
          </cell>
          <cell r="R928" t="str">
            <v/>
          </cell>
          <cell r="S928" t="str">
            <v/>
          </cell>
          <cell r="T928" t="str">
            <v/>
          </cell>
          <cell r="U928" t="str">
            <v/>
          </cell>
          <cell r="V928" t="str">
            <v>N32</v>
          </cell>
          <cell r="W928" t="str">
            <v/>
          </cell>
          <cell r="X928" t="str">
            <v/>
          </cell>
          <cell r="Y928" t="str">
            <v/>
          </cell>
          <cell r="Z928" t="str">
            <v/>
          </cell>
          <cell r="AA928" t="str">
            <v/>
          </cell>
          <cell r="AB928" t="str">
            <v>PA_2168996-CF.3034-4</v>
          </cell>
          <cell r="AC928">
            <v>4</v>
          </cell>
          <cell r="AD928" t="str">
            <v/>
          </cell>
          <cell r="AE928">
            <v>0</v>
          </cell>
          <cell r="AF928" t="str">
            <v/>
          </cell>
          <cell r="AG928" t="str">
            <v>4027323</v>
          </cell>
          <cell r="AH928">
            <v>44916.83662037037</v>
          </cell>
          <cell r="AI928" t="str">
            <v>N32</v>
          </cell>
          <cell r="AJ928" t="str">
            <v>F</v>
          </cell>
          <cell r="AK928" t="str">
            <v/>
          </cell>
        </row>
        <row r="929">
          <cell r="A929" t="str">
            <v>1155323831001</v>
          </cell>
          <cell r="B929">
            <v>0</v>
          </cell>
          <cell r="C929" t="e">
            <v>#N/A</v>
          </cell>
          <cell r="D929" t="str">
            <v>EK65</v>
          </cell>
          <cell r="E929" t="str">
            <v>688196</v>
          </cell>
          <cell r="F929" t="str">
            <v>E</v>
          </cell>
          <cell r="G929" t="str">
            <v>1155323</v>
          </cell>
          <cell r="H929" t="str">
            <v>Unterlage</v>
          </cell>
          <cell r="I929">
            <v>2</v>
          </cell>
          <cell r="J929" t="str">
            <v>Stk</v>
          </cell>
          <cell r="K929">
            <v>43375</v>
          </cell>
          <cell r="L929" t="str">
            <v>831001</v>
          </cell>
          <cell r="M929" t="str">
            <v/>
          </cell>
          <cell r="N929" t="str">
            <v/>
          </cell>
          <cell r="O929" t="str">
            <v/>
          </cell>
          <cell r="P929" t="str">
            <v/>
          </cell>
          <cell r="Q929" t="str">
            <v/>
          </cell>
          <cell r="R929" t="str">
            <v/>
          </cell>
          <cell r="S929" t="str">
            <v/>
          </cell>
          <cell r="T929" t="str">
            <v/>
          </cell>
          <cell r="U929" t="str">
            <v/>
          </cell>
          <cell r="V929" t="str">
            <v>N52</v>
          </cell>
          <cell r="W929" t="str">
            <v/>
          </cell>
          <cell r="X929" t="str">
            <v/>
          </cell>
          <cell r="Y929" t="str">
            <v/>
          </cell>
          <cell r="Z929" t="str">
            <v/>
          </cell>
          <cell r="AA929" t="str">
            <v/>
          </cell>
          <cell r="AB929" t="str">
            <v>PA_2278547-CF.7500-4</v>
          </cell>
          <cell r="AC929">
            <v>1</v>
          </cell>
          <cell r="AD929" t="str">
            <v/>
          </cell>
          <cell r="AE929">
            <v>0</v>
          </cell>
          <cell r="AF929" t="str">
            <v/>
          </cell>
          <cell r="AG929" t="str">
            <v>1155323</v>
          </cell>
          <cell r="AH929">
            <v>44916.915682870371</v>
          </cell>
          <cell r="AI929" t="str">
            <v>N52</v>
          </cell>
          <cell r="AJ929" t="str">
            <v>F</v>
          </cell>
          <cell r="AK929" t="str">
            <v/>
          </cell>
        </row>
        <row r="930">
          <cell r="A930" t="str">
            <v>1235663820531</v>
          </cell>
          <cell r="B930" t="str">
            <v>Übergabe Task Force</v>
          </cell>
          <cell r="C930" t="e">
            <v>#N/A</v>
          </cell>
          <cell r="D930" t="str">
            <v>EK65</v>
          </cell>
          <cell r="E930" t="str">
            <v>688291</v>
          </cell>
          <cell r="F930" t="str">
            <v>E</v>
          </cell>
          <cell r="G930" t="str">
            <v>1235663</v>
          </cell>
          <cell r="H930" t="str">
            <v>Griffblech</v>
          </cell>
          <cell r="I930">
            <v>1</v>
          </cell>
          <cell r="J930" t="str">
            <v>Stk</v>
          </cell>
          <cell r="K930">
            <v>45073</v>
          </cell>
          <cell r="L930" t="str">
            <v>820531</v>
          </cell>
          <cell r="M930" t="str">
            <v/>
          </cell>
          <cell r="N930" t="str">
            <v/>
          </cell>
          <cell r="O930" t="str">
            <v/>
          </cell>
          <cell r="P930" t="str">
            <v/>
          </cell>
          <cell r="Q930" t="str">
            <v/>
          </cell>
          <cell r="R930" t="str">
            <v/>
          </cell>
          <cell r="S930" t="str">
            <v/>
          </cell>
          <cell r="T930" t="str">
            <v/>
          </cell>
          <cell r="U930" t="str">
            <v/>
          </cell>
          <cell r="V930" t="str">
            <v>N52</v>
          </cell>
          <cell r="W930" t="str">
            <v/>
          </cell>
          <cell r="X930" t="str">
            <v/>
          </cell>
          <cell r="Y930" t="str">
            <v/>
          </cell>
          <cell r="Z930" t="str">
            <v/>
          </cell>
          <cell r="AA930" t="str">
            <v/>
          </cell>
          <cell r="AB930" t="str">
            <v>PA_2248784-TC.3044-2</v>
          </cell>
          <cell r="AC930">
            <v>1</v>
          </cell>
          <cell r="AD930" t="str">
            <v/>
          </cell>
          <cell r="AE930">
            <v>0</v>
          </cell>
          <cell r="AF930" t="str">
            <v/>
          </cell>
          <cell r="AG930" t="str">
            <v>1235663</v>
          </cell>
          <cell r="AH930">
            <v>44916.91747685185</v>
          </cell>
          <cell r="AI930" t="str">
            <v>N52</v>
          </cell>
          <cell r="AJ930" t="str">
            <v>F</v>
          </cell>
          <cell r="AK930" t="str">
            <v/>
          </cell>
        </row>
        <row r="931">
          <cell r="A931" t="str">
            <v>1384338829053</v>
          </cell>
          <cell r="B931" t="str">
            <v>Übergabe Task Force</v>
          </cell>
          <cell r="C931">
            <v>21</v>
          </cell>
          <cell r="D931" t="str">
            <v>EK65</v>
          </cell>
          <cell r="E931" t="str">
            <v>688449</v>
          </cell>
          <cell r="F931" t="str">
            <v>E</v>
          </cell>
          <cell r="G931" t="str">
            <v>1384338</v>
          </cell>
          <cell r="H931" t="str">
            <v>Griffblech E24</v>
          </cell>
          <cell r="I931">
            <v>210</v>
          </cell>
          <cell r="J931" t="str">
            <v>Stk</v>
          </cell>
          <cell r="K931">
            <v>45191</v>
          </cell>
          <cell r="L931" t="str">
            <v>829053</v>
          </cell>
          <cell r="M931" t="str">
            <v/>
          </cell>
          <cell r="N931" t="str">
            <v/>
          </cell>
          <cell r="O931" t="str">
            <v/>
          </cell>
          <cell r="P931" t="str">
            <v/>
          </cell>
          <cell r="Q931" t="str">
            <v/>
          </cell>
          <cell r="R931" t="str">
            <v/>
          </cell>
          <cell r="S931" t="str">
            <v/>
          </cell>
          <cell r="T931" t="str">
            <v/>
          </cell>
          <cell r="U931" t="str">
            <v/>
          </cell>
          <cell r="V931" t="str">
            <v>N38</v>
          </cell>
          <cell r="W931" t="str">
            <v/>
          </cell>
          <cell r="X931" t="str">
            <v/>
          </cell>
          <cell r="Y931" t="str">
            <v/>
          </cell>
          <cell r="Z931" t="str">
            <v/>
          </cell>
          <cell r="AA931" t="str">
            <v/>
          </cell>
          <cell r="AB931" t="str">
            <v>PA_2278268-UA.6005-1</v>
          </cell>
          <cell r="AC931">
            <v>1</v>
          </cell>
          <cell r="AD931" t="str">
            <v/>
          </cell>
          <cell r="AE931">
            <v>0</v>
          </cell>
          <cell r="AF931" t="str">
            <v/>
          </cell>
          <cell r="AG931" t="str">
            <v>1384338</v>
          </cell>
          <cell r="AH931">
            <v>44916.922777777778</v>
          </cell>
          <cell r="AI931" t="str">
            <v>N38</v>
          </cell>
          <cell r="AJ931" t="str">
            <v>F</v>
          </cell>
          <cell r="AK931" t="str">
            <v/>
          </cell>
        </row>
        <row r="932">
          <cell r="A932" t="str">
            <v>1841891829053</v>
          </cell>
          <cell r="B932" t="e">
            <v>#N/A</v>
          </cell>
          <cell r="C932">
            <v>24</v>
          </cell>
          <cell r="D932" t="str">
            <v>EK65</v>
          </cell>
          <cell r="E932" t="str">
            <v>688541</v>
          </cell>
          <cell r="F932" t="str">
            <v>E</v>
          </cell>
          <cell r="G932" t="str">
            <v>1841891</v>
          </cell>
          <cell r="H932" t="str">
            <v>Griffblech E6</v>
          </cell>
          <cell r="I932">
            <v>172</v>
          </cell>
          <cell r="J932" t="str">
            <v>Stk</v>
          </cell>
          <cell r="K932">
            <v>45232</v>
          </cell>
          <cell r="L932" t="str">
            <v>829053</v>
          </cell>
          <cell r="M932" t="str">
            <v/>
          </cell>
          <cell r="N932" t="str">
            <v/>
          </cell>
          <cell r="O932" t="str">
            <v/>
          </cell>
          <cell r="P932" t="str">
            <v/>
          </cell>
          <cell r="Q932" t="str">
            <v/>
          </cell>
          <cell r="R932" t="str">
            <v/>
          </cell>
          <cell r="S932" t="str">
            <v/>
          </cell>
          <cell r="T932" t="str">
            <v/>
          </cell>
          <cell r="U932" t="str">
            <v/>
          </cell>
          <cell r="V932" t="str">
            <v>N38</v>
          </cell>
          <cell r="W932" t="str">
            <v/>
          </cell>
          <cell r="X932" t="str">
            <v/>
          </cell>
          <cell r="Y932" t="str">
            <v/>
          </cell>
          <cell r="Z932" t="str">
            <v/>
          </cell>
          <cell r="AA932" t="str">
            <v/>
          </cell>
          <cell r="AB932" t="str">
            <v>PA_2308240-UA.3046-1</v>
          </cell>
          <cell r="AC932">
            <v>1</v>
          </cell>
          <cell r="AD932" t="str">
            <v/>
          </cell>
          <cell r="AE932">
            <v>0</v>
          </cell>
          <cell r="AF932" t="str">
            <v/>
          </cell>
          <cell r="AG932" t="str">
            <v>1841891</v>
          </cell>
          <cell r="AH932">
            <v>44916.92465277778</v>
          </cell>
          <cell r="AI932" t="str">
            <v>N38</v>
          </cell>
          <cell r="AJ932" t="str">
            <v>F</v>
          </cell>
          <cell r="AK932" t="str">
            <v>A</v>
          </cell>
        </row>
        <row r="933">
          <cell r="A933" t="str">
            <v>1841904820541</v>
          </cell>
          <cell r="B933" t="str">
            <v>Übergabe Task Force</v>
          </cell>
          <cell r="C933" t="e">
            <v>#N/A</v>
          </cell>
          <cell r="D933" t="str">
            <v>EK65</v>
          </cell>
          <cell r="E933" t="str">
            <v>688545</v>
          </cell>
          <cell r="F933" t="str">
            <v>E</v>
          </cell>
          <cell r="G933" t="str">
            <v>1841904</v>
          </cell>
          <cell r="H933" t="str">
            <v>Griffblech E10</v>
          </cell>
          <cell r="I933">
            <v>176</v>
          </cell>
          <cell r="J933" t="str">
            <v>Stk</v>
          </cell>
          <cell r="K933">
            <v>45111</v>
          </cell>
          <cell r="L933" t="str">
            <v>820541</v>
          </cell>
          <cell r="M933" t="str">
            <v/>
          </cell>
          <cell r="N933" t="str">
            <v/>
          </cell>
          <cell r="O933" t="str">
            <v/>
          </cell>
          <cell r="P933" t="str">
            <v/>
          </cell>
          <cell r="Q933" t="str">
            <v/>
          </cell>
          <cell r="R933" t="str">
            <v/>
          </cell>
          <cell r="S933" t="str">
            <v/>
          </cell>
          <cell r="T933" t="str">
            <v/>
          </cell>
          <cell r="U933" t="str">
            <v/>
          </cell>
          <cell r="V933" t="str">
            <v>N38</v>
          </cell>
          <cell r="W933" t="str">
            <v/>
          </cell>
          <cell r="X933" t="str">
            <v/>
          </cell>
          <cell r="Y933" t="str">
            <v/>
          </cell>
          <cell r="Z933" t="str">
            <v/>
          </cell>
          <cell r="AA933" t="str">
            <v/>
          </cell>
          <cell r="AB933" t="str">
            <v>PA_2308221-UA.3046-1</v>
          </cell>
          <cell r="AC933">
            <v>1</v>
          </cell>
          <cell r="AD933" t="str">
            <v/>
          </cell>
          <cell r="AE933">
            <v>0</v>
          </cell>
          <cell r="AF933" t="str">
            <v/>
          </cell>
          <cell r="AG933" t="str">
            <v>1841904</v>
          </cell>
          <cell r="AH933">
            <v>44916.924710648149</v>
          </cell>
          <cell r="AI933" t="str">
            <v>N38</v>
          </cell>
          <cell r="AJ933" t="str">
            <v>F</v>
          </cell>
          <cell r="AK933" t="str">
            <v/>
          </cell>
        </row>
        <row r="934">
          <cell r="A934" t="str">
            <v>1863322820531</v>
          </cell>
          <cell r="B934" t="str">
            <v>Übergabe Task Force</v>
          </cell>
          <cell r="C934" t="e">
            <v>#N/A</v>
          </cell>
          <cell r="D934" t="str">
            <v>EK65</v>
          </cell>
          <cell r="E934" t="str">
            <v>688569</v>
          </cell>
          <cell r="F934" t="str">
            <v>E</v>
          </cell>
          <cell r="G934" t="str">
            <v>1863322</v>
          </cell>
          <cell r="H934" t="str">
            <v>Halteblech</v>
          </cell>
          <cell r="I934">
            <v>1</v>
          </cell>
          <cell r="J934" t="str">
            <v>Stk</v>
          </cell>
          <cell r="K934">
            <v>45073</v>
          </cell>
          <cell r="L934" t="str">
            <v>820531</v>
          </cell>
          <cell r="M934" t="str">
            <v/>
          </cell>
          <cell r="N934" t="str">
            <v/>
          </cell>
          <cell r="O934" t="str">
            <v/>
          </cell>
          <cell r="P934" t="str">
            <v/>
          </cell>
          <cell r="Q934" t="str">
            <v/>
          </cell>
          <cell r="R934" t="str">
            <v/>
          </cell>
          <cell r="S934" t="str">
            <v/>
          </cell>
          <cell r="T934" t="str">
            <v/>
          </cell>
          <cell r="U934" t="str">
            <v/>
          </cell>
          <cell r="V934" t="str">
            <v>N52</v>
          </cell>
          <cell r="W934" t="str">
            <v/>
          </cell>
          <cell r="X934" t="str">
            <v/>
          </cell>
          <cell r="Y934" t="str">
            <v/>
          </cell>
          <cell r="Z934" t="str">
            <v/>
          </cell>
          <cell r="AA934" t="str">
            <v/>
          </cell>
          <cell r="AB934" t="str">
            <v>PA_4346914-UA.3046-3</v>
          </cell>
          <cell r="AC934">
            <v>1</v>
          </cell>
          <cell r="AD934" t="str">
            <v/>
          </cell>
          <cell r="AE934">
            <v>0</v>
          </cell>
          <cell r="AF934" t="str">
            <v/>
          </cell>
          <cell r="AG934" t="str">
            <v>1863322</v>
          </cell>
          <cell r="AH934">
            <v>44916.924988425926</v>
          </cell>
          <cell r="AI934" t="str">
            <v>N52</v>
          </cell>
          <cell r="AJ934" t="str">
            <v>F</v>
          </cell>
          <cell r="AK934" t="str">
            <v/>
          </cell>
        </row>
        <row r="935">
          <cell r="A935" t="str">
            <v>2000175829053</v>
          </cell>
          <cell r="B935" t="str">
            <v>Best. vorhanden, umbuchen</v>
          </cell>
          <cell r="C935">
            <v>20</v>
          </cell>
          <cell r="D935" t="str">
            <v>EK65</v>
          </cell>
          <cell r="E935" t="str">
            <v>688576</v>
          </cell>
          <cell r="F935" t="str">
            <v>E</v>
          </cell>
          <cell r="G935" t="str">
            <v>2000175</v>
          </cell>
          <cell r="H935" t="str">
            <v>Erdungsblech</v>
          </cell>
          <cell r="I935">
            <v>562</v>
          </cell>
          <cell r="J935" t="str">
            <v>Stk</v>
          </cell>
          <cell r="K935">
            <v>45029</v>
          </cell>
          <cell r="L935" t="str">
            <v>829053</v>
          </cell>
          <cell r="M935" t="str">
            <v/>
          </cell>
          <cell r="N935" t="str">
            <v/>
          </cell>
          <cell r="O935" t="str">
            <v/>
          </cell>
          <cell r="P935" t="str">
            <v/>
          </cell>
          <cell r="Q935" t="str">
            <v/>
          </cell>
          <cell r="R935" t="str">
            <v/>
          </cell>
          <cell r="S935" t="str">
            <v/>
          </cell>
          <cell r="T935" t="str">
            <v/>
          </cell>
          <cell r="U935" t="str">
            <v/>
          </cell>
          <cell r="V935" t="str">
            <v>N52</v>
          </cell>
          <cell r="W935" t="str">
            <v/>
          </cell>
          <cell r="X935" t="str">
            <v/>
          </cell>
          <cell r="Y935" t="str">
            <v/>
          </cell>
          <cell r="Z935" t="str">
            <v/>
          </cell>
          <cell r="AA935" t="str">
            <v/>
          </cell>
          <cell r="AB935" t="str">
            <v>PA_2137856-UF.7001-4</v>
          </cell>
          <cell r="AC935">
            <v>1</v>
          </cell>
          <cell r="AD935" t="str">
            <v/>
          </cell>
          <cell r="AE935">
            <v>0</v>
          </cell>
          <cell r="AF935" t="str">
            <v/>
          </cell>
          <cell r="AG935" t="str">
            <v>2000175</v>
          </cell>
          <cell r="AH935">
            <v>44916.925138888888</v>
          </cell>
          <cell r="AI935" t="str">
            <v>N52</v>
          </cell>
          <cell r="AJ935" t="str">
            <v>F</v>
          </cell>
          <cell r="AK935" t="str">
            <v/>
          </cell>
        </row>
        <row r="936">
          <cell r="A936" t="str">
            <v>3215769820531</v>
          </cell>
          <cell r="B936" t="str">
            <v>Übergabe Task Force</v>
          </cell>
          <cell r="C936" t="e">
            <v>#N/A</v>
          </cell>
          <cell r="D936" t="str">
            <v>EK65</v>
          </cell>
          <cell r="E936" t="str">
            <v>688751</v>
          </cell>
          <cell r="F936" t="str">
            <v>E</v>
          </cell>
          <cell r="G936" t="str">
            <v>3215769</v>
          </cell>
          <cell r="H936" t="str">
            <v>Erdungskontakt</v>
          </cell>
          <cell r="I936">
            <v>4</v>
          </cell>
          <cell r="J936" t="str">
            <v>Stk</v>
          </cell>
          <cell r="K936">
            <v>45073</v>
          </cell>
          <cell r="L936" t="str">
            <v>820531</v>
          </cell>
          <cell r="M936" t="str">
            <v/>
          </cell>
          <cell r="N936" t="str">
            <v/>
          </cell>
          <cell r="O936" t="str">
            <v/>
          </cell>
          <cell r="P936" t="str">
            <v/>
          </cell>
          <cell r="Q936" t="str">
            <v/>
          </cell>
          <cell r="R936" t="str">
            <v/>
          </cell>
          <cell r="S936" t="str">
            <v/>
          </cell>
          <cell r="T936" t="str">
            <v/>
          </cell>
          <cell r="U936" t="str">
            <v/>
          </cell>
          <cell r="V936" t="str">
            <v>N52</v>
          </cell>
          <cell r="W936" t="str">
            <v/>
          </cell>
          <cell r="X936" t="str">
            <v/>
          </cell>
          <cell r="Y936" t="str">
            <v/>
          </cell>
          <cell r="Z936" t="str">
            <v/>
          </cell>
          <cell r="AA936" t="str">
            <v/>
          </cell>
          <cell r="AB936" t="str">
            <v>PA_2278803-UA.3046-4</v>
          </cell>
          <cell r="AC936">
            <v>1</v>
          </cell>
          <cell r="AD936" t="str">
            <v/>
          </cell>
          <cell r="AE936">
            <v>0</v>
          </cell>
          <cell r="AF936" t="str">
            <v/>
          </cell>
          <cell r="AG936" t="str">
            <v>3215769</v>
          </cell>
          <cell r="AH936">
            <v>44916.929270833331</v>
          </cell>
          <cell r="AI936" t="str">
            <v>N52</v>
          </cell>
          <cell r="AJ936" t="str">
            <v>F</v>
          </cell>
          <cell r="AK936" t="str">
            <v/>
          </cell>
        </row>
        <row r="937">
          <cell r="A937" t="str">
            <v>5973101829051</v>
          </cell>
          <cell r="B937" t="e">
            <v>#N/A</v>
          </cell>
          <cell r="C937">
            <v>11</v>
          </cell>
          <cell r="D937" t="str">
            <v>EK65</v>
          </cell>
          <cell r="E937" t="str">
            <v>689177</v>
          </cell>
          <cell r="F937" t="str">
            <v>E</v>
          </cell>
          <cell r="G937" t="str">
            <v>5973101</v>
          </cell>
          <cell r="H937" t="str">
            <v>HUELSE</v>
          </cell>
          <cell r="I937">
            <v>361</v>
          </cell>
          <cell r="J937" t="str">
            <v>Stk</v>
          </cell>
          <cell r="K937">
            <v>45303</v>
          </cell>
          <cell r="L937" t="str">
            <v>829051</v>
          </cell>
          <cell r="M937" t="str">
            <v/>
          </cell>
          <cell r="N937" t="str">
            <v/>
          </cell>
          <cell r="O937" t="str">
            <v/>
          </cell>
          <cell r="P937" t="str">
            <v/>
          </cell>
          <cell r="Q937" t="str">
            <v/>
          </cell>
          <cell r="R937" t="str">
            <v/>
          </cell>
          <cell r="S937" t="str">
            <v/>
          </cell>
          <cell r="T937" t="str">
            <v/>
          </cell>
          <cell r="U937" t="str">
            <v/>
          </cell>
          <cell r="V937" t="str">
            <v>N52</v>
          </cell>
          <cell r="W937" t="str">
            <v/>
          </cell>
          <cell r="X937" t="str">
            <v/>
          </cell>
          <cell r="Y937" t="str">
            <v/>
          </cell>
          <cell r="Z937" t="str">
            <v/>
          </cell>
          <cell r="AA937" t="str">
            <v/>
          </cell>
          <cell r="AB937" t="str">
            <v>PA_2036277-QA.7000-4</v>
          </cell>
          <cell r="AC937">
            <v>1</v>
          </cell>
          <cell r="AD937" t="str">
            <v/>
          </cell>
          <cell r="AE937">
            <v>0</v>
          </cell>
          <cell r="AF937" t="str">
            <v/>
          </cell>
          <cell r="AG937" t="str">
            <v>5973101</v>
          </cell>
          <cell r="AH937">
            <v>44916.93849537037</v>
          </cell>
          <cell r="AI937" t="str">
            <v>N52</v>
          </cell>
          <cell r="AJ937" t="str">
            <v>F</v>
          </cell>
          <cell r="AK937" t="str">
            <v/>
          </cell>
        </row>
        <row r="938">
          <cell r="A938" t="str">
            <v>5973101829052</v>
          </cell>
          <cell r="B938" t="str">
            <v>BL20230413-2</v>
          </cell>
          <cell r="C938">
            <v>11</v>
          </cell>
          <cell r="D938" t="str">
            <v>EK65</v>
          </cell>
          <cell r="E938" t="str">
            <v>689178</v>
          </cell>
          <cell r="F938" t="str">
            <v>E</v>
          </cell>
          <cell r="G938" t="str">
            <v>5973101</v>
          </cell>
          <cell r="H938" t="str">
            <v>HUELSE</v>
          </cell>
          <cell r="I938">
            <v>124</v>
          </cell>
          <cell r="J938" t="str">
            <v>Stk</v>
          </cell>
          <cell r="K938">
            <v>45338</v>
          </cell>
          <cell r="L938" t="str">
            <v>829052</v>
          </cell>
          <cell r="M938" t="str">
            <v/>
          </cell>
          <cell r="N938" t="str">
            <v/>
          </cell>
          <cell r="O938" t="str">
            <v/>
          </cell>
          <cell r="P938" t="str">
            <v/>
          </cell>
          <cell r="Q938" t="str">
            <v/>
          </cell>
          <cell r="R938" t="str">
            <v/>
          </cell>
          <cell r="S938" t="str">
            <v/>
          </cell>
          <cell r="T938" t="str">
            <v/>
          </cell>
          <cell r="U938" t="str">
            <v/>
          </cell>
          <cell r="V938" t="str">
            <v>N52</v>
          </cell>
          <cell r="W938" t="str">
            <v/>
          </cell>
          <cell r="X938" t="str">
            <v/>
          </cell>
          <cell r="Y938" t="str">
            <v/>
          </cell>
          <cell r="Z938" t="str">
            <v/>
          </cell>
          <cell r="AA938" t="str">
            <v/>
          </cell>
          <cell r="AB938" t="str">
            <v>PA_2036277-QA.7000-4</v>
          </cell>
          <cell r="AC938">
            <v>1</v>
          </cell>
          <cell r="AD938" t="str">
            <v/>
          </cell>
          <cell r="AE938">
            <v>0</v>
          </cell>
          <cell r="AF938" t="str">
            <v/>
          </cell>
          <cell r="AG938" t="str">
            <v>5973101</v>
          </cell>
          <cell r="AH938">
            <v>44916.93849537037</v>
          </cell>
          <cell r="AI938" t="str">
            <v>N52</v>
          </cell>
          <cell r="AJ938" t="str">
            <v>F</v>
          </cell>
          <cell r="AK938" t="str">
            <v/>
          </cell>
        </row>
        <row r="939">
          <cell r="A939" t="str">
            <v>0524731831003</v>
          </cell>
          <cell r="B939" t="str">
            <v>Übergabe Task Force</v>
          </cell>
          <cell r="C939" t="e">
            <v>#N/A</v>
          </cell>
          <cell r="D939" t="str">
            <v>EK65</v>
          </cell>
          <cell r="E939" t="str">
            <v>689926</v>
          </cell>
          <cell r="F939" t="str">
            <v>E</v>
          </cell>
          <cell r="G939" t="str">
            <v>0524731</v>
          </cell>
          <cell r="H939" t="str">
            <v>Dehnhuelse L20,D20/9</v>
          </cell>
          <cell r="I939">
            <v>1</v>
          </cell>
          <cell r="J939" t="str">
            <v>Stk</v>
          </cell>
          <cell r="K939">
            <v>45014</v>
          </cell>
          <cell r="L939" t="str">
            <v>831003</v>
          </cell>
          <cell r="M939" t="str">
            <v/>
          </cell>
          <cell r="N939" t="str">
            <v/>
          </cell>
          <cell r="O939" t="str">
            <v/>
          </cell>
          <cell r="P939" t="str">
            <v/>
          </cell>
          <cell r="Q939" t="str">
            <v/>
          </cell>
          <cell r="R939" t="str">
            <v/>
          </cell>
          <cell r="S939" t="str">
            <v/>
          </cell>
          <cell r="T939" t="str">
            <v/>
          </cell>
          <cell r="U939" t="str">
            <v/>
          </cell>
          <cell r="V939" t="str">
            <v>N52</v>
          </cell>
          <cell r="W939" t="str">
            <v/>
          </cell>
          <cell r="X939" t="str">
            <v/>
          </cell>
          <cell r="Y939" t="str">
            <v/>
          </cell>
          <cell r="Z939" t="str">
            <v/>
          </cell>
          <cell r="AA939" t="str">
            <v/>
          </cell>
          <cell r="AB939" t="str">
            <v>PA_2167210-CF.7500-4</v>
          </cell>
          <cell r="AC939">
            <v>1</v>
          </cell>
          <cell r="AD939" t="str">
            <v/>
          </cell>
          <cell r="AE939">
            <v>0</v>
          </cell>
          <cell r="AF939" t="str">
            <v/>
          </cell>
          <cell r="AG939" t="str">
            <v>0524731</v>
          </cell>
          <cell r="AH939">
            <v>44916.952708333331</v>
          </cell>
          <cell r="AI939" t="str">
            <v>N52</v>
          </cell>
          <cell r="AJ939" t="str">
            <v>F</v>
          </cell>
          <cell r="AK939" t="str">
            <v>A</v>
          </cell>
        </row>
        <row r="940">
          <cell r="A940" t="str">
            <v>70002356828521</v>
          </cell>
          <cell r="B940" t="str">
            <v>BL20230413-2</v>
          </cell>
          <cell r="C940" t="e">
            <v>#N/A</v>
          </cell>
          <cell r="D940" t="str">
            <v>EK65</v>
          </cell>
          <cell r="E940" t="str">
            <v>706927</v>
          </cell>
          <cell r="F940" t="str">
            <v>E</v>
          </cell>
          <cell r="G940" t="str">
            <v>70002356</v>
          </cell>
          <cell r="H940" t="str">
            <v>SHIM 1MM</v>
          </cell>
          <cell r="I940">
            <v>360</v>
          </cell>
          <cell r="J940" t="str">
            <v>Stk</v>
          </cell>
          <cell r="K940">
            <v>45069</v>
          </cell>
          <cell r="L940" t="str">
            <v>828521</v>
          </cell>
          <cell r="M940" t="str">
            <v/>
          </cell>
          <cell r="N940" t="str">
            <v/>
          </cell>
          <cell r="O940" t="str">
            <v/>
          </cell>
          <cell r="P940" t="str">
            <v/>
          </cell>
          <cell r="Q940" t="str">
            <v/>
          </cell>
          <cell r="R940" t="str">
            <v/>
          </cell>
          <cell r="S940" t="str">
            <v/>
          </cell>
          <cell r="T940" t="str">
            <v/>
          </cell>
          <cell r="U940" t="str">
            <v>BB20044410004</v>
          </cell>
          <cell r="V940" t="str">
            <v>B00</v>
          </cell>
          <cell r="W940" t="str">
            <v/>
          </cell>
          <cell r="X940" t="str">
            <v/>
          </cell>
          <cell r="Y940" t="str">
            <v/>
          </cell>
          <cell r="Z940" t="str">
            <v/>
          </cell>
          <cell r="AA940" t="str">
            <v/>
          </cell>
          <cell r="AB940" t="str">
            <v>70002356</v>
          </cell>
          <cell r="AC940">
            <v>1</v>
          </cell>
          <cell r="AD940" t="str">
            <v/>
          </cell>
          <cell r="AE940">
            <v>0</v>
          </cell>
          <cell r="AF940" t="str">
            <v/>
          </cell>
          <cell r="AG940" t="str">
            <v>70002356</v>
          </cell>
          <cell r="AH940">
            <v>44961.01635416667</v>
          </cell>
          <cell r="AI940" t="str">
            <v>B00</v>
          </cell>
          <cell r="AJ940" t="str">
            <v>F</v>
          </cell>
          <cell r="AK940" t="str">
            <v>--</v>
          </cell>
        </row>
        <row r="941">
          <cell r="A941" t="str">
            <v>70002377828521</v>
          </cell>
          <cell r="B941" t="str">
            <v>BL20230413-2</v>
          </cell>
          <cell r="C941" t="e">
            <v>#N/A</v>
          </cell>
          <cell r="D941" t="str">
            <v>EK65</v>
          </cell>
          <cell r="E941" t="str">
            <v>706928</v>
          </cell>
          <cell r="F941" t="str">
            <v>E</v>
          </cell>
          <cell r="G941" t="str">
            <v>70002377</v>
          </cell>
          <cell r="H941" t="str">
            <v>SHIM 1MM</v>
          </cell>
          <cell r="I941">
            <v>720</v>
          </cell>
          <cell r="J941" t="str">
            <v>Stk</v>
          </cell>
          <cell r="K941">
            <v>45069</v>
          </cell>
          <cell r="L941" t="str">
            <v>828521</v>
          </cell>
          <cell r="M941" t="str">
            <v/>
          </cell>
          <cell r="N941" t="str">
            <v/>
          </cell>
          <cell r="O941" t="str">
            <v/>
          </cell>
          <cell r="P941" t="str">
            <v/>
          </cell>
          <cell r="Q941" t="str">
            <v/>
          </cell>
          <cell r="R941" t="str">
            <v/>
          </cell>
          <cell r="S941" t="str">
            <v/>
          </cell>
          <cell r="T941" t="str">
            <v/>
          </cell>
          <cell r="U941" t="str">
            <v>BB18723910006</v>
          </cell>
          <cell r="V941" t="str">
            <v>B00</v>
          </cell>
          <cell r="W941" t="str">
            <v/>
          </cell>
          <cell r="X941" t="str">
            <v/>
          </cell>
          <cell r="Y941" t="str">
            <v/>
          </cell>
          <cell r="Z941" t="str">
            <v/>
          </cell>
          <cell r="AA941" t="str">
            <v/>
          </cell>
          <cell r="AB941" t="str">
            <v>70002377</v>
          </cell>
          <cell r="AC941">
            <v>1</v>
          </cell>
          <cell r="AD941" t="str">
            <v/>
          </cell>
          <cell r="AE941">
            <v>0</v>
          </cell>
          <cell r="AF941" t="str">
            <v/>
          </cell>
          <cell r="AG941" t="str">
            <v>70002377</v>
          </cell>
          <cell r="AH941">
            <v>44961.01662037037</v>
          </cell>
          <cell r="AI941" t="str">
            <v>B00</v>
          </cell>
          <cell r="AJ941" t="str">
            <v>F</v>
          </cell>
          <cell r="AK941" t="str">
            <v>--</v>
          </cell>
        </row>
        <row r="942">
          <cell r="A942" t="str">
            <v>70002378828521</v>
          </cell>
          <cell r="B942" t="str">
            <v>BL20230413-2</v>
          </cell>
          <cell r="C942" t="e">
            <v>#N/A</v>
          </cell>
          <cell r="D942" t="str">
            <v>EK65</v>
          </cell>
          <cell r="E942" t="str">
            <v>706929</v>
          </cell>
          <cell r="F942" t="str">
            <v>E</v>
          </cell>
          <cell r="G942" t="str">
            <v>70002378</v>
          </cell>
          <cell r="H942" t="str">
            <v>SHIM 2MM</v>
          </cell>
          <cell r="I942">
            <v>720</v>
          </cell>
          <cell r="J942" t="str">
            <v>Stk</v>
          </cell>
          <cell r="K942">
            <v>45069</v>
          </cell>
          <cell r="L942" t="str">
            <v>828521</v>
          </cell>
          <cell r="M942" t="str">
            <v/>
          </cell>
          <cell r="N942" t="str">
            <v/>
          </cell>
          <cell r="O942" t="str">
            <v/>
          </cell>
          <cell r="P942" t="str">
            <v/>
          </cell>
          <cell r="Q942" t="str">
            <v/>
          </cell>
          <cell r="R942" t="str">
            <v/>
          </cell>
          <cell r="S942" t="str">
            <v/>
          </cell>
          <cell r="T942" t="str">
            <v/>
          </cell>
          <cell r="U942" t="str">
            <v>BB18723910005</v>
          </cell>
          <cell r="V942" t="str">
            <v>B00</v>
          </cell>
          <cell r="W942" t="str">
            <v/>
          </cell>
          <cell r="X942" t="str">
            <v/>
          </cell>
          <cell r="Y942" t="str">
            <v/>
          </cell>
          <cell r="Z942" t="str">
            <v/>
          </cell>
          <cell r="AA942" t="str">
            <v/>
          </cell>
          <cell r="AB942" t="str">
            <v>70002378</v>
          </cell>
          <cell r="AC942">
            <v>1</v>
          </cell>
          <cell r="AD942" t="str">
            <v/>
          </cell>
          <cell r="AE942">
            <v>0</v>
          </cell>
          <cell r="AF942" t="str">
            <v/>
          </cell>
          <cell r="AG942" t="str">
            <v>70002378</v>
          </cell>
          <cell r="AH942">
            <v>44961.016643518517</v>
          </cell>
          <cell r="AI942" t="str">
            <v>B00</v>
          </cell>
          <cell r="AJ942" t="str">
            <v>F</v>
          </cell>
          <cell r="AK942" t="str">
            <v>--</v>
          </cell>
        </row>
        <row r="943">
          <cell r="A943" t="str">
            <v>70000132828521</v>
          </cell>
          <cell r="B943" t="str">
            <v>BL20230413-2</v>
          </cell>
          <cell r="C943" t="e">
            <v>#N/A</v>
          </cell>
          <cell r="D943" t="str">
            <v>EK65</v>
          </cell>
          <cell r="E943" t="str">
            <v>723320</v>
          </cell>
          <cell r="F943" t="str">
            <v>E</v>
          </cell>
          <cell r="G943" t="str">
            <v>70000132</v>
          </cell>
          <cell r="H943" t="str">
            <v>PLATE</v>
          </cell>
          <cell r="I943">
            <v>2250</v>
          </cell>
          <cell r="J943" t="str">
            <v>Stk</v>
          </cell>
          <cell r="K943">
            <v>45069</v>
          </cell>
          <cell r="L943" t="str">
            <v>828521</v>
          </cell>
          <cell r="M943" t="str">
            <v/>
          </cell>
          <cell r="N943" t="str">
            <v/>
          </cell>
          <cell r="O943" t="str">
            <v/>
          </cell>
          <cell r="P943" t="str">
            <v/>
          </cell>
          <cell r="Q943" t="str">
            <v/>
          </cell>
          <cell r="R943" t="str">
            <v/>
          </cell>
          <cell r="S943" t="str">
            <v/>
          </cell>
          <cell r="T943" t="str">
            <v/>
          </cell>
          <cell r="U943" t="str">
            <v>BB20042510001</v>
          </cell>
          <cell r="V943" t="str">
            <v>B00</v>
          </cell>
          <cell r="W943" t="str">
            <v/>
          </cell>
          <cell r="X943" t="str">
            <v/>
          </cell>
          <cell r="Y943" t="str">
            <v/>
          </cell>
          <cell r="Z943" t="str">
            <v/>
          </cell>
          <cell r="AA943" t="str">
            <v/>
          </cell>
          <cell r="AB943" t="str">
            <v>70000132</v>
          </cell>
          <cell r="AC943">
            <v>1</v>
          </cell>
          <cell r="AD943" t="str">
            <v/>
          </cell>
          <cell r="AE943">
            <v>0</v>
          </cell>
          <cell r="AF943" t="str">
            <v/>
          </cell>
          <cell r="AG943" t="str">
            <v>70000132</v>
          </cell>
          <cell r="AH943">
            <v>45016.907546296294</v>
          </cell>
          <cell r="AI943" t="str">
            <v>B00</v>
          </cell>
          <cell r="AJ943" t="str">
            <v>F</v>
          </cell>
          <cell r="AK943" t="str">
            <v>--</v>
          </cell>
        </row>
        <row r="944">
          <cell r="A944" t="str">
            <v>70000181828521</v>
          </cell>
          <cell r="B944" t="str">
            <v>keine Matnr.</v>
          </cell>
          <cell r="C944" t="e">
            <v>#N/A</v>
          </cell>
          <cell r="D944" t="str">
            <v>EK65</v>
          </cell>
          <cell r="E944" t="str">
            <v>723321</v>
          </cell>
          <cell r="F944" t="str">
            <v>E</v>
          </cell>
          <cell r="G944" t="str">
            <v>70000181</v>
          </cell>
          <cell r="H944" t="str">
            <v>WIRING GUIDE AL 210X15</v>
          </cell>
          <cell r="I944">
            <v>270</v>
          </cell>
          <cell r="J944" t="str">
            <v>Stk</v>
          </cell>
          <cell r="K944">
            <v>45069</v>
          </cell>
          <cell r="L944" t="str">
            <v>828521</v>
          </cell>
          <cell r="M944" t="str">
            <v/>
          </cell>
          <cell r="N944" t="str">
            <v/>
          </cell>
          <cell r="O944" t="str">
            <v/>
          </cell>
          <cell r="P944" t="str">
            <v/>
          </cell>
          <cell r="Q944" t="str">
            <v/>
          </cell>
          <cell r="R944" t="str">
            <v/>
          </cell>
          <cell r="S944" t="str">
            <v/>
          </cell>
          <cell r="T944" t="str">
            <v/>
          </cell>
          <cell r="U944" t="str">
            <v>SLO2523257000</v>
          </cell>
          <cell r="V944" t="str">
            <v>N32</v>
          </cell>
          <cell r="W944" t="str">
            <v/>
          </cell>
          <cell r="X944" t="str">
            <v/>
          </cell>
          <cell r="Y944" t="str">
            <v/>
          </cell>
          <cell r="Z944" t="str">
            <v/>
          </cell>
          <cell r="AA944" t="str">
            <v/>
          </cell>
          <cell r="AB944" t="str">
            <v/>
          </cell>
          <cell r="AC944">
            <v>1</v>
          </cell>
          <cell r="AD944" t="str">
            <v/>
          </cell>
          <cell r="AE944">
            <v>0</v>
          </cell>
          <cell r="AF944" t="str">
            <v/>
          </cell>
          <cell r="AG944" t="str">
            <v>70000181</v>
          </cell>
          <cell r="AH944">
            <v>45016.908125000002</v>
          </cell>
          <cell r="AI944" t="str">
            <v>N32</v>
          </cell>
          <cell r="AJ944" t="str">
            <v/>
          </cell>
          <cell r="AK944" t="str">
            <v>A0</v>
          </cell>
        </row>
        <row r="945">
          <cell r="A945" t="str">
            <v>70001361828521</v>
          </cell>
          <cell r="B945" t="str">
            <v>keine Matnr.</v>
          </cell>
          <cell r="C945" t="e">
            <v>#N/A</v>
          </cell>
          <cell r="D945" t="str">
            <v>EK65</v>
          </cell>
          <cell r="E945" t="str">
            <v>723404</v>
          </cell>
          <cell r="F945" t="str">
            <v>E</v>
          </cell>
          <cell r="G945" t="str">
            <v>70001361</v>
          </cell>
          <cell r="H945" t="str">
            <v>WIRING GUIDE AL 110X15</v>
          </cell>
          <cell r="I945">
            <v>270</v>
          </cell>
          <cell r="J945" t="str">
            <v>Stk</v>
          </cell>
          <cell r="K945">
            <v>45069</v>
          </cell>
          <cell r="L945" t="str">
            <v>828521</v>
          </cell>
          <cell r="M945" t="str">
            <v/>
          </cell>
          <cell r="N945" t="str">
            <v/>
          </cell>
          <cell r="O945" t="str">
            <v/>
          </cell>
          <cell r="P945" t="str">
            <v/>
          </cell>
          <cell r="Q945" t="str">
            <v/>
          </cell>
          <cell r="R945" t="str">
            <v/>
          </cell>
          <cell r="S945" t="str">
            <v/>
          </cell>
          <cell r="T945" t="str">
            <v/>
          </cell>
          <cell r="U945" t="str">
            <v>SLO2523257000</v>
          </cell>
          <cell r="V945" t="str">
            <v>N32</v>
          </cell>
          <cell r="W945" t="str">
            <v/>
          </cell>
          <cell r="X945" t="str">
            <v/>
          </cell>
          <cell r="Y945" t="str">
            <v/>
          </cell>
          <cell r="Z945" t="str">
            <v/>
          </cell>
          <cell r="AA945" t="str">
            <v/>
          </cell>
          <cell r="AB945" t="str">
            <v/>
          </cell>
          <cell r="AC945">
            <v>1</v>
          </cell>
          <cell r="AD945" t="str">
            <v/>
          </cell>
          <cell r="AE945">
            <v>0</v>
          </cell>
          <cell r="AF945" t="str">
            <v/>
          </cell>
          <cell r="AG945" t="str">
            <v>70001361</v>
          </cell>
          <cell r="AH945">
            <v>45016.918530092589</v>
          </cell>
          <cell r="AI945" t="str">
            <v>N32</v>
          </cell>
          <cell r="AJ945" t="str">
            <v/>
          </cell>
          <cell r="AK945" t="str">
            <v>A0</v>
          </cell>
        </row>
        <row r="946">
          <cell r="A946" t="str">
            <v>70001362828521</v>
          </cell>
          <cell r="B946" t="str">
            <v>BL20230413-2</v>
          </cell>
          <cell r="C946" t="e">
            <v>#N/A</v>
          </cell>
          <cell r="D946" t="str">
            <v>EK65</v>
          </cell>
          <cell r="E946" t="str">
            <v>723405</v>
          </cell>
          <cell r="F946" t="str">
            <v>E</v>
          </cell>
          <cell r="G946" t="str">
            <v>70001362</v>
          </cell>
          <cell r="H946" t="str">
            <v>LOCK WASHER</v>
          </cell>
          <cell r="I946">
            <v>540</v>
          </cell>
          <cell r="J946" t="str">
            <v>Stk</v>
          </cell>
          <cell r="K946">
            <v>45069</v>
          </cell>
          <cell r="L946" t="str">
            <v>828521</v>
          </cell>
          <cell r="M946" t="str">
            <v/>
          </cell>
          <cell r="N946" t="str">
            <v/>
          </cell>
          <cell r="O946" t="str">
            <v/>
          </cell>
          <cell r="P946" t="str">
            <v/>
          </cell>
          <cell r="Q946" t="str">
            <v>X6Cr17</v>
          </cell>
          <cell r="R946" t="str">
            <v>EN 10088</v>
          </cell>
          <cell r="S946" t="str">
            <v/>
          </cell>
          <cell r="T946" t="str">
            <v/>
          </cell>
          <cell r="U946" t="str">
            <v>BB20026610001</v>
          </cell>
          <cell r="V946" t="str">
            <v>B00</v>
          </cell>
          <cell r="W946" t="str">
            <v/>
          </cell>
          <cell r="X946" t="str">
            <v/>
          </cell>
          <cell r="Y946" t="str">
            <v/>
          </cell>
          <cell r="Z946" t="str">
            <v/>
          </cell>
          <cell r="AA946" t="str">
            <v/>
          </cell>
          <cell r="AB946" t="str">
            <v>70001362</v>
          </cell>
          <cell r="AC946">
            <v>1</v>
          </cell>
          <cell r="AD946" t="str">
            <v/>
          </cell>
          <cell r="AE946">
            <v>0</v>
          </cell>
          <cell r="AF946" t="str">
            <v/>
          </cell>
          <cell r="AG946" t="str">
            <v>70001362</v>
          </cell>
          <cell r="AH946">
            <v>45016.918541666666</v>
          </cell>
          <cell r="AI946" t="str">
            <v>B00</v>
          </cell>
          <cell r="AJ946" t="str">
            <v>F</v>
          </cell>
          <cell r="AK946" t="str">
            <v>--</v>
          </cell>
        </row>
        <row r="947">
          <cell r="A947" t="str">
            <v>70002051828521</v>
          </cell>
          <cell r="B947" t="str">
            <v>BL20230413-2</v>
          </cell>
          <cell r="C947" t="e">
            <v>#N/A</v>
          </cell>
          <cell r="D947" t="str">
            <v>EK65</v>
          </cell>
          <cell r="E947" t="str">
            <v>729207</v>
          </cell>
          <cell r="F947" t="str">
            <v>E</v>
          </cell>
          <cell r="G947" t="str">
            <v>70002051</v>
          </cell>
          <cell r="H947" t="str">
            <v>COVER ASSEMBLY</v>
          </cell>
          <cell r="I947">
            <v>90</v>
          </cell>
          <cell r="J947" t="str">
            <v>Stk</v>
          </cell>
          <cell r="K947">
            <v>45069</v>
          </cell>
          <cell r="L947" t="str">
            <v>828521</v>
          </cell>
          <cell r="M947" t="str">
            <v/>
          </cell>
          <cell r="N947" t="str">
            <v/>
          </cell>
          <cell r="O947" t="str">
            <v/>
          </cell>
          <cell r="P947" t="str">
            <v/>
          </cell>
          <cell r="Q947" t="str">
            <v/>
          </cell>
          <cell r="R947" t="str">
            <v/>
          </cell>
          <cell r="S947" t="str">
            <v/>
          </cell>
          <cell r="T947" t="str">
            <v/>
          </cell>
          <cell r="U947" t="str">
            <v>BB20042410300</v>
          </cell>
          <cell r="V947" t="str">
            <v>B00</v>
          </cell>
          <cell r="W947" t="str">
            <v/>
          </cell>
          <cell r="X947" t="str">
            <v/>
          </cell>
          <cell r="Y947" t="str">
            <v/>
          </cell>
          <cell r="Z947" t="str">
            <v/>
          </cell>
          <cell r="AA947" t="str">
            <v/>
          </cell>
          <cell r="AB947" t="str">
            <v>70002051</v>
          </cell>
          <cell r="AC947">
            <v>1</v>
          </cell>
          <cell r="AD947" t="str">
            <v/>
          </cell>
          <cell r="AE947">
            <v>0</v>
          </cell>
          <cell r="AF947" t="str">
            <v/>
          </cell>
          <cell r="AG947" t="str">
            <v>70002051</v>
          </cell>
          <cell r="AH947">
            <v>45029.978136574071</v>
          </cell>
          <cell r="AI947" t="str">
            <v>B00</v>
          </cell>
          <cell r="AJ947" t="str">
            <v>F</v>
          </cell>
          <cell r="AK947" t="str">
            <v>B0</v>
          </cell>
        </row>
        <row r="948">
          <cell r="A948" t="str">
            <v>70001513828521</v>
          </cell>
          <cell r="B948" t="str">
            <v>BL20230413-2</v>
          </cell>
          <cell r="C948" t="e">
            <v>#N/A</v>
          </cell>
          <cell r="D948" t="str">
            <v>EK65</v>
          </cell>
          <cell r="E948" t="str">
            <v>686768</v>
          </cell>
          <cell r="F948" t="str">
            <v>E</v>
          </cell>
          <cell r="G948" t="str">
            <v>70001513</v>
          </cell>
          <cell r="H948" t="str">
            <v>FRAME ASSEMBLY</v>
          </cell>
          <cell r="I948">
            <v>90</v>
          </cell>
          <cell r="J948" t="str">
            <v>Stk</v>
          </cell>
          <cell r="K948">
            <v>45070</v>
          </cell>
          <cell r="L948" t="str">
            <v>828521</v>
          </cell>
          <cell r="M948" t="str">
            <v/>
          </cell>
          <cell r="N948" t="str">
            <v/>
          </cell>
          <cell r="O948" t="str">
            <v/>
          </cell>
          <cell r="P948" t="str">
            <v/>
          </cell>
          <cell r="Q948" t="str">
            <v/>
          </cell>
          <cell r="R948" t="str">
            <v/>
          </cell>
          <cell r="S948" t="str">
            <v/>
          </cell>
          <cell r="T948" t="str">
            <v/>
          </cell>
          <cell r="U948" t="str">
            <v>BB20032612700</v>
          </cell>
          <cell r="V948" t="str">
            <v>N252</v>
          </cell>
          <cell r="W948" t="str">
            <v/>
          </cell>
          <cell r="X948" t="str">
            <v>A3</v>
          </cell>
          <cell r="Y948" t="str">
            <v/>
          </cell>
          <cell r="Z948" t="str">
            <v/>
          </cell>
          <cell r="AA948" t="str">
            <v/>
          </cell>
          <cell r="AB948" t="str">
            <v>70001513</v>
          </cell>
          <cell r="AC948">
            <v>1</v>
          </cell>
          <cell r="AD948" t="str">
            <v/>
          </cell>
          <cell r="AE948">
            <v>0</v>
          </cell>
          <cell r="AF948" t="str">
            <v/>
          </cell>
          <cell r="AG948" t="str">
            <v>70001513</v>
          </cell>
          <cell r="AH948">
            <v>44916.127025462964</v>
          </cell>
          <cell r="AI948" t="str">
            <v>N252</v>
          </cell>
          <cell r="AJ948" t="str">
            <v>F</v>
          </cell>
          <cell r="AK948" t="str">
            <v>A0</v>
          </cell>
        </row>
        <row r="949">
          <cell r="A949" t="str">
            <v>0088422829053</v>
          </cell>
          <cell r="B949">
            <v>0</v>
          </cell>
          <cell r="C949">
            <v>14</v>
          </cell>
          <cell r="D949" t="str">
            <v>EK65</v>
          </cell>
          <cell r="E949" t="str">
            <v>690673</v>
          </cell>
          <cell r="F949" t="str">
            <v>E</v>
          </cell>
          <cell r="G949" t="str">
            <v>0088422</v>
          </cell>
          <cell r="H949" t="str">
            <v>Halter</v>
          </cell>
          <cell r="I949">
            <v>51</v>
          </cell>
          <cell r="J949" t="str">
            <v>Stk</v>
          </cell>
          <cell r="K949">
            <v>45217</v>
          </cell>
          <cell r="L949" t="str">
            <v>829053</v>
          </cell>
          <cell r="M949" t="str">
            <v/>
          </cell>
          <cell r="N949" t="str">
            <v/>
          </cell>
          <cell r="O949" t="str">
            <v/>
          </cell>
          <cell r="P949" t="str">
            <v/>
          </cell>
          <cell r="Q949" t="str">
            <v/>
          </cell>
          <cell r="R949" t="str">
            <v/>
          </cell>
          <cell r="S949" t="str">
            <v/>
          </cell>
          <cell r="T949" t="str">
            <v/>
          </cell>
          <cell r="U949" t="str">
            <v/>
          </cell>
          <cell r="V949" t="str">
            <v>N52</v>
          </cell>
          <cell r="W949" t="str">
            <v/>
          </cell>
          <cell r="X949" t="str">
            <v/>
          </cell>
          <cell r="Y949" t="str">
            <v/>
          </cell>
          <cell r="Z949" t="str">
            <v/>
          </cell>
          <cell r="AA949" t="str">
            <v/>
          </cell>
          <cell r="AB949" t="str">
            <v>PA_2085431-DF.7001-3</v>
          </cell>
          <cell r="AC949">
            <v>1</v>
          </cell>
          <cell r="AD949" t="str">
            <v/>
          </cell>
          <cell r="AE949">
            <v>0</v>
          </cell>
          <cell r="AF949" t="str">
            <v/>
          </cell>
          <cell r="AG949" t="str">
            <v>0088422</v>
          </cell>
          <cell r="AH949">
            <v>44916.992685185185</v>
          </cell>
          <cell r="AI949" t="str">
            <v>N52</v>
          </cell>
          <cell r="AJ949" t="str">
            <v>F</v>
          </cell>
          <cell r="AK949" t="str">
            <v/>
          </cell>
        </row>
        <row r="950">
          <cell r="A950" t="str">
            <v>0088422829051</v>
          </cell>
          <cell r="B950" t="str">
            <v>BL20230413-2</v>
          </cell>
          <cell r="C950">
            <v>14</v>
          </cell>
          <cell r="D950" t="str">
            <v>EK65</v>
          </cell>
          <cell r="E950" t="str">
            <v>690674</v>
          </cell>
          <cell r="F950" t="str">
            <v>E</v>
          </cell>
          <cell r="G950" t="str">
            <v>0088422</v>
          </cell>
          <cell r="H950" t="str">
            <v>Halter</v>
          </cell>
          <cell r="I950">
            <v>90</v>
          </cell>
          <cell r="J950" t="str">
            <v>Stk</v>
          </cell>
          <cell r="K950">
            <v>45338</v>
          </cell>
          <cell r="L950" t="str">
            <v>829051</v>
          </cell>
          <cell r="M950" t="str">
            <v/>
          </cell>
          <cell r="N950" t="str">
            <v/>
          </cell>
          <cell r="O950" t="str">
            <v/>
          </cell>
          <cell r="P950" t="str">
            <v/>
          </cell>
          <cell r="Q950" t="str">
            <v/>
          </cell>
          <cell r="R950" t="str">
            <v/>
          </cell>
          <cell r="S950" t="str">
            <v/>
          </cell>
          <cell r="T950" t="str">
            <v/>
          </cell>
          <cell r="U950" t="str">
            <v/>
          </cell>
          <cell r="V950" t="str">
            <v>N52</v>
          </cell>
          <cell r="W950" t="str">
            <v/>
          </cell>
          <cell r="X950" t="str">
            <v/>
          </cell>
          <cell r="Y950" t="str">
            <v/>
          </cell>
          <cell r="Z950" t="str">
            <v/>
          </cell>
          <cell r="AA950" t="str">
            <v/>
          </cell>
          <cell r="AB950" t="str">
            <v>PA_2085431-DF.7001-3</v>
          </cell>
          <cell r="AC950">
            <v>1</v>
          </cell>
          <cell r="AD950" t="str">
            <v/>
          </cell>
          <cell r="AE950">
            <v>0</v>
          </cell>
          <cell r="AF950" t="str">
            <v/>
          </cell>
          <cell r="AG950" t="str">
            <v>0088422</v>
          </cell>
          <cell r="AH950">
            <v>44916.992685185185</v>
          </cell>
          <cell r="AI950" t="str">
            <v>N52</v>
          </cell>
          <cell r="AJ950" t="str">
            <v>F</v>
          </cell>
          <cell r="AK950" t="str">
            <v/>
          </cell>
        </row>
        <row r="951">
          <cell r="A951" t="str">
            <v>0273679820531</v>
          </cell>
          <cell r="B951" t="str">
            <v>BL20230413-2</v>
          </cell>
          <cell r="C951" t="e">
            <v>#N/A</v>
          </cell>
          <cell r="D951" t="str">
            <v>EK65</v>
          </cell>
          <cell r="E951" t="str">
            <v>690727</v>
          </cell>
          <cell r="F951" t="str">
            <v>E</v>
          </cell>
          <cell r="G951" t="str">
            <v>0273679</v>
          </cell>
          <cell r="H951" t="str">
            <v>Distanzhuelse</v>
          </cell>
          <cell r="I951">
            <v>16</v>
          </cell>
          <cell r="J951" t="str">
            <v>Stk</v>
          </cell>
          <cell r="K951">
            <v>45241</v>
          </cell>
          <cell r="L951" t="str">
            <v>820531</v>
          </cell>
          <cell r="M951" t="str">
            <v/>
          </cell>
          <cell r="N951" t="str">
            <v/>
          </cell>
          <cell r="O951" t="str">
            <v/>
          </cell>
          <cell r="P951" t="str">
            <v/>
          </cell>
          <cell r="Q951" t="str">
            <v/>
          </cell>
          <cell r="R951" t="str">
            <v/>
          </cell>
          <cell r="S951" t="str">
            <v/>
          </cell>
          <cell r="T951" t="str">
            <v/>
          </cell>
          <cell r="U951" t="str">
            <v/>
          </cell>
          <cell r="V951" t="str">
            <v>N52</v>
          </cell>
          <cell r="W951" t="str">
            <v/>
          </cell>
          <cell r="X951" t="str">
            <v/>
          </cell>
          <cell r="Y951" t="str">
            <v/>
          </cell>
          <cell r="Z951" t="str">
            <v/>
          </cell>
          <cell r="AA951" t="str">
            <v/>
          </cell>
          <cell r="AB951" t="str">
            <v>PA_2332363-DC.3047-4</v>
          </cell>
          <cell r="AC951">
            <v>1</v>
          </cell>
          <cell r="AD951" t="str">
            <v/>
          </cell>
          <cell r="AE951">
            <v>0</v>
          </cell>
          <cell r="AF951" t="str">
            <v/>
          </cell>
          <cell r="AG951" t="str">
            <v>0273679</v>
          </cell>
          <cell r="AH951">
            <v>44916.99422453704</v>
          </cell>
          <cell r="AI951" t="str">
            <v>N52</v>
          </cell>
          <cell r="AJ951" t="str">
            <v>F</v>
          </cell>
          <cell r="AK951" t="str">
            <v/>
          </cell>
        </row>
        <row r="952">
          <cell r="A952" t="str">
            <v>0274616820531</v>
          </cell>
          <cell r="B952" t="str">
            <v>BL20230413-2</v>
          </cell>
          <cell r="C952" t="e">
            <v>#N/A</v>
          </cell>
          <cell r="D952" t="str">
            <v>EK65</v>
          </cell>
          <cell r="E952" t="str">
            <v>690728</v>
          </cell>
          <cell r="F952" t="str">
            <v>E</v>
          </cell>
          <cell r="G952" t="str">
            <v>0274616</v>
          </cell>
          <cell r="H952" t="str">
            <v>Gewindehinterlage</v>
          </cell>
          <cell r="I952">
            <v>1</v>
          </cell>
          <cell r="J952" t="str">
            <v>Stk</v>
          </cell>
          <cell r="K952">
            <v>45247</v>
          </cell>
          <cell r="L952" t="str">
            <v>820531</v>
          </cell>
          <cell r="M952" t="str">
            <v/>
          </cell>
          <cell r="N952" t="str">
            <v/>
          </cell>
          <cell r="O952" t="str">
            <v/>
          </cell>
          <cell r="P952" t="str">
            <v/>
          </cell>
          <cell r="Q952" t="str">
            <v/>
          </cell>
          <cell r="R952" t="str">
            <v/>
          </cell>
          <cell r="S952" t="str">
            <v/>
          </cell>
          <cell r="T952" t="str">
            <v/>
          </cell>
          <cell r="U952" t="str">
            <v/>
          </cell>
          <cell r="V952" t="str">
            <v>N52</v>
          </cell>
          <cell r="W952" t="str">
            <v/>
          </cell>
          <cell r="X952" t="str">
            <v/>
          </cell>
          <cell r="Y952" t="str">
            <v/>
          </cell>
          <cell r="Z952" t="str">
            <v/>
          </cell>
          <cell r="AA952" t="str">
            <v/>
          </cell>
          <cell r="AB952" t="str">
            <v>BU_4096174-DC.3047-4</v>
          </cell>
          <cell r="AC952">
            <v>1</v>
          </cell>
          <cell r="AD952" t="str">
            <v/>
          </cell>
          <cell r="AE952">
            <v>0</v>
          </cell>
          <cell r="AF952" t="str">
            <v/>
          </cell>
          <cell r="AG952" t="str">
            <v>0274616</v>
          </cell>
          <cell r="AH952">
            <v>44916.99423611111</v>
          </cell>
          <cell r="AI952" t="str">
            <v>N52</v>
          </cell>
          <cell r="AJ952" t="str">
            <v>F</v>
          </cell>
          <cell r="AK952" t="str">
            <v>a</v>
          </cell>
        </row>
        <row r="953">
          <cell r="A953" t="str">
            <v>0279268820531</v>
          </cell>
          <cell r="B953" t="str">
            <v>BL20230413-2</v>
          </cell>
          <cell r="C953" t="e">
            <v>#N/A</v>
          </cell>
          <cell r="D953" t="str">
            <v>EK65</v>
          </cell>
          <cell r="E953" t="str">
            <v>690741</v>
          </cell>
          <cell r="F953" t="str">
            <v>E</v>
          </cell>
          <cell r="G953" t="str">
            <v>0279268</v>
          </cell>
          <cell r="H953" t="str">
            <v>Abschlussprofil</v>
          </cell>
          <cell r="I953">
            <v>2</v>
          </cell>
          <cell r="J953" t="str">
            <v>Stk</v>
          </cell>
          <cell r="K953">
            <v>45212</v>
          </cell>
          <cell r="L953" t="str">
            <v>820531</v>
          </cell>
          <cell r="M953" t="str">
            <v/>
          </cell>
          <cell r="N953" t="str">
            <v/>
          </cell>
          <cell r="O953" t="str">
            <v/>
          </cell>
          <cell r="P953" t="str">
            <v/>
          </cell>
          <cell r="Q953" t="str">
            <v/>
          </cell>
          <cell r="R953" t="str">
            <v/>
          </cell>
          <cell r="S953" t="str">
            <v/>
          </cell>
          <cell r="T953" t="str">
            <v/>
          </cell>
          <cell r="U953" t="str">
            <v/>
          </cell>
          <cell r="V953" t="str">
            <v>N52</v>
          </cell>
          <cell r="W953" t="str">
            <v/>
          </cell>
          <cell r="X953" t="str">
            <v/>
          </cell>
          <cell r="Y953" t="str">
            <v/>
          </cell>
          <cell r="Z953" t="str">
            <v/>
          </cell>
          <cell r="AA953" t="str">
            <v/>
          </cell>
          <cell r="AB953" t="str">
            <v>PA_2304743-CC.3046-2</v>
          </cell>
          <cell r="AC953">
            <v>1</v>
          </cell>
          <cell r="AD953" t="str">
            <v/>
          </cell>
          <cell r="AE953">
            <v>0</v>
          </cell>
          <cell r="AF953" t="str">
            <v/>
          </cell>
          <cell r="AG953" t="str">
            <v>0279268</v>
          </cell>
          <cell r="AH953">
            <v>44916.995069444441</v>
          </cell>
          <cell r="AI953" t="str">
            <v>N52</v>
          </cell>
          <cell r="AJ953" t="str">
            <v>F</v>
          </cell>
          <cell r="AK953" t="str">
            <v/>
          </cell>
        </row>
        <row r="954">
          <cell r="A954" t="str">
            <v>0281323820531</v>
          </cell>
          <cell r="B954" t="str">
            <v>BL20230413-2</v>
          </cell>
          <cell r="C954" t="e">
            <v>#N/A</v>
          </cell>
          <cell r="D954" t="str">
            <v>EK65</v>
          </cell>
          <cell r="E954" t="str">
            <v>690748</v>
          </cell>
          <cell r="F954" t="str">
            <v>E</v>
          </cell>
          <cell r="G954" t="str">
            <v>0281323</v>
          </cell>
          <cell r="H954" t="str">
            <v>Blech fuer Schalldaemmung</v>
          </cell>
          <cell r="I954">
            <v>5</v>
          </cell>
          <cell r="J954" t="str">
            <v>Stk</v>
          </cell>
          <cell r="K954">
            <v>45203</v>
          </cell>
          <cell r="L954" t="str">
            <v>820531</v>
          </cell>
          <cell r="M954" t="str">
            <v/>
          </cell>
          <cell r="N954" t="str">
            <v/>
          </cell>
          <cell r="O954" t="str">
            <v/>
          </cell>
          <cell r="P954" t="str">
            <v/>
          </cell>
          <cell r="Q954" t="str">
            <v/>
          </cell>
          <cell r="R954" t="str">
            <v/>
          </cell>
          <cell r="S954" t="str">
            <v/>
          </cell>
          <cell r="T954" t="str">
            <v/>
          </cell>
          <cell r="U954" t="str">
            <v/>
          </cell>
          <cell r="V954" t="str">
            <v>N52</v>
          </cell>
          <cell r="W954" t="str">
            <v/>
          </cell>
          <cell r="X954" t="str">
            <v/>
          </cell>
          <cell r="Y954" t="str">
            <v/>
          </cell>
          <cell r="Z954" t="str">
            <v/>
          </cell>
          <cell r="AA954" t="str">
            <v/>
          </cell>
          <cell r="AB954" t="str">
            <v>PA_2312683-CC.3046-3</v>
          </cell>
          <cell r="AC954">
            <v>1</v>
          </cell>
          <cell r="AD954" t="str">
            <v/>
          </cell>
          <cell r="AE954">
            <v>0</v>
          </cell>
          <cell r="AF954" t="str">
            <v/>
          </cell>
          <cell r="AG954" t="str">
            <v>0281323</v>
          </cell>
          <cell r="AH954">
            <v>44916.995393518519</v>
          </cell>
          <cell r="AI954" t="str">
            <v>N52</v>
          </cell>
          <cell r="AJ954" t="str">
            <v>F</v>
          </cell>
          <cell r="AK954" t="str">
            <v/>
          </cell>
        </row>
        <row r="955">
          <cell r="A955" t="str">
            <v>0281970820531</v>
          </cell>
          <cell r="B955" t="str">
            <v>BL20230413-2</v>
          </cell>
          <cell r="C955" t="e">
            <v>#N/A</v>
          </cell>
          <cell r="D955" t="str">
            <v>EK65</v>
          </cell>
          <cell r="E955" t="str">
            <v>690749</v>
          </cell>
          <cell r="F955" t="str">
            <v>E</v>
          </cell>
          <cell r="G955" t="str">
            <v>0281970</v>
          </cell>
          <cell r="H955" t="str">
            <v>Blechteil</v>
          </cell>
          <cell r="I955">
            <v>4</v>
          </cell>
          <cell r="J955" t="str">
            <v>Stk</v>
          </cell>
          <cell r="K955">
            <v>45205</v>
          </cell>
          <cell r="L955" t="str">
            <v>820531</v>
          </cell>
          <cell r="M955" t="str">
            <v/>
          </cell>
          <cell r="N955" t="str">
            <v/>
          </cell>
          <cell r="O955" t="str">
            <v/>
          </cell>
          <cell r="P955" t="str">
            <v/>
          </cell>
          <cell r="Q955" t="str">
            <v/>
          </cell>
          <cell r="R955" t="str">
            <v/>
          </cell>
          <cell r="S955" t="str">
            <v/>
          </cell>
          <cell r="T955" t="str">
            <v/>
          </cell>
          <cell r="U955" t="str">
            <v/>
          </cell>
          <cell r="V955" t="str">
            <v>N52</v>
          </cell>
          <cell r="W955" t="str">
            <v/>
          </cell>
          <cell r="X955" t="str">
            <v/>
          </cell>
          <cell r="Y955" t="str">
            <v/>
          </cell>
          <cell r="Z955" t="str">
            <v/>
          </cell>
          <cell r="AA955" t="str">
            <v/>
          </cell>
          <cell r="AB955" t="str">
            <v>PA_2316470-CC.3046-3</v>
          </cell>
          <cell r="AC955">
            <v>1</v>
          </cell>
          <cell r="AD955" t="str">
            <v/>
          </cell>
          <cell r="AE955">
            <v>0</v>
          </cell>
          <cell r="AF955" t="str">
            <v/>
          </cell>
          <cell r="AG955" t="str">
            <v>0281970</v>
          </cell>
          <cell r="AH955">
            <v>44916.995625000003</v>
          </cell>
          <cell r="AI955" t="str">
            <v>N52</v>
          </cell>
          <cell r="AJ955" t="str">
            <v>F</v>
          </cell>
          <cell r="AK955" t="str">
            <v/>
          </cell>
        </row>
        <row r="956">
          <cell r="A956" t="str">
            <v>0544415820541</v>
          </cell>
          <cell r="B956" t="str">
            <v>BL20230413-2</v>
          </cell>
          <cell r="C956" t="e">
            <v>#N/A</v>
          </cell>
          <cell r="D956" t="str">
            <v>EK65</v>
          </cell>
          <cell r="E956" t="str">
            <v>690777</v>
          </cell>
          <cell r="F956" t="str">
            <v>E</v>
          </cell>
          <cell r="G956" t="str">
            <v>0544415</v>
          </cell>
          <cell r="H956" t="str">
            <v>Platte</v>
          </cell>
          <cell r="I956">
            <v>396</v>
          </cell>
          <cell r="J956" t="str">
            <v>Stk</v>
          </cell>
          <cell r="K956">
            <v>45169</v>
          </cell>
          <cell r="L956" t="str">
            <v>820541</v>
          </cell>
          <cell r="M956" t="str">
            <v/>
          </cell>
          <cell r="N956" t="str">
            <v/>
          </cell>
          <cell r="O956" t="str">
            <v/>
          </cell>
          <cell r="P956" t="str">
            <v/>
          </cell>
          <cell r="Q956" t="str">
            <v>EN 755-2</v>
          </cell>
          <cell r="R956" t="str">
            <v>EN AW-6060</v>
          </cell>
          <cell r="S956" t="str">
            <v/>
          </cell>
          <cell r="T956" t="str">
            <v/>
          </cell>
          <cell r="U956" t="str">
            <v>RCK20x2x2590</v>
          </cell>
          <cell r="V956" t="str">
            <v>N52</v>
          </cell>
          <cell r="W956" t="str">
            <v/>
          </cell>
          <cell r="X956" t="str">
            <v/>
          </cell>
          <cell r="Y956" t="str">
            <v/>
          </cell>
          <cell r="Z956" t="str">
            <v/>
          </cell>
          <cell r="AA956" t="str">
            <v/>
          </cell>
          <cell r="AB956" t="str">
            <v/>
          </cell>
          <cell r="AC956">
            <v>1</v>
          </cell>
          <cell r="AD956" t="str">
            <v/>
          </cell>
          <cell r="AE956">
            <v>0</v>
          </cell>
          <cell r="AF956" t="str">
            <v/>
          </cell>
          <cell r="AG956" t="str">
            <v>0544415</v>
          </cell>
          <cell r="AH956">
            <v>44916.997048611112</v>
          </cell>
          <cell r="AI956" t="str">
            <v>N52</v>
          </cell>
          <cell r="AJ956" t="str">
            <v/>
          </cell>
          <cell r="AK956" t="str">
            <v/>
          </cell>
        </row>
        <row r="957">
          <cell r="A957" t="str">
            <v>0628462820541</v>
          </cell>
          <cell r="B957" t="str">
            <v>BL20230413-2</v>
          </cell>
          <cell r="C957" t="e">
            <v>#N/A</v>
          </cell>
          <cell r="D957" t="str">
            <v>EK65</v>
          </cell>
          <cell r="E957" t="str">
            <v>690843</v>
          </cell>
          <cell r="F957" t="str">
            <v>E</v>
          </cell>
          <cell r="G957" t="str">
            <v>0628462</v>
          </cell>
          <cell r="H957" t="str">
            <v>Dehnhuelse L20,D24/11</v>
          </cell>
          <cell r="I957">
            <v>528</v>
          </cell>
          <cell r="J957" t="str">
            <v>Stk</v>
          </cell>
          <cell r="K957">
            <v>45175</v>
          </cell>
          <cell r="L957" t="str">
            <v>820541</v>
          </cell>
          <cell r="M957" t="str">
            <v/>
          </cell>
          <cell r="N957" t="str">
            <v/>
          </cell>
          <cell r="O957" t="str">
            <v/>
          </cell>
          <cell r="P957" t="str">
            <v/>
          </cell>
          <cell r="Q957" t="str">
            <v/>
          </cell>
          <cell r="R957" t="str">
            <v/>
          </cell>
          <cell r="S957" t="str">
            <v/>
          </cell>
          <cell r="T957" t="str">
            <v/>
          </cell>
          <cell r="U957" t="str">
            <v/>
          </cell>
          <cell r="V957" t="str">
            <v>N52</v>
          </cell>
          <cell r="W957" t="str">
            <v/>
          </cell>
          <cell r="X957" t="str">
            <v/>
          </cell>
          <cell r="Y957" t="str">
            <v/>
          </cell>
          <cell r="Z957" t="str">
            <v/>
          </cell>
          <cell r="AA957" t="str">
            <v/>
          </cell>
          <cell r="AB957" t="str">
            <v>PA_2189171-NA.3034-4</v>
          </cell>
          <cell r="AC957">
            <v>1</v>
          </cell>
          <cell r="AD957" t="str">
            <v/>
          </cell>
          <cell r="AE957">
            <v>0</v>
          </cell>
          <cell r="AF957" t="str">
            <v/>
          </cell>
          <cell r="AG957" t="str">
            <v>0628462</v>
          </cell>
          <cell r="AH957">
            <v>44916.998171296298</v>
          </cell>
          <cell r="AI957" t="str">
            <v>N52</v>
          </cell>
          <cell r="AJ957" t="str">
            <v>F</v>
          </cell>
          <cell r="AK957" t="str">
            <v/>
          </cell>
        </row>
        <row r="958">
          <cell r="A958" t="str">
            <v>1064045820531</v>
          </cell>
          <cell r="B958" t="str">
            <v>BL20230413-2</v>
          </cell>
          <cell r="C958" t="e">
            <v>#N/A</v>
          </cell>
          <cell r="D958" t="str">
            <v>EK65</v>
          </cell>
          <cell r="E958" t="str">
            <v>690901</v>
          </cell>
          <cell r="F958" t="str">
            <v>E</v>
          </cell>
          <cell r="G958" t="str">
            <v>1064045</v>
          </cell>
          <cell r="H958" t="str">
            <v>Steg vollst.</v>
          </cell>
          <cell r="I958">
            <v>2</v>
          </cell>
          <cell r="J958" t="str">
            <v>Stk</v>
          </cell>
          <cell r="K958">
            <v>45237</v>
          </cell>
          <cell r="L958" t="str">
            <v>820531</v>
          </cell>
          <cell r="M958" t="str">
            <v/>
          </cell>
          <cell r="N958" t="str">
            <v/>
          </cell>
          <cell r="O958" t="str">
            <v/>
          </cell>
          <cell r="P958" t="str">
            <v/>
          </cell>
          <cell r="Q958" t="str">
            <v/>
          </cell>
          <cell r="R958" t="str">
            <v/>
          </cell>
          <cell r="S958" t="str">
            <v/>
          </cell>
          <cell r="T958" t="str">
            <v/>
          </cell>
          <cell r="U958" t="str">
            <v/>
          </cell>
          <cell r="V958" t="str">
            <v>N52</v>
          </cell>
          <cell r="W958" t="str">
            <v/>
          </cell>
          <cell r="X958" t="str">
            <v/>
          </cell>
          <cell r="Y958" t="str">
            <v/>
          </cell>
          <cell r="Z958" t="str">
            <v/>
          </cell>
          <cell r="AA958" t="str">
            <v/>
          </cell>
          <cell r="AB958" t="str">
            <v>PA_2262611-CD.3044-4</v>
          </cell>
          <cell r="AC958">
            <v>1</v>
          </cell>
          <cell r="AD958" t="str">
            <v/>
          </cell>
          <cell r="AE958">
            <v>0</v>
          </cell>
          <cell r="AF958" t="str">
            <v/>
          </cell>
          <cell r="AG958" t="str">
            <v>1064045</v>
          </cell>
          <cell r="AH958">
            <v>44916.999618055554</v>
          </cell>
          <cell r="AI958" t="str">
            <v>N52</v>
          </cell>
          <cell r="AJ958" t="str">
            <v>F</v>
          </cell>
          <cell r="AK958" t="str">
            <v>A</v>
          </cell>
        </row>
        <row r="959">
          <cell r="A959" t="str">
            <v>1105760820531</v>
          </cell>
          <cell r="B959" t="str">
            <v>BL20230413-2</v>
          </cell>
          <cell r="C959" t="e">
            <v>#N/A</v>
          </cell>
          <cell r="D959" t="str">
            <v>EK65</v>
          </cell>
          <cell r="E959" t="str">
            <v>690917</v>
          </cell>
          <cell r="F959" t="str">
            <v>E</v>
          </cell>
          <cell r="G959" t="str">
            <v>1105760</v>
          </cell>
          <cell r="H959" t="str">
            <v>Abschlussprofil w.g.</v>
          </cell>
          <cell r="I959">
            <v>1</v>
          </cell>
          <cell r="J959" t="str">
            <v>Stk</v>
          </cell>
          <cell r="K959">
            <v>45216</v>
          </cell>
          <cell r="L959" t="str">
            <v>820531</v>
          </cell>
          <cell r="M959" t="str">
            <v/>
          </cell>
          <cell r="N959" t="str">
            <v/>
          </cell>
          <cell r="O959" t="str">
            <v/>
          </cell>
          <cell r="P959" t="str">
            <v/>
          </cell>
          <cell r="Q959" t="str">
            <v/>
          </cell>
          <cell r="R959" t="str">
            <v/>
          </cell>
          <cell r="S959" t="str">
            <v/>
          </cell>
          <cell r="T959" t="str">
            <v/>
          </cell>
          <cell r="U959" t="str">
            <v/>
          </cell>
          <cell r="V959" t="str">
            <v>N52</v>
          </cell>
          <cell r="W959" t="str">
            <v/>
          </cell>
          <cell r="X959" t="str">
            <v/>
          </cell>
          <cell r="Y959" t="str">
            <v/>
          </cell>
          <cell r="Z959" t="str">
            <v/>
          </cell>
          <cell r="AA959" t="str">
            <v/>
          </cell>
          <cell r="AB959" t="str">
            <v>PR_2143186-CC.3034-3P.1</v>
          </cell>
          <cell r="AC959">
            <v>1</v>
          </cell>
          <cell r="AD959" t="str">
            <v/>
          </cell>
          <cell r="AE959">
            <v>0</v>
          </cell>
          <cell r="AF959" t="str">
            <v/>
          </cell>
          <cell r="AG959" t="str">
            <v>1105760</v>
          </cell>
          <cell r="AH959">
            <v>44916.999965277777</v>
          </cell>
          <cell r="AI959" t="str">
            <v>N52</v>
          </cell>
          <cell r="AJ959" t="str">
            <v>F</v>
          </cell>
          <cell r="AK959" t="str">
            <v/>
          </cell>
        </row>
        <row r="960">
          <cell r="A960" t="str">
            <v>1231843820531</v>
          </cell>
          <cell r="B960" t="str">
            <v>BL20230413-2</v>
          </cell>
          <cell r="C960" t="e">
            <v>#N/A</v>
          </cell>
          <cell r="D960" t="str">
            <v>EK65</v>
          </cell>
          <cell r="E960" t="str">
            <v>690948</v>
          </cell>
          <cell r="F960" t="str">
            <v>E</v>
          </cell>
          <cell r="G960" t="str">
            <v>1231843</v>
          </cell>
          <cell r="H960" t="str">
            <v>Dichtecke w.g.</v>
          </cell>
          <cell r="I960">
            <v>17</v>
          </cell>
          <cell r="J960" t="str">
            <v>Stk</v>
          </cell>
          <cell r="K960">
            <v>45135</v>
          </cell>
          <cell r="L960" t="str">
            <v>820531</v>
          </cell>
          <cell r="M960" t="str">
            <v/>
          </cell>
          <cell r="N960" t="str">
            <v/>
          </cell>
          <cell r="O960" t="str">
            <v/>
          </cell>
          <cell r="P960" t="str">
            <v/>
          </cell>
          <cell r="Q960" t="str">
            <v/>
          </cell>
          <cell r="R960" t="str">
            <v/>
          </cell>
          <cell r="S960" t="str">
            <v/>
          </cell>
          <cell r="T960" t="str">
            <v/>
          </cell>
          <cell r="U960" t="str">
            <v/>
          </cell>
          <cell r="V960" t="str">
            <v>N52</v>
          </cell>
          <cell r="W960" t="str">
            <v/>
          </cell>
          <cell r="X960" t="str">
            <v/>
          </cell>
          <cell r="Y960" t="str">
            <v/>
          </cell>
          <cell r="Z960" t="str">
            <v/>
          </cell>
          <cell r="AA960" t="str">
            <v/>
          </cell>
          <cell r="AB960" t="str">
            <v>PA_2312925-CA.3046-3P.1</v>
          </cell>
          <cell r="AC960">
            <v>1</v>
          </cell>
          <cell r="AD960" t="str">
            <v/>
          </cell>
          <cell r="AE960">
            <v>0</v>
          </cell>
          <cell r="AF960" t="str">
            <v/>
          </cell>
          <cell r="AG960" t="str">
            <v>1231843</v>
          </cell>
          <cell r="AH960">
            <v>44917.001435185186</v>
          </cell>
          <cell r="AI960" t="str">
            <v>N52</v>
          </cell>
          <cell r="AJ960" t="str">
            <v>F</v>
          </cell>
          <cell r="AK960" t="str">
            <v/>
          </cell>
        </row>
        <row r="961">
          <cell r="A961" t="str">
            <v>1231854820531</v>
          </cell>
          <cell r="B961" t="str">
            <v>BL20230413-2</v>
          </cell>
          <cell r="C961" t="e">
            <v>#N/A</v>
          </cell>
          <cell r="D961" t="str">
            <v>EK65</v>
          </cell>
          <cell r="E961" t="str">
            <v>690949</v>
          </cell>
          <cell r="F961" t="str">
            <v>E</v>
          </cell>
          <cell r="G961" t="str">
            <v>1231854</v>
          </cell>
          <cell r="H961" t="str">
            <v>Dichtecke sp.g.</v>
          </cell>
          <cell r="I961">
            <v>16</v>
          </cell>
          <cell r="J961" t="str">
            <v>Stk</v>
          </cell>
          <cell r="K961">
            <v>45143</v>
          </cell>
          <cell r="L961" t="str">
            <v>820531</v>
          </cell>
          <cell r="M961" t="str">
            <v/>
          </cell>
          <cell r="N961" t="str">
            <v/>
          </cell>
          <cell r="O961" t="str">
            <v/>
          </cell>
          <cell r="P961" t="str">
            <v/>
          </cell>
          <cell r="Q961" t="str">
            <v/>
          </cell>
          <cell r="R961" t="str">
            <v/>
          </cell>
          <cell r="S961" t="str">
            <v/>
          </cell>
          <cell r="T961" t="str">
            <v/>
          </cell>
          <cell r="U961" t="str">
            <v/>
          </cell>
          <cell r="V961" t="str">
            <v>N52</v>
          </cell>
          <cell r="W961" t="str">
            <v/>
          </cell>
          <cell r="X961" t="str">
            <v/>
          </cell>
          <cell r="Y961" t="str">
            <v/>
          </cell>
          <cell r="Z961" t="str">
            <v/>
          </cell>
          <cell r="AA961" t="str">
            <v/>
          </cell>
          <cell r="AB961" t="str">
            <v>PA_2312925-CA.3046-3P.2</v>
          </cell>
          <cell r="AC961">
            <v>1</v>
          </cell>
          <cell r="AD961" t="str">
            <v/>
          </cell>
          <cell r="AE961">
            <v>0</v>
          </cell>
          <cell r="AF961" t="str">
            <v/>
          </cell>
          <cell r="AG961" t="str">
            <v>1231854</v>
          </cell>
          <cell r="AH961">
            <v>44917.001446759263</v>
          </cell>
          <cell r="AI961" t="str">
            <v>N52</v>
          </cell>
          <cell r="AJ961" t="str">
            <v>F</v>
          </cell>
          <cell r="AK961" t="str">
            <v/>
          </cell>
        </row>
        <row r="962">
          <cell r="A962" t="str">
            <v>1234795820531</v>
          </cell>
          <cell r="B962" t="str">
            <v>BL20230413-2</v>
          </cell>
          <cell r="C962" t="e">
            <v>#N/A</v>
          </cell>
          <cell r="D962" t="str">
            <v>EK65</v>
          </cell>
          <cell r="E962" t="str">
            <v>690958</v>
          </cell>
          <cell r="F962" t="str">
            <v>E</v>
          </cell>
          <cell r="G962" t="str">
            <v>1234795</v>
          </cell>
          <cell r="H962" t="str">
            <v>Dehnhuelse d40/d13/L30</v>
          </cell>
          <cell r="I962">
            <v>5</v>
          </cell>
          <cell r="J962" t="str">
            <v>Stk</v>
          </cell>
          <cell r="K962">
            <v>45217</v>
          </cell>
          <cell r="L962" t="str">
            <v>820531</v>
          </cell>
          <cell r="M962" t="str">
            <v/>
          </cell>
          <cell r="N962" t="str">
            <v/>
          </cell>
          <cell r="O962" t="str">
            <v/>
          </cell>
          <cell r="P962" t="str">
            <v/>
          </cell>
          <cell r="Q962" t="str">
            <v/>
          </cell>
          <cell r="R962" t="str">
            <v/>
          </cell>
          <cell r="S962" t="str">
            <v/>
          </cell>
          <cell r="T962" t="str">
            <v/>
          </cell>
          <cell r="U962" t="str">
            <v/>
          </cell>
          <cell r="V962" t="str">
            <v>N52</v>
          </cell>
          <cell r="W962" t="str">
            <v/>
          </cell>
          <cell r="X962" t="str">
            <v/>
          </cell>
          <cell r="Y962" t="str">
            <v/>
          </cell>
          <cell r="Z962" t="str">
            <v/>
          </cell>
          <cell r="AA962" t="str">
            <v/>
          </cell>
          <cell r="AB962" t="str">
            <v>PA_2318564-HE.3046-4</v>
          </cell>
          <cell r="AC962">
            <v>1</v>
          </cell>
          <cell r="AD962" t="str">
            <v/>
          </cell>
          <cell r="AE962">
            <v>0</v>
          </cell>
          <cell r="AF962" t="str">
            <v/>
          </cell>
          <cell r="AG962" t="str">
            <v>1234795</v>
          </cell>
          <cell r="AH962">
            <v>44917.001909722225</v>
          </cell>
          <cell r="AI962" t="str">
            <v>N52</v>
          </cell>
          <cell r="AJ962" t="str">
            <v>F</v>
          </cell>
          <cell r="AK962" t="str">
            <v/>
          </cell>
        </row>
        <row r="963">
          <cell r="A963" t="str">
            <v>1241606820531</v>
          </cell>
          <cell r="B963" t="str">
            <v>BL20230413-2</v>
          </cell>
          <cell r="C963" t="e">
            <v>#N/A</v>
          </cell>
          <cell r="D963" t="str">
            <v>EK65</v>
          </cell>
          <cell r="E963" t="str">
            <v>690974</v>
          </cell>
          <cell r="F963" t="str">
            <v>E</v>
          </cell>
          <cell r="G963" t="str">
            <v>1241606</v>
          </cell>
          <cell r="H963" t="str">
            <v>Klemmbuchse ID8,5 AD30 H20</v>
          </cell>
          <cell r="I963">
            <v>32</v>
          </cell>
          <cell r="J963" t="str">
            <v>Stk</v>
          </cell>
          <cell r="K963">
            <v>45217</v>
          </cell>
          <cell r="L963" t="str">
            <v>820531</v>
          </cell>
          <cell r="M963" t="str">
            <v/>
          </cell>
          <cell r="N963" t="str">
            <v/>
          </cell>
          <cell r="O963" t="str">
            <v/>
          </cell>
          <cell r="P963" t="str">
            <v/>
          </cell>
          <cell r="Q963" t="str">
            <v/>
          </cell>
          <cell r="R963" t="str">
            <v/>
          </cell>
          <cell r="S963" t="str">
            <v/>
          </cell>
          <cell r="T963" t="str">
            <v/>
          </cell>
          <cell r="U963" t="str">
            <v/>
          </cell>
          <cell r="V963" t="str">
            <v>N52</v>
          </cell>
          <cell r="W963" t="str">
            <v/>
          </cell>
          <cell r="X963" t="str">
            <v/>
          </cell>
          <cell r="Y963" t="str">
            <v/>
          </cell>
          <cell r="Z963" t="str">
            <v/>
          </cell>
          <cell r="AA963" t="str">
            <v/>
          </cell>
          <cell r="AB963" t="str">
            <v>PA_2332967-UA.3046-4</v>
          </cell>
          <cell r="AC963">
            <v>1</v>
          </cell>
          <cell r="AD963" t="str">
            <v/>
          </cell>
          <cell r="AE963">
            <v>0</v>
          </cell>
          <cell r="AF963" t="str">
            <v/>
          </cell>
          <cell r="AG963" t="str">
            <v>1241606</v>
          </cell>
          <cell r="AH963">
            <v>44917.002488425926</v>
          </cell>
          <cell r="AI963" t="str">
            <v>N52</v>
          </cell>
          <cell r="AJ963" t="str">
            <v>F</v>
          </cell>
          <cell r="AK963" t="str">
            <v/>
          </cell>
        </row>
        <row r="964">
          <cell r="A964" t="str">
            <v>1242234820531</v>
          </cell>
          <cell r="B964" t="str">
            <v>BL20230413-2</v>
          </cell>
          <cell r="C964" t="e">
            <v>#N/A</v>
          </cell>
          <cell r="D964" t="str">
            <v>EK65</v>
          </cell>
          <cell r="E964" t="str">
            <v>690980</v>
          </cell>
          <cell r="F964" t="str">
            <v>E</v>
          </cell>
          <cell r="G964" t="str">
            <v>1242234</v>
          </cell>
          <cell r="H964" t="str">
            <v>Dehnhuelse</v>
          </cell>
          <cell r="I964">
            <v>26</v>
          </cell>
          <cell r="J964" t="str">
            <v>Stk</v>
          </cell>
          <cell r="K964">
            <v>45205</v>
          </cell>
          <cell r="L964" t="str">
            <v>820531</v>
          </cell>
          <cell r="M964" t="str">
            <v/>
          </cell>
          <cell r="N964" t="str">
            <v/>
          </cell>
          <cell r="O964" t="str">
            <v/>
          </cell>
          <cell r="P964" t="str">
            <v/>
          </cell>
          <cell r="Q964" t="str">
            <v/>
          </cell>
          <cell r="R964" t="str">
            <v/>
          </cell>
          <cell r="S964" t="str">
            <v/>
          </cell>
          <cell r="T964" t="str">
            <v/>
          </cell>
          <cell r="U964" t="str">
            <v/>
          </cell>
          <cell r="V964" t="str">
            <v>N52</v>
          </cell>
          <cell r="W964" t="str">
            <v/>
          </cell>
          <cell r="X964" t="str">
            <v/>
          </cell>
          <cell r="Y964" t="str">
            <v/>
          </cell>
          <cell r="Z964" t="str">
            <v/>
          </cell>
          <cell r="AA964" t="str">
            <v/>
          </cell>
          <cell r="AB964" t="str">
            <v>PA_2321544-QE.3046-4</v>
          </cell>
          <cell r="AC964">
            <v>1</v>
          </cell>
          <cell r="AD964" t="str">
            <v/>
          </cell>
          <cell r="AE964">
            <v>0</v>
          </cell>
          <cell r="AF964" t="str">
            <v/>
          </cell>
          <cell r="AG964" t="str">
            <v>1242234</v>
          </cell>
          <cell r="AH964">
            <v>44917.002557870372</v>
          </cell>
          <cell r="AI964" t="str">
            <v>N52</v>
          </cell>
          <cell r="AJ964" t="str">
            <v>F</v>
          </cell>
          <cell r="AK964" t="str">
            <v/>
          </cell>
        </row>
        <row r="965">
          <cell r="A965" t="str">
            <v>1244003820531</v>
          </cell>
          <cell r="B965" t="str">
            <v>BL20230413-2</v>
          </cell>
          <cell r="C965" t="e">
            <v>#N/A</v>
          </cell>
          <cell r="D965" t="str">
            <v>EK65</v>
          </cell>
          <cell r="E965" t="str">
            <v>690990</v>
          </cell>
          <cell r="F965" t="str">
            <v>E</v>
          </cell>
          <cell r="G965" t="str">
            <v>1244003</v>
          </cell>
          <cell r="H965" t="str">
            <v>Kabelhalter w.g.</v>
          </cell>
          <cell r="I965">
            <v>1</v>
          </cell>
          <cell r="J965" t="str">
            <v>Stk</v>
          </cell>
          <cell r="K965">
            <v>45210</v>
          </cell>
          <cell r="L965" t="str">
            <v>820531</v>
          </cell>
          <cell r="M965" t="str">
            <v/>
          </cell>
          <cell r="N965" t="str">
            <v/>
          </cell>
          <cell r="O965" t="str">
            <v/>
          </cell>
          <cell r="P965" t="str">
            <v/>
          </cell>
          <cell r="Q965" t="str">
            <v/>
          </cell>
          <cell r="R965" t="str">
            <v/>
          </cell>
          <cell r="S965" t="str">
            <v/>
          </cell>
          <cell r="T965" t="str">
            <v/>
          </cell>
          <cell r="U965" t="str">
            <v/>
          </cell>
          <cell r="V965" t="str">
            <v>N52</v>
          </cell>
          <cell r="W965" t="str">
            <v/>
          </cell>
          <cell r="X965" t="str">
            <v/>
          </cell>
          <cell r="Y965" t="str">
            <v/>
          </cell>
          <cell r="Z965" t="str">
            <v/>
          </cell>
          <cell r="AA965" t="str">
            <v/>
          </cell>
          <cell r="AB965" t="str">
            <v>PA_2312872-UA.3046-2P.1</v>
          </cell>
          <cell r="AC965">
            <v>1</v>
          </cell>
          <cell r="AD965" t="str">
            <v/>
          </cell>
          <cell r="AE965">
            <v>0</v>
          </cell>
          <cell r="AF965" t="str">
            <v/>
          </cell>
          <cell r="AG965" t="str">
            <v>1244003</v>
          </cell>
          <cell r="AH965">
            <v>44917.00273148148</v>
          </cell>
          <cell r="AI965" t="str">
            <v>N52</v>
          </cell>
          <cell r="AJ965" t="str">
            <v>F</v>
          </cell>
          <cell r="AK965" t="str">
            <v/>
          </cell>
        </row>
        <row r="966">
          <cell r="A966" t="str">
            <v>1246021820531</v>
          </cell>
          <cell r="B966" t="str">
            <v>BL20230413-2</v>
          </cell>
          <cell r="C966" t="e">
            <v>#N/A</v>
          </cell>
          <cell r="D966" t="str">
            <v>EK65</v>
          </cell>
          <cell r="E966" t="str">
            <v>691015</v>
          </cell>
          <cell r="F966" t="str">
            <v>E</v>
          </cell>
          <cell r="G966" t="str">
            <v>1246021</v>
          </cell>
          <cell r="H966" t="str">
            <v>Konsole Kabelverlegung MR</v>
          </cell>
          <cell r="I966">
            <v>1</v>
          </cell>
          <cell r="J966" t="str">
            <v>Stk</v>
          </cell>
          <cell r="K966">
            <v>45223</v>
          </cell>
          <cell r="L966" t="str">
            <v>820531</v>
          </cell>
          <cell r="M966" t="str">
            <v/>
          </cell>
          <cell r="N966" t="str">
            <v/>
          </cell>
          <cell r="O966" t="str">
            <v/>
          </cell>
          <cell r="P966" t="str">
            <v/>
          </cell>
          <cell r="Q966" t="str">
            <v/>
          </cell>
          <cell r="R966" t="str">
            <v/>
          </cell>
          <cell r="S966" t="str">
            <v/>
          </cell>
          <cell r="T966" t="str">
            <v/>
          </cell>
          <cell r="U966" t="str">
            <v/>
          </cell>
          <cell r="V966" t="str">
            <v>N52</v>
          </cell>
          <cell r="W966" t="str">
            <v/>
          </cell>
          <cell r="X966" t="str">
            <v/>
          </cell>
          <cell r="Y966" t="str">
            <v/>
          </cell>
          <cell r="Z966" t="str">
            <v/>
          </cell>
          <cell r="AA966" t="str">
            <v/>
          </cell>
          <cell r="AB966" t="str">
            <v>PA_2314559-TA.3046-2</v>
          </cell>
          <cell r="AC966">
            <v>1</v>
          </cell>
          <cell r="AD966" t="str">
            <v/>
          </cell>
          <cell r="AE966">
            <v>0</v>
          </cell>
          <cell r="AF966" t="str">
            <v/>
          </cell>
          <cell r="AG966" t="str">
            <v>1246021</v>
          </cell>
          <cell r="AH966">
            <v>44917.00371527778</v>
          </cell>
          <cell r="AI966" t="str">
            <v>N52</v>
          </cell>
          <cell r="AJ966" t="str">
            <v>F</v>
          </cell>
          <cell r="AK966" t="str">
            <v/>
          </cell>
        </row>
        <row r="967">
          <cell r="A967" t="str">
            <v>12506431829053</v>
          </cell>
          <cell r="B967">
            <v>0</v>
          </cell>
          <cell r="C967" t="e">
            <v>#N/A</v>
          </cell>
          <cell r="D967" t="str">
            <v>EK65</v>
          </cell>
          <cell r="E967" t="str">
            <v>691032</v>
          </cell>
          <cell r="F967" t="str">
            <v>E</v>
          </cell>
          <cell r="G967" t="str">
            <v>12506431</v>
          </cell>
          <cell r="H967" t="str">
            <v>Halter, vollst.</v>
          </cell>
          <cell r="I967">
            <v>409</v>
          </cell>
          <cell r="J967" t="str">
            <v>Stk</v>
          </cell>
          <cell r="K967">
            <v>45212</v>
          </cell>
          <cell r="L967" t="str">
            <v>829053</v>
          </cell>
          <cell r="M967" t="str">
            <v/>
          </cell>
          <cell r="N967" t="str">
            <v/>
          </cell>
          <cell r="O967" t="str">
            <v/>
          </cell>
          <cell r="P967" t="str">
            <v/>
          </cell>
          <cell r="Q967" t="str">
            <v/>
          </cell>
          <cell r="R967" t="str">
            <v/>
          </cell>
          <cell r="S967" t="str">
            <v/>
          </cell>
          <cell r="T967" t="str">
            <v/>
          </cell>
          <cell r="U967" t="str">
            <v/>
          </cell>
          <cell r="V967" t="str">
            <v>N32</v>
          </cell>
          <cell r="W967" t="str">
            <v/>
          </cell>
          <cell r="X967" t="str">
            <v/>
          </cell>
          <cell r="Y967" t="str">
            <v>CL2</v>
          </cell>
          <cell r="Z967" t="str">
            <v/>
          </cell>
          <cell r="AA967" t="str">
            <v/>
          </cell>
          <cell r="AB967" t="str">
            <v>PA_4452426-DB.7005-3</v>
          </cell>
          <cell r="AC967">
            <v>1</v>
          </cell>
          <cell r="AD967" t="str">
            <v/>
          </cell>
          <cell r="AE967">
            <v>0</v>
          </cell>
          <cell r="AF967" t="str">
            <v/>
          </cell>
          <cell r="AG967" t="str">
            <v>12506431</v>
          </cell>
          <cell r="AH967">
            <v>44917.013182870367</v>
          </cell>
          <cell r="AI967" t="str">
            <v>N32</v>
          </cell>
          <cell r="AJ967" t="str">
            <v>F</v>
          </cell>
          <cell r="AK967" t="str">
            <v/>
          </cell>
        </row>
        <row r="968">
          <cell r="A968" t="str">
            <v>12506431829054</v>
          </cell>
          <cell r="B968" t="str">
            <v>BL20230413-2</v>
          </cell>
          <cell r="C968" t="e">
            <v>#N/A</v>
          </cell>
          <cell r="D968" t="str">
            <v>EK65</v>
          </cell>
          <cell r="E968" t="str">
            <v>691033</v>
          </cell>
          <cell r="F968" t="str">
            <v>E</v>
          </cell>
          <cell r="G968" t="str">
            <v>12506431</v>
          </cell>
          <cell r="H968" t="str">
            <v>Halter, vollst.</v>
          </cell>
          <cell r="I968">
            <v>122</v>
          </cell>
          <cell r="J968" t="str">
            <v>Stk</v>
          </cell>
          <cell r="K968">
            <v>45244</v>
          </cell>
          <cell r="L968" t="str">
            <v>829054</v>
          </cell>
          <cell r="M968" t="str">
            <v/>
          </cell>
          <cell r="N968" t="str">
            <v/>
          </cell>
          <cell r="O968" t="str">
            <v/>
          </cell>
          <cell r="P968" t="str">
            <v/>
          </cell>
          <cell r="Q968" t="str">
            <v/>
          </cell>
          <cell r="R968" t="str">
            <v/>
          </cell>
          <cell r="S968" t="str">
            <v/>
          </cell>
          <cell r="T968" t="str">
            <v/>
          </cell>
          <cell r="U968" t="str">
            <v/>
          </cell>
          <cell r="V968" t="str">
            <v>N32</v>
          </cell>
          <cell r="W968" t="str">
            <v/>
          </cell>
          <cell r="X968" t="str">
            <v/>
          </cell>
          <cell r="Y968" t="str">
            <v>CL2</v>
          </cell>
          <cell r="Z968" t="str">
            <v/>
          </cell>
          <cell r="AA968" t="str">
            <v/>
          </cell>
          <cell r="AB968" t="str">
            <v>PA_4452426-DB.7005-3</v>
          </cell>
          <cell r="AC968">
            <v>1</v>
          </cell>
          <cell r="AD968" t="str">
            <v/>
          </cell>
          <cell r="AE968">
            <v>0</v>
          </cell>
          <cell r="AF968" t="str">
            <v/>
          </cell>
          <cell r="AG968" t="str">
            <v>12506431</v>
          </cell>
          <cell r="AH968">
            <v>44917.013194444444</v>
          </cell>
          <cell r="AI968" t="str">
            <v>N32</v>
          </cell>
          <cell r="AJ968" t="str">
            <v>F</v>
          </cell>
          <cell r="AK968" t="str">
            <v/>
          </cell>
        </row>
        <row r="969">
          <cell r="A969" t="str">
            <v>12506431829051</v>
          </cell>
          <cell r="B969" t="str">
            <v>BL20230413-2</v>
          </cell>
          <cell r="C969" t="e">
            <v>#N/A</v>
          </cell>
          <cell r="D969" t="str">
            <v>EK65</v>
          </cell>
          <cell r="E969" t="str">
            <v>691034</v>
          </cell>
          <cell r="F969" t="str">
            <v>E</v>
          </cell>
          <cell r="G969" t="str">
            <v>12506431</v>
          </cell>
          <cell r="H969" t="str">
            <v>Halter, vollst.</v>
          </cell>
          <cell r="I969">
            <v>1065</v>
          </cell>
          <cell r="J969" t="str">
            <v>Stk</v>
          </cell>
          <cell r="K969">
            <v>45339</v>
          </cell>
          <cell r="L969" t="str">
            <v>829051</v>
          </cell>
          <cell r="M969" t="str">
            <v/>
          </cell>
          <cell r="N969" t="str">
            <v/>
          </cell>
          <cell r="O969" t="str">
            <v/>
          </cell>
          <cell r="P969" t="str">
            <v/>
          </cell>
          <cell r="Q969" t="str">
            <v/>
          </cell>
          <cell r="R969" t="str">
            <v/>
          </cell>
          <cell r="S969" t="str">
            <v/>
          </cell>
          <cell r="T969" t="str">
            <v/>
          </cell>
          <cell r="U969" t="str">
            <v/>
          </cell>
          <cell r="V969" t="str">
            <v>N32</v>
          </cell>
          <cell r="W969" t="str">
            <v/>
          </cell>
          <cell r="X969" t="str">
            <v/>
          </cell>
          <cell r="Y969" t="str">
            <v>CL2</v>
          </cell>
          <cell r="Z969" t="str">
            <v/>
          </cell>
          <cell r="AA969" t="str">
            <v/>
          </cell>
          <cell r="AB969" t="str">
            <v>PA_4452426-DB.7005-3</v>
          </cell>
          <cell r="AC969">
            <v>1</v>
          </cell>
          <cell r="AD969" t="str">
            <v/>
          </cell>
          <cell r="AE969">
            <v>0</v>
          </cell>
          <cell r="AF969" t="str">
            <v/>
          </cell>
          <cell r="AG969" t="str">
            <v>12506431</v>
          </cell>
          <cell r="AH969">
            <v>44917.013194444444</v>
          </cell>
          <cell r="AI969" t="str">
            <v>N32</v>
          </cell>
          <cell r="AJ969" t="str">
            <v>F</v>
          </cell>
          <cell r="AK969" t="str">
            <v/>
          </cell>
        </row>
        <row r="970">
          <cell r="A970" t="str">
            <v>12506431829052</v>
          </cell>
          <cell r="B970" t="str">
            <v>Übergabe Task Force</v>
          </cell>
          <cell r="C970" t="e">
            <v>#N/A</v>
          </cell>
          <cell r="D970" t="str">
            <v>EK65</v>
          </cell>
          <cell r="E970" t="str">
            <v>691035</v>
          </cell>
          <cell r="F970" t="str">
            <v>E</v>
          </cell>
          <cell r="G970" t="str">
            <v>12506431</v>
          </cell>
          <cell r="H970" t="str">
            <v>Halter, vollst.</v>
          </cell>
          <cell r="I970">
            <v>351</v>
          </cell>
          <cell r="J970" t="str">
            <v>Stk</v>
          </cell>
          <cell r="K970">
            <v>45372</v>
          </cell>
          <cell r="L970" t="str">
            <v>829052</v>
          </cell>
          <cell r="M970" t="str">
            <v/>
          </cell>
          <cell r="N970" t="str">
            <v/>
          </cell>
          <cell r="O970" t="str">
            <v/>
          </cell>
          <cell r="P970" t="str">
            <v/>
          </cell>
          <cell r="Q970" t="str">
            <v/>
          </cell>
          <cell r="R970" t="str">
            <v/>
          </cell>
          <cell r="S970" t="str">
            <v/>
          </cell>
          <cell r="T970" t="str">
            <v/>
          </cell>
          <cell r="U970" t="str">
            <v/>
          </cell>
          <cell r="V970" t="str">
            <v>N32</v>
          </cell>
          <cell r="W970" t="str">
            <v/>
          </cell>
          <cell r="X970" t="str">
            <v/>
          </cell>
          <cell r="Y970" t="str">
            <v>CL2</v>
          </cell>
          <cell r="Z970" t="str">
            <v/>
          </cell>
          <cell r="AA970" t="str">
            <v/>
          </cell>
          <cell r="AB970" t="str">
            <v>PA_4452426-DB.7005-3</v>
          </cell>
          <cell r="AC970">
            <v>1</v>
          </cell>
          <cell r="AD970" t="str">
            <v/>
          </cell>
          <cell r="AE970">
            <v>0</v>
          </cell>
          <cell r="AF970" t="str">
            <v/>
          </cell>
          <cell r="AG970" t="str">
            <v>12506431</v>
          </cell>
          <cell r="AH970">
            <v>44917.013194444444</v>
          </cell>
          <cell r="AI970" t="str">
            <v>N32</v>
          </cell>
          <cell r="AJ970" t="str">
            <v>F</v>
          </cell>
          <cell r="AK970" t="str">
            <v/>
          </cell>
        </row>
        <row r="971">
          <cell r="A971" t="str">
            <v>12632180829054</v>
          </cell>
          <cell r="B971" t="str">
            <v>BL20230413-2</v>
          </cell>
          <cell r="C971" t="e">
            <v>#N/A</v>
          </cell>
          <cell r="D971" t="str">
            <v>EK65</v>
          </cell>
          <cell r="E971" t="str">
            <v>691066</v>
          </cell>
          <cell r="F971" t="str">
            <v>E</v>
          </cell>
          <cell r="G971" t="str">
            <v>12632180</v>
          </cell>
          <cell r="H971" t="str">
            <v>Halter fuer Rohrschelle</v>
          </cell>
          <cell r="I971">
            <v>17</v>
          </cell>
          <cell r="J971" t="str">
            <v>Stk</v>
          </cell>
          <cell r="K971">
            <v>45206</v>
          </cell>
          <cell r="L971" t="str">
            <v>829054</v>
          </cell>
          <cell r="M971" t="str">
            <v/>
          </cell>
          <cell r="N971" t="str">
            <v/>
          </cell>
          <cell r="O971" t="str">
            <v/>
          </cell>
          <cell r="P971" t="str">
            <v/>
          </cell>
          <cell r="Q971" t="str">
            <v/>
          </cell>
          <cell r="R971" t="str">
            <v/>
          </cell>
          <cell r="S971" t="str">
            <v/>
          </cell>
          <cell r="T971" t="str">
            <v/>
          </cell>
          <cell r="U971" t="str">
            <v/>
          </cell>
          <cell r="V971" t="str">
            <v>N52</v>
          </cell>
          <cell r="W971" t="str">
            <v/>
          </cell>
          <cell r="X971" t="str">
            <v/>
          </cell>
          <cell r="Y971" t="str">
            <v/>
          </cell>
          <cell r="Z971" t="str">
            <v/>
          </cell>
          <cell r="AA971" t="str">
            <v/>
          </cell>
          <cell r="AB971" t="str">
            <v>PA_5084163-QE.7005-3</v>
          </cell>
          <cell r="AC971">
            <v>1</v>
          </cell>
          <cell r="AD971" t="str">
            <v/>
          </cell>
          <cell r="AE971">
            <v>0</v>
          </cell>
          <cell r="AF971" t="str">
            <v/>
          </cell>
          <cell r="AG971" t="str">
            <v>12632180</v>
          </cell>
          <cell r="AH971">
            <v>44917.034375000003</v>
          </cell>
          <cell r="AI971" t="str">
            <v>N52</v>
          </cell>
          <cell r="AJ971" t="str">
            <v>F</v>
          </cell>
          <cell r="AK971" t="str">
            <v/>
          </cell>
        </row>
        <row r="972">
          <cell r="A972" t="str">
            <v>1333454820531</v>
          </cell>
          <cell r="B972" t="str">
            <v>BL20230413-2</v>
          </cell>
          <cell r="C972" t="e">
            <v>#N/A</v>
          </cell>
          <cell r="D972" t="str">
            <v>EK65</v>
          </cell>
          <cell r="E972" t="str">
            <v>691080</v>
          </cell>
          <cell r="F972" t="str">
            <v>E</v>
          </cell>
          <cell r="G972" t="str">
            <v>1333454</v>
          </cell>
          <cell r="H972" t="str">
            <v>Scheibe 6 Außen-Durchm=36</v>
          </cell>
          <cell r="I972">
            <v>32</v>
          </cell>
          <cell r="J972" t="str">
            <v>Stk</v>
          </cell>
          <cell r="K972">
            <v>45187</v>
          </cell>
          <cell r="L972" t="str">
            <v>820531</v>
          </cell>
          <cell r="M972" t="str">
            <v/>
          </cell>
          <cell r="N972" t="str">
            <v/>
          </cell>
          <cell r="O972" t="str">
            <v/>
          </cell>
          <cell r="P972" t="str">
            <v/>
          </cell>
          <cell r="Q972" t="str">
            <v/>
          </cell>
          <cell r="R972" t="str">
            <v/>
          </cell>
          <cell r="S972" t="str">
            <v/>
          </cell>
          <cell r="T972" t="str">
            <v/>
          </cell>
          <cell r="U972" t="str">
            <v/>
          </cell>
          <cell r="V972" t="str">
            <v>N52</v>
          </cell>
          <cell r="W972" t="str">
            <v>2.1</v>
          </cell>
          <cell r="X972" t="str">
            <v/>
          </cell>
          <cell r="Y972" t="str">
            <v/>
          </cell>
          <cell r="Z972" t="str">
            <v/>
          </cell>
          <cell r="AA972" t="str">
            <v/>
          </cell>
          <cell r="AB972" t="str">
            <v>PA_2221196-DF.3042-4</v>
          </cell>
          <cell r="AC972">
            <v>1</v>
          </cell>
          <cell r="AD972" t="str">
            <v/>
          </cell>
          <cell r="AE972">
            <v>0</v>
          </cell>
          <cell r="AF972" t="str">
            <v/>
          </cell>
          <cell r="AG972" t="str">
            <v>1333454</v>
          </cell>
          <cell r="AH972">
            <v>44917.034953703704</v>
          </cell>
          <cell r="AI972" t="str">
            <v>N52</v>
          </cell>
          <cell r="AJ972" t="str">
            <v>F</v>
          </cell>
          <cell r="AK972" t="str">
            <v/>
          </cell>
        </row>
        <row r="973">
          <cell r="A973" t="str">
            <v>1394088820541</v>
          </cell>
          <cell r="B973" t="str">
            <v>BL20230413-2</v>
          </cell>
          <cell r="C973" t="e">
            <v>#N/A</v>
          </cell>
          <cell r="D973" t="str">
            <v>EK65</v>
          </cell>
          <cell r="E973" t="str">
            <v>691091</v>
          </cell>
          <cell r="F973" t="str">
            <v>E</v>
          </cell>
          <cell r="G973" t="str">
            <v>1394088</v>
          </cell>
          <cell r="H973" t="str">
            <v>Distanzbuchse</v>
          </cell>
          <cell r="I973">
            <v>176</v>
          </cell>
          <cell r="J973" t="str">
            <v>Stk</v>
          </cell>
          <cell r="K973">
            <v>45170</v>
          </cell>
          <cell r="L973" t="str">
            <v>820541</v>
          </cell>
          <cell r="M973" t="str">
            <v/>
          </cell>
          <cell r="N973" t="str">
            <v/>
          </cell>
          <cell r="O973" t="str">
            <v/>
          </cell>
          <cell r="P973" t="str">
            <v/>
          </cell>
          <cell r="Q973" t="str">
            <v/>
          </cell>
          <cell r="R973" t="str">
            <v/>
          </cell>
          <cell r="S973" t="str">
            <v/>
          </cell>
          <cell r="T973" t="str">
            <v/>
          </cell>
          <cell r="U973" t="str">
            <v/>
          </cell>
          <cell r="V973" t="str">
            <v>N52</v>
          </cell>
          <cell r="W973" t="str">
            <v/>
          </cell>
          <cell r="X973" t="str">
            <v/>
          </cell>
          <cell r="Y973" t="str">
            <v/>
          </cell>
          <cell r="Z973" t="str">
            <v/>
          </cell>
          <cell r="AA973" t="str">
            <v/>
          </cell>
          <cell r="AB973" t="str">
            <v>PA_2314467-TD.6005-4</v>
          </cell>
          <cell r="AC973">
            <v>1</v>
          </cell>
          <cell r="AD973" t="str">
            <v/>
          </cell>
          <cell r="AE973">
            <v>0</v>
          </cell>
          <cell r="AF973" t="str">
            <v/>
          </cell>
          <cell r="AG973" t="str">
            <v>1394088</v>
          </cell>
          <cell r="AH973">
            <v>44917.035393518519</v>
          </cell>
          <cell r="AI973" t="str">
            <v>N52</v>
          </cell>
          <cell r="AJ973" t="str">
            <v>F</v>
          </cell>
          <cell r="AK973" t="str">
            <v/>
          </cell>
        </row>
        <row r="974">
          <cell r="A974" t="str">
            <v>1621408820531</v>
          </cell>
          <cell r="B974" t="str">
            <v>BL20230413-2</v>
          </cell>
          <cell r="C974" t="e">
            <v>#N/A</v>
          </cell>
          <cell r="D974" t="str">
            <v>EK65</v>
          </cell>
          <cell r="E974" t="str">
            <v>691132</v>
          </cell>
          <cell r="F974" t="str">
            <v>E</v>
          </cell>
          <cell r="G974" t="str">
            <v>1621408</v>
          </cell>
          <cell r="H974" t="str">
            <v>Unterlage</v>
          </cell>
          <cell r="I974">
            <v>72</v>
          </cell>
          <cell r="J974" t="str">
            <v>Stk</v>
          </cell>
          <cell r="K974">
            <v>45216</v>
          </cell>
          <cell r="L974" t="str">
            <v>820531</v>
          </cell>
          <cell r="M974" t="str">
            <v/>
          </cell>
          <cell r="N974" t="str">
            <v/>
          </cell>
          <cell r="O974" t="str">
            <v/>
          </cell>
          <cell r="P974" t="str">
            <v/>
          </cell>
          <cell r="Q974" t="str">
            <v/>
          </cell>
          <cell r="R974" t="str">
            <v/>
          </cell>
          <cell r="S974" t="str">
            <v/>
          </cell>
          <cell r="T974" t="str">
            <v/>
          </cell>
          <cell r="U974" t="str">
            <v/>
          </cell>
          <cell r="V974" t="str">
            <v>N52</v>
          </cell>
          <cell r="W974" t="str">
            <v/>
          </cell>
          <cell r="X974" t="str">
            <v/>
          </cell>
          <cell r="Y974" t="str">
            <v/>
          </cell>
          <cell r="Z974" t="str">
            <v/>
          </cell>
          <cell r="AA974" t="str">
            <v/>
          </cell>
          <cell r="AB974" t="str">
            <v>PA_4613305-DA.3046-4</v>
          </cell>
          <cell r="AC974">
            <v>1</v>
          </cell>
          <cell r="AD974" t="str">
            <v/>
          </cell>
          <cell r="AE974">
            <v>0</v>
          </cell>
          <cell r="AF974" t="str">
            <v/>
          </cell>
          <cell r="AG974" t="str">
            <v>1621408</v>
          </cell>
          <cell r="AH974">
            <v>44917.036354166667</v>
          </cell>
          <cell r="AI974" t="str">
            <v>N52</v>
          </cell>
          <cell r="AJ974" t="str">
            <v>F</v>
          </cell>
          <cell r="AK974" t="str">
            <v/>
          </cell>
        </row>
        <row r="975">
          <cell r="A975" t="str">
            <v>1844492820531</v>
          </cell>
          <cell r="B975" t="str">
            <v>BL20230413-2</v>
          </cell>
          <cell r="C975" t="e">
            <v>#N/A</v>
          </cell>
          <cell r="D975" t="str">
            <v>EK65</v>
          </cell>
          <cell r="E975" t="str">
            <v>691207</v>
          </cell>
          <cell r="F975" t="str">
            <v>E</v>
          </cell>
          <cell r="G975" t="str">
            <v>1844492</v>
          </cell>
          <cell r="H975" t="str">
            <v>Dehnhuelse Di11 Da30 H30</v>
          </cell>
          <cell r="I975">
            <v>6</v>
          </cell>
          <cell r="J975" t="str">
            <v>Stk</v>
          </cell>
          <cell r="K975">
            <v>45222</v>
          </cell>
          <cell r="L975" t="str">
            <v>820531</v>
          </cell>
          <cell r="M975" t="str">
            <v/>
          </cell>
          <cell r="N975" t="str">
            <v/>
          </cell>
          <cell r="O975" t="str">
            <v/>
          </cell>
          <cell r="P975" t="str">
            <v/>
          </cell>
          <cell r="Q975" t="str">
            <v/>
          </cell>
          <cell r="R975" t="str">
            <v/>
          </cell>
          <cell r="S975" t="str">
            <v/>
          </cell>
          <cell r="T975" t="str">
            <v/>
          </cell>
          <cell r="U975" t="str">
            <v/>
          </cell>
          <cell r="V975" t="str">
            <v>N52</v>
          </cell>
          <cell r="W975" t="str">
            <v/>
          </cell>
          <cell r="X975" t="str">
            <v/>
          </cell>
          <cell r="Y975" t="str">
            <v/>
          </cell>
          <cell r="Z975" t="str">
            <v/>
          </cell>
          <cell r="AA975" t="str">
            <v/>
          </cell>
          <cell r="AB975" t="str">
            <v>PA_2300841-CF.3046-4</v>
          </cell>
          <cell r="AC975">
            <v>1</v>
          </cell>
          <cell r="AD975" t="str">
            <v/>
          </cell>
          <cell r="AE975">
            <v>0</v>
          </cell>
          <cell r="AF975" t="str">
            <v/>
          </cell>
          <cell r="AG975" t="str">
            <v>1844492</v>
          </cell>
          <cell r="AH975">
            <v>44917.038229166668</v>
          </cell>
          <cell r="AI975" t="str">
            <v>N52</v>
          </cell>
          <cell r="AJ975" t="str">
            <v>F</v>
          </cell>
          <cell r="AK975" t="str">
            <v/>
          </cell>
        </row>
        <row r="976">
          <cell r="A976" t="str">
            <v>1859421820531</v>
          </cell>
          <cell r="B976" t="str">
            <v>BL20230413-2</v>
          </cell>
          <cell r="C976" t="e">
            <v>#N/A</v>
          </cell>
          <cell r="D976" t="str">
            <v>EK65</v>
          </cell>
          <cell r="E976" t="str">
            <v>691281</v>
          </cell>
          <cell r="F976" t="str">
            <v>E</v>
          </cell>
          <cell r="G976" t="str">
            <v>1859421</v>
          </cell>
          <cell r="H976" t="str">
            <v>Kabelhalter</v>
          </cell>
          <cell r="I976">
            <v>2</v>
          </cell>
          <cell r="J976" t="str">
            <v>Stk</v>
          </cell>
          <cell r="K976">
            <v>45223</v>
          </cell>
          <cell r="L976" t="str">
            <v>820531</v>
          </cell>
          <cell r="M976" t="str">
            <v/>
          </cell>
          <cell r="N976" t="str">
            <v/>
          </cell>
          <cell r="O976" t="str">
            <v/>
          </cell>
          <cell r="P976" t="str">
            <v/>
          </cell>
          <cell r="Q976" t="str">
            <v/>
          </cell>
          <cell r="R976" t="str">
            <v/>
          </cell>
          <cell r="S976" t="str">
            <v/>
          </cell>
          <cell r="T976" t="str">
            <v/>
          </cell>
          <cell r="U976" t="str">
            <v/>
          </cell>
          <cell r="V976" t="str">
            <v>N52</v>
          </cell>
          <cell r="W976" t="str">
            <v/>
          </cell>
          <cell r="X976" t="str">
            <v/>
          </cell>
          <cell r="Y976" t="str">
            <v/>
          </cell>
          <cell r="Z976" t="str">
            <v/>
          </cell>
          <cell r="AA976" t="str">
            <v/>
          </cell>
          <cell r="AB976" t="str">
            <v>PA_2330124-UA.3046-3</v>
          </cell>
          <cell r="AC976">
            <v>1</v>
          </cell>
          <cell r="AD976" t="str">
            <v/>
          </cell>
          <cell r="AE976">
            <v>0</v>
          </cell>
          <cell r="AF976" t="str">
            <v/>
          </cell>
          <cell r="AG976" t="str">
            <v>1859421</v>
          </cell>
          <cell r="AH976">
            <v>44917.039259259262</v>
          </cell>
          <cell r="AI976" t="str">
            <v>N52</v>
          </cell>
          <cell r="AJ976" t="str">
            <v>F</v>
          </cell>
          <cell r="AK976" t="str">
            <v/>
          </cell>
        </row>
        <row r="977">
          <cell r="A977" t="str">
            <v>1860481820531</v>
          </cell>
          <cell r="B977" t="str">
            <v>BL20230413-2</v>
          </cell>
          <cell r="C977" t="e">
            <v>#N/A</v>
          </cell>
          <cell r="D977" t="str">
            <v>EK65</v>
          </cell>
          <cell r="E977" t="str">
            <v>691285</v>
          </cell>
          <cell r="F977" t="str">
            <v>E</v>
          </cell>
          <cell r="G977" t="str">
            <v>1860481</v>
          </cell>
          <cell r="H977" t="str">
            <v>Halter</v>
          </cell>
          <cell r="I977">
            <v>1</v>
          </cell>
          <cell r="J977" t="str">
            <v>Stk</v>
          </cell>
          <cell r="K977">
            <v>45210</v>
          </cell>
          <cell r="L977" t="str">
            <v>820531</v>
          </cell>
          <cell r="M977" t="str">
            <v/>
          </cell>
          <cell r="N977" t="str">
            <v/>
          </cell>
          <cell r="O977" t="str">
            <v/>
          </cell>
          <cell r="P977" t="str">
            <v/>
          </cell>
          <cell r="Q977" t="str">
            <v/>
          </cell>
          <cell r="R977" t="str">
            <v/>
          </cell>
          <cell r="S977" t="str">
            <v/>
          </cell>
          <cell r="T977" t="str">
            <v/>
          </cell>
          <cell r="U977" t="str">
            <v/>
          </cell>
          <cell r="V977" t="str">
            <v>N52</v>
          </cell>
          <cell r="W977" t="str">
            <v>3.1</v>
          </cell>
          <cell r="X977" t="str">
            <v/>
          </cell>
          <cell r="Y977" t="str">
            <v/>
          </cell>
          <cell r="Z977" t="str">
            <v/>
          </cell>
          <cell r="AA977" t="str">
            <v/>
          </cell>
          <cell r="AB977" t="str">
            <v>PA_2344792-UA.3046-3</v>
          </cell>
          <cell r="AC977">
            <v>1</v>
          </cell>
          <cell r="AD977" t="str">
            <v/>
          </cell>
          <cell r="AE977">
            <v>0</v>
          </cell>
          <cell r="AF977" t="str">
            <v/>
          </cell>
          <cell r="AG977" t="str">
            <v>1860481</v>
          </cell>
          <cell r="AH977">
            <v>44917.039317129631</v>
          </cell>
          <cell r="AI977" t="str">
            <v>N52</v>
          </cell>
          <cell r="AJ977" t="str">
            <v>F</v>
          </cell>
          <cell r="AK977" t="str">
            <v/>
          </cell>
        </row>
        <row r="978">
          <cell r="A978" t="str">
            <v>1916237820531</v>
          </cell>
          <cell r="B978" t="str">
            <v>BL20230413-2</v>
          </cell>
          <cell r="C978" t="e">
            <v>#N/A</v>
          </cell>
          <cell r="D978" t="str">
            <v>EK65</v>
          </cell>
          <cell r="E978" t="str">
            <v>691290</v>
          </cell>
          <cell r="F978" t="str">
            <v>E</v>
          </cell>
          <cell r="G978" t="str">
            <v>1916237</v>
          </cell>
          <cell r="H978" t="str">
            <v>Blech</v>
          </cell>
          <cell r="I978">
            <v>10</v>
          </cell>
          <cell r="J978" t="str">
            <v>Stk</v>
          </cell>
          <cell r="K978">
            <v>45210</v>
          </cell>
          <cell r="L978" t="str">
            <v>820531</v>
          </cell>
          <cell r="M978" t="str">
            <v/>
          </cell>
          <cell r="N978" t="str">
            <v/>
          </cell>
          <cell r="O978" t="str">
            <v/>
          </cell>
          <cell r="P978" t="str">
            <v/>
          </cell>
          <cell r="Q978" t="str">
            <v/>
          </cell>
          <cell r="R978" t="str">
            <v/>
          </cell>
          <cell r="S978" t="str">
            <v/>
          </cell>
          <cell r="T978" t="str">
            <v/>
          </cell>
          <cell r="U978" t="str">
            <v/>
          </cell>
          <cell r="V978" t="str">
            <v>N52</v>
          </cell>
          <cell r="W978" t="str">
            <v/>
          </cell>
          <cell r="X978" t="str">
            <v/>
          </cell>
          <cell r="Y978" t="str">
            <v/>
          </cell>
          <cell r="Z978" t="str">
            <v/>
          </cell>
          <cell r="AA978" t="str">
            <v/>
          </cell>
          <cell r="AB978" t="str">
            <v>PA_2325116-UA.3046-4</v>
          </cell>
          <cell r="AC978">
            <v>1</v>
          </cell>
          <cell r="AD978" t="str">
            <v/>
          </cell>
          <cell r="AE978">
            <v>0</v>
          </cell>
          <cell r="AF978" t="str">
            <v/>
          </cell>
          <cell r="AG978" t="str">
            <v>1916237</v>
          </cell>
          <cell r="AH978">
            <v>44917.039444444446</v>
          </cell>
          <cell r="AI978" t="str">
            <v>N52</v>
          </cell>
          <cell r="AJ978" t="str">
            <v>F</v>
          </cell>
          <cell r="AK978" t="str">
            <v>A</v>
          </cell>
        </row>
        <row r="979">
          <cell r="A979" t="str">
            <v>2025707820531</v>
          </cell>
          <cell r="B979" t="str">
            <v>BL20230413-2</v>
          </cell>
          <cell r="C979" t="e">
            <v>#N/A</v>
          </cell>
          <cell r="D979" t="str">
            <v>EK65</v>
          </cell>
          <cell r="E979" t="str">
            <v>691329</v>
          </cell>
          <cell r="F979" t="str">
            <v>E</v>
          </cell>
          <cell r="G979" t="str">
            <v>2025707</v>
          </cell>
          <cell r="H979" t="str">
            <v>Kunststoffbeilage</v>
          </cell>
          <cell r="I979">
            <v>2</v>
          </cell>
          <cell r="J979" t="str">
            <v>Stk</v>
          </cell>
          <cell r="K979">
            <v>45247</v>
          </cell>
          <cell r="L979" t="str">
            <v>820531</v>
          </cell>
          <cell r="M979" t="str">
            <v/>
          </cell>
          <cell r="N979" t="str">
            <v/>
          </cell>
          <cell r="O979" t="str">
            <v/>
          </cell>
          <cell r="P979" t="str">
            <v/>
          </cell>
          <cell r="Q979" t="str">
            <v/>
          </cell>
          <cell r="R979" t="str">
            <v/>
          </cell>
          <cell r="S979" t="str">
            <v/>
          </cell>
          <cell r="T979" t="str">
            <v/>
          </cell>
          <cell r="U979" t="str">
            <v/>
          </cell>
          <cell r="V979" t="str">
            <v>N52</v>
          </cell>
          <cell r="W979" t="str">
            <v/>
          </cell>
          <cell r="X979" t="str">
            <v/>
          </cell>
          <cell r="Y979" t="str">
            <v/>
          </cell>
          <cell r="Z979" t="str">
            <v/>
          </cell>
          <cell r="AA979" t="str">
            <v/>
          </cell>
          <cell r="AB979" t="str">
            <v>PA_2313810-DC.3046-4</v>
          </cell>
          <cell r="AC979">
            <v>1</v>
          </cell>
          <cell r="AD979" t="str">
            <v/>
          </cell>
          <cell r="AE979">
            <v>0</v>
          </cell>
          <cell r="AF979" t="str">
            <v/>
          </cell>
          <cell r="AG979" t="str">
            <v>2025707</v>
          </cell>
          <cell r="AH979">
            <v>44917.040451388886</v>
          </cell>
          <cell r="AI979" t="str">
            <v>N52</v>
          </cell>
          <cell r="AJ979" t="str">
            <v>F</v>
          </cell>
          <cell r="AK979" t="str">
            <v/>
          </cell>
        </row>
        <row r="980">
          <cell r="A980" t="str">
            <v>2027009820531</v>
          </cell>
          <cell r="B980" t="str">
            <v>BL20230413-2</v>
          </cell>
          <cell r="C980" t="e">
            <v>#N/A</v>
          </cell>
          <cell r="D980" t="str">
            <v>EK65</v>
          </cell>
          <cell r="E980" t="str">
            <v>691332</v>
          </cell>
          <cell r="F980" t="str">
            <v>E</v>
          </cell>
          <cell r="G980" t="str">
            <v>2027009</v>
          </cell>
          <cell r="H980" t="str">
            <v>Halter vollst.</v>
          </cell>
          <cell r="I980">
            <v>3</v>
          </cell>
          <cell r="J980" t="str">
            <v>Stk</v>
          </cell>
          <cell r="K980">
            <v>45212</v>
          </cell>
          <cell r="L980" t="str">
            <v>820531</v>
          </cell>
          <cell r="M980" t="str">
            <v/>
          </cell>
          <cell r="N980" t="str">
            <v/>
          </cell>
          <cell r="O980" t="str">
            <v/>
          </cell>
          <cell r="P980" t="str">
            <v/>
          </cell>
          <cell r="Q980" t="str">
            <v/>
          </cell>
          <cell r="R980" t="str">
            <v/>
          </cell>
          <cell r="S980" t="str">
            <v/>
          </cell>
          <cell r="T980" t="str">
            <v/>
          </cell>
          <cell r="U980" t="str">
            <v/>
          </cell>
          <cell r="V980" t="str">
            <v>N52</v>
          </cell>
          <cell r="W980" t="str">
            <v/>
          </cell>
          <cell r="X980" t="str">
            <v/>
          </cell>
          <cell r="Y980" t="str">
            <v/>
          </cell>
          <cell r="Z980" t="str">
            <v/>
          </cell>
          <cell r="AA980" t="str">
            <v/>
          </cell>
          <cell r="AB980" t="str">
            <v>PA_4533789-UA.3046-3</v>
          </cell>
          <cell r="AC980">
            <v>1</v>
          </cell>
          <cell r="AD980" t="str">
            <v/>
          </cell>
          <cell r="AE980">
            <v>0</v>
          </cell>
          <cell r="AF980" t="str">
            <v/>
          </cell>
          <cell r="AG980" t="str">
            <v>2027009</v>
          </cell>
          <cell r="AH980">
            <v>44917.040543981479</v>
          </cell>
          <cell r="AI980" t="str">
            <v>N52</v>
          </cell>
          <cell r="AJ980" t="str">
            <v>F</v>
          </cell>
          <cell r="AK980" t="str">
            <v/>
          </cell>
        </row>
        <row r="981">
          <cell r="A981" t="str">
            <v>5443937820531</v>
          </cell>
          <cell r="B981" t="str">
            <v>BL20230413-2</v>
          </cell>
          <cell r="C981" t="e">
            <v>#N/A</v>
          </cell>
          <cell r="D981" t="str">
            <v>EK65</v>
          </cell>
          <cell r="E981" t="str">
            <v>691539</v>
          </cell>
          <cell r="F981" t="str">
            <v>E</v>
          </cell>
          <cell r="G981" t="str">
            <v>5443937</v>
          </cell>
          <cell r="H981" t="str">
            <v>BOLZEN ZU BAHN- RAEUMER KLEIN</v>
          </cell>
          <cell r="I981">
            <v>1</v>
          </cell>
          <cell r="J981" t="str">
            <v>Stk</v>
          </cell>
          <cell r="K981">
            <v>45222</v>
          </cell>
          <cell r="L981" t="str">
            <v>820531</v>
          </cell>
          <cell r="M981" t="str">
            <v/>
          </cell>
          <cell r="N981" t="str">
            <v/>
          </cell>
          <cell r="O981" t="str">
            <v/>
          </cell>
          <cell r="P981" t="str">
            <v/>
          </cell>
          <cell r="Q981" t="str">
            <v/>
          </cell>
          <cell r="R981" t="str">
            <v/>
          </cell>
          <cell r="S981" t="str">
            <v/>
          </cell>
          <cell r="T981" t="str">
            <v/>
          </cell>
          <cell r="U981" t="str">
            <v/>
          </cell>
          <cell r="V981" t="str">
            <v>N52</v>
          </cell>
          <cell r="W981" t="str">
            <v>3.1</v>
          </cell>
          <cell r="X981" t="str">
            <v/>
          </cell>
          <cell r="Y981" t="str">
            <v/>
          </cell>
          <cell r="Z981" t="str">
            <v/>
          </cell>
          <cell r="AA981" t="str">
            <v/>
          </cell>
          <cell r="AB981" t="str">
            <v>BU_1085849-CF.6001-3P.2</v>
          </cell>
          <cell r="AC981">
            <v>1</v>
          </cell>
          <cell r="AD981" t="str">
            <v/>
          </cell>
          <cell r="AE981">
            <v>0</v>
          </cell>
          <cell r="AF981" t="str">
            <v/>
          </cell>
          <cell r="AG981" t="str">
            <v>5443937</v>
          </cell>
          <cell r="AH981">
            <v>44917.045451388891</v>
          </cell>
          <cell r="AI981" t="str">
            <v>N52</v>
          </cell>
          <cell r="AJ981" t="str">
            <v>F</v>
          </cell>
          <cell r="AK981" t="str">
            <v>B</v>
          </cell>
        </row>
        <row r="982">
          <cell r="A982" t="str">
            <v>5444225820531</v>
          </cell>
          <cell r="B982" t="str">
            <v>BL20230413-2</v>
          </cell>
          <cell r="C982" t="e">
            <v>#N/A</v>
          </cell>
          <cell r="D982" t="str">
            <v>EK65</v>
          </cell>
          <cell r="E982" t="str">
            <v>691540</v>
          </cell>
          <cell r="F982" t="str">
            <v>E</v>
          </cell>
          <cell r="G982" t="str">
            <v>5444225</v>
          </cell>
          <cell r="H982" t="str">
            <v>STAHLHINTERLAGE</v>
          </cell>
          <cell r="I982">
            <v>2</v>
          </cell>
          <cell r="J982" t="str">
            <v>Stk</v>
          </cell>
          <cell r="K982">
            <v>45222</v>
          </cell>
          <cell r="L982" t="str">
            <v>820531</v>
          </cell>
          <cell r="M982" t="str">
            <v/>
          </cell>
          <cell r="N982" t="str">
            <v/>
          </cell>
          <cell r="O982" t="str">
            <v/>
          </cell>
          <cell r="P982" t="str">
            <v/>
          </cell>
          <cell r="Q982" t="str">
            <v/>
          </cell>
          <cell r="R982" t="str">
            <v/>
          </cell>
          <cell r="S982" t="str">
            <v/>
          </cell>
          <cell r="T982" t="str">
            <v/>
          </cell>
          <cell r="U982" t="str">
            <v/>
          </cell>
          <cell r="V982" t="str">
            <v>N52</v>
          </cell>
          <cell r="W982" t="str">
            <v/>
          </cell>
          <cell r="X982" t="str">
            <v/>
          </cell>
          <cell r="Y982" t="str">
            <v/>
          </cell>
          <cell r="Z982" t="str">
            <v/>
          </cell>
          <cell r="AA982" t="str">
            <v/>
          </cell>
          <cell r="AB982" t="str">
            <v>AL_1229284-JD.6001-2</v>
          </cell>
          <cell r="AC982">
            <v>1</v>
          </cell>
          <cell r="AD982" t="str">
            <v/>
          </cell>
          <cell r="AE982">
            <v>0</v>
          </cell>
          <cell r="AF982" t="str">
            <v/>
          </cell>
          <cell r="AG982" t="str">
            <v>5444225</v>
          </cell>
          <cell r="AH982">
            <v>44917.045474537037</v>
          </cell>
          <cell r="AI982" t="str">
            <v>N52</v>
          </cell>
          <cell r="AJ982" t="str">
            <v>F</v>
          </cell>
          <cell r="AK982" t="str">
            <v/>
          </cell>
        </row>
        <row r="983">
          <cell r="A983" t="str">
            <v>5579872829053</v>
          </cell>
          <cell r="B983">
            <v>0</v>
          </cell>
          <cell r="C983">
            <v>16</v>
          </cell>
          <cell r="D983" t="str">
            <v>EK65</v>
          </cell>
          <cell r="E983" t="str">
            <v>691567</v>
          </cell>
          <cell r="F983" t="str">
            <v>E</v>
          </cell>
          <cell r="G983" t="str">
            <v>5579872</v>
          </cell>
          <cell r="H983" t="str">
            <v>KLEMMBUCHSE ID8,5 AD24 H15</v>
          </cell>
          <cell r="I983">
            <v>151</v>
          </cell>
          <cell r="J983" t="str">
            <v>Stk</v>
          </cell>
          <cell r="K983">
            <v>45205</v>
          </cell>
          <cell r="L983" t="str">
            <v>829053</v>
          </cell>
          <cell r="M983" t="str">
            <v/>
          </cell>
          <cell r="N983" t="str">
            <v/>
          </cell>
          <cell r="O983" t="str">
            <v/>
          </cell>
          <cell r="P983" t="str">
            <v/>
          </cell>
          <cell r="Q983" t="str">
            <v/>
          </cell>
          <cell r="R983" t="str">
            <v/>
          </cell>
          <cell r="S983" t="str">
            <v/>
          </cell>
          <cell r="T983" t="str">
            <v/>
          </cell>
          <cell r="U983" t="str">
            <v/>
          </cell>
          <cell r="V983" t="str">
            <v>N52</v>
          </cell>
          <cell r="W983" t="str">
            <v/>
          </cell>
          <cell r="X983" t="str">
            <v/>
          </cell>
          <cell r="Y983" t="str">
            <v/>
          </cell>
          <cell r="Z983" t="str">
            <v/>
          </cell>
          <cell r="AA983" t="str">
            <v/>
          </cell>
          <cell r="AB983" t="str">
            <v>PA_1222460-CF.4009-2</v>
          </cell>
          <cell r="AC983">
            <v>1</v>
          </cell>
          <cell r="AD983" t="str">
            <v/>
          </cell>
          <cell r="AE983">
            <v>0</v>
          </cell>
          <cell r="AF983" t="str">
            <v/>
          </cell>
          <cell r="AG983" t="str">
            <v>5579872</v>
          </cell>
          <cell r="AH983">
            <v>44917.046111111114</v>
          </cell>
          <cell r="AI983" t="str">
            <v>N52</v>
          </cell>
          <cell r="AJ983" t="str">
            <v>F</v>
          </cell>
          <cell r="AK983" t="str">
            <v>A</v>
          </cell>
        </row>
        <row r="984">
          <cell r="A984" t="str">
            <v>5579872829054</v>
          </cell>
          <cell r="B984" t="str">
            <v>BL20230413-2</v>
          </cell>
          <cell r="C984">
            <v>16</v>
          </cell>
          <cell r="D984" t="str">
            <v>EK65</v>
          </cell>
          <cell r="E984" t="str">
            <v>691568</v>
          </cell>
          <cell r="F984" t="str">
            <v>E</v>
          </cell>
          <cell r="G984" t="str">
            <v>5579872</v>
          </cell>
          <cell r="H984" t="str">
            <v>KLEMMBUCHSE ID8,5 AD24 H15</v>
          </cell>
          <cell r="I984">
            <v>52</v>
          </cell>
          <cell r="J984" t="str">
            <v>Stk</v>
          </cell>
          <cell r="K984">
            <v>45211</v>
          </cell>
          <cell r="L984" t="str">
            <v>829054</v>
          </cell>
          <cell r="M984" t="str">
            <v/>
          </cell>
          <cell r="N984" t="str">
            <v/>
          </cell>
          <cell r="O984" t="str">
            <v/>
          </cell>
          <cell r="P984" t="str">
            <v/>
          </cell>
          <cell r="Q984" t="str">
            <v/>
          </cell>
          <cell r="R984" t="str">
            <v/>
          </cell>
          <cell r="S984" t="str">
            <v/>
          </cell>
          <cell r="T984" t="str">
            <v/>
          </cell>
          <cell r="U984" t="str">
            <v/>
          </cell>
          <cell r="V984" t="str">
            <v>N52</v>
          </cell>
          <cell r="W984" t="str">
            <v/>
          </cell>
          <cell r="X984" t="str">
            <v/>
          </cell>
          <cell r="Y984" t="str">
            <v/>
          </cell>
          <cell r="Z984" t="str">
            <v/>
          </cell>
          <cell r="AA984" t="str">
            <v/>
          </cell>
          <cell r="AB984" t="str">
            <v>PA_1222460-CF.4009-2</v>
          </cell>
          <cell r="AC984">
            <v>1</v>
          </cell>
          <cell r="AD984" t="str">
            <v/>
          </cell>
          <cell r="AE984">
            <v>0</v>
          </cell>
          <cell r="AF984" t="str">
            <v/>
          </cell>
          <cell r="AG984" t="str">
            <v>5579872</v>
          </cell>
          <cell r="AH984">
            <v>44917.046111111114</v>
          </cell>
          <cell r="AI984" t="str">
            <v>N52</v>
          </cell>
          <cell r="AJ984" t="str">
            <v>F</v>
          </cell>
          <cell r="AK984" t="str">
            <v>A</v>
          </cell>
        </row>
        <row r="985">
          <cell r="A985" t="str">
            <v>5579872829051</v>
          </cell>
          <cell r="B985" t="str">
            <v>Übergabe Task Force</v>
          </cell>
          <cell r="C985">
            <v>16</v>
          </cell>
          <cell r="D985" t="str">
            <v>EK65</v>
          </cell>
          <cell r="E985" t="str">
            <v>691569</v>
          </cell>
          <cell r="F985" t="str">
            <v>E</v>
          </cell>
          <cell r="G985" t="str">
            <v>5579872</v>
          </cell>
          <cell r="H985" t="str">
            <v>KLEMMBUCHSE ID8,5 AD24 H15</v>
          </cell>
          <cell r="I985">
            <v>280</v>
          </cell>
          <cell r="J985" t="str">
            <v>Stk</v>
          </cell>
          <cell r="K985">
            <v>45303</v>
          </cell>
          <cell r="L985" t="str">
            <v>829051</v>
          </cell>
          <cell r="M985" t="str">
            <v/>
          </cell>
          <cell r="N985" t="str">
            <v/>
          </cell>
          <cell r="O985" t="str">
            <v/>
          </cell>
          <cell r="P985" t="str">
            <v/>
          </cell>
          <cell r="Q985" t="str">
            <v/>
          </cell>
          <cell r="R985" t="str">
            <v/>
          </cell>
          <cell r="S985" t="str">
            <v/>
          </cell>
          <cell r="T985" t="str">
            <v/>
          </cell>
          <cell r="U985" t="str">
            <v/>
          </cell>
          <cell r="V985" t="str">
            <v>N52</v>
          </cell>
          <cell r="W985" t="str">
            <v/>
          </cell>
          <cell r="X985" t="str">
            <v/>
          </cell>
          <cell r="Y985" t="str">
            <v/>
          </cell>
          <cell r="Z985" t="str">
            <v/>
          </cell>
          <cell r="AA985" t="str">
            <v/>
          </cell>
          <cell r="AB985" t="str">
            <v>PA_1222460-CF.4009-2</v>
          </cell>
          <cell r="AC985">
            <v>1</v>
          </cell>
          <cell r="AD985" t="str">
            <v/>
          </cell>
          <cell r="AE985">
            <v>0</v>
          </cell>
          <cell r="AF985" t="str">
            <v/>
          </cell>
          <cell r="AG985" t="str">
            <v>5579872</v>
          </cell>
          <cell r="AH985">
            <v>44917.046122685184</v>
          </cell>
          <cell r="AI985" t="str">
            <v>N52</v>
          </cell>
          <cell r="AJ985" t="str">
            <v>F</v>
          </cell>
          <cell r="AK985" t="str">
            <v>A</v>
          </cell>
        </row>
        <row r="986">
          <cell r="A986" t="str">
            <v>5579872829052</v>
          </cell>
          <cell r="B986" t="str">
            <v>Übergabe Task Force</v>
          </cell>
          <cell r="C986">
            <v>16</v>
          </cell>
          <cell r="D986" t="str">
            <v>EK65</v>
          </cell>
          <cell r="E986" t="str">
            <v>691570</v>
          </cell>
          <cell r="F986" t="str">
            <v>E</v>
          </cell>
          <cell r="G986" t="str">
            <v>5579872</v>
          </cell>
          <cell r="H986" t="str">
            <v>KLEMMBUCHSE ID8,5 AD24 H15</v>
          </cell>
          <cell r="I986">
            <v>94</v>
          </cell>
          <cell r="J986" t="str">
            <v>Stk</v>
          </cell>
          <cell r="K986">
            <v>45349</v>
          </cell>
          <cell r="L986" t="str">
            <v>829052</v>
          </cell>
          <cell r="M986" t="str">
            <v/>
          </cell>
          <cell r="N986" t="str">
            <v/>
          </cell>
          <cell r="O986" t="str">
            <v/>
          </cell>
          <cell r="P986" t="str">
            <v/>
          </cell>
          <cell r="Q986" t="str">
            <v/>
          </cell>
          <cell r="R986" t="str">
            <v/>
          </cell>
          <cell r="S986" t="str">
            <v/>
          </cell>
          <cell r="T986" t="str">
            <v/>
          </cell>
          <cell r="U986" t="str">
            <v/>
          </cell>
          <cell r="V986" t="str">
            <v>N52</v>
          </cell>
          <cell r="W986" t="str">
            <v/>
          </cell>
          <cell r="X986" t="str">
            <v/>
          </cell>
          <cell r="Y986" t="str">
            <v/>
          </cell>
          <cell r="Z986" t="str">
            <v/>
          </cell>
          <cell r="AA986" t="str">
            <v/>
          </cell>
          <cell r="AB986" t="str">
            <v>PA_1222460-CF.4009-2</v>
          </cell>
          <cell r="AC986">
            <v>1</v>
          </cell>
          <cell r="AD986" t="str">
            <v/>
          </cell>
          <cell r="AE986">
            <v>0</v>
          </cell>
          <cell r="AF986" t="str">
            <v/>
          </cell>
          <cell r="AG986" t="str">
            <v>5579872</v>
          </cell>
          <cell r="AH986">
            <v>44917.046122685184</v>
          </cell>
          <cell r="AI986" t="str">
            <v>N52</v>
          </cell>
          <cell r="AJ986" t="str">
            <v>F</v>
          </cell>
          <cell r="AK986" t="str">
            <v>A</v>
          </cell>
        </row>
        <row r="987">
          <cell r="A987" t="str">
            <v>5775932820531</v>
          </cell>
          <cell r="B987" t="str">
            <v>BL20230413-2</v>
          </cell>
          <cell r="C987" t="e">
            <v>#N/A</v>
          </cell>
          <cell r="D987" t="str">
            <v>EK65</v>
          </cell>
          <cell r="E987" t="str">
            <v>691625</v>
          </cell>
          <cell r="F987" t="str">
            <v>E</v>
          </cell>
          <cell r="G987" t="str">
            <v>5775932</v>
          </cell>
          <cell r="H987" t="str">
            <v>BUCHSE</v>
          </cell>
          <cell r="I987">
            <v>292</v>
          </cell>
          <cell r="J987" t="str">
            <v>Stk</v>
          </cell>
          <cell r="K987">
            <v>45155</v>
          </cell>
          <cell r="L987" t="str">
            <v>820531</v>
          </cell>
          <cell r="M987" t="str">
            <v/>
          </cell>
          <cell r="N987" t="str">
            <v/>
          </cell>
          <cell r="O987" t="str">
            <v/>
          </cell>
          <cell r="P987" t="str">
            <v/>
          </cell>
          <cell r="Q987" t="str">
            <v/>
          </cell>
          <cell r="R987" t="str">
            <v/>
          </cell>
          <cell r="S987" t="str">
            <v/>
          </cell>
          <cell r="T987" t="str">
            <v/>
          </cell>
          <cell r="U987" t="str">
            <v/>
          </cell>
          <cell r="V987" t="str">
            <v>N52</v>
          </cell>
          <cell r="W987" t="str">
            <v/>
          </cell>
          <cell r="X987" t="str">
            <v/>
          </cell>
          <cell r="Y987" t="str">
            <v/>
          </cell>
          <cell r="Z987" t="str">
            <v/>
          </cell>
          <cell r="AA987" t="str">
            <v/>
          </cell>
          <cell r="AB987" t="str">
            <v>PA_1998678-MB.3021-4</v>
          </cell>
          <cell r="AC987">
            <v>1</v>
          </cell>
          <cell r="AD987" t="str">
            <v/>
          </cell>
          <cell r="AE987">
            <v>0</v>
          </cell>
          <cell r="AF987" t="str">
            <v/>
          </cell>
          <cell r="AG987" t="str">
            <v>5775932</v>
          </cell>
          <cell r="AH987">
            <v>44917.047592592593</v>
          </cell>
          <cell r="AI987" t="str">
            <v>N52</v>
          </cell>
          <cell r="AJ987" t="str">
            <v>F</v>
          </cell>
          <cell r="AK987" t="str">
            <v/>
          </cell>
        </row>
        <row r="988">
          <cell r="A988" t="str">
            <v>5855727820531</v>
          </cell>
          <cell r="B988" t="str">
            <v>BL20230413-2</v>
          </cell>
          <cell r="C988" t="e">
            <v>#N/A</v>
          </cell>
          <cell r="D988" t="str">
            <v>EK65</v>
          </cell>
          <cell r="E988" t="str">
            <v>691634</v>
          </cell>
          <cell r="F988" t="str">
            <v>E</v>
          </cell>
          <cell r="G988" t="str">
            <v>5855727</v>
          </cell>
          <cell r="H988" t="str">
            <v>BEILAGE SR-LUEFTER</v>
          </cell>
          <cell r="I988">
            <v>19</v>
          </cell>
          <cell r="J988" t="str">
            <v>Stk</v>
          </cell>
          <cell r="K988">
            <v>45181</v>
          </cell>
          <cell r="L988" t="str">
            <v>820531</v>
          </cell>
          <cell r="M988" t="str">
            <v/>
          </cell>
          <cell r="N988" t="str">
            <v/>
          </cell>
          <cell r="O988" t="str">
            <v/>
          </cell>
          <cell r="P988" t="str">
            <v/>
          </cell>
          <cell r="Q988" t="str">
            <v/>
          </cell>
          <cell r="R988" t="str">
            <v/>
          </cell>
          <cell r="S988" t="str">
            <v/>
          </cell>
          <cell r="T988" t="str">
            <v/>
          </cell>
          <cell r="U988" t="str">
            <v/>
          </cell>
          <cell r="V988" t="str">
            <v>N52</v>
          </cell>
          <cell r="W988" t="str">
            <v/>
          </cell>
          <cell r="X988" t="str">
            <v/>
          </cell>
          <cell r="Y988" t="str">
            <v/>
          </cell>
          <cell r="Z988" t="str">
            <v/>
          </cell>
          <cell r="AA988" t="str">
            <v/>
          </cell>
          <cell r="AB988" t="str">
            <v>PA_2015713-HE.3025-4</v>
          </cell>
          <cell r="AC988">
            <v>1</v>
          </cell>
          <cell r="AD988" t="str">
            <v/>
          </cell>
          <cell r="AE988">
            <v>0</v>
          </cell>
          <cell r="AF988" t="str">
            <v/>
          </cell>
          <cell r="AG988" t="str">
            <v>5855727</v>
          </cell>
          <cell r="AH988">
            <v>44917.04791666667</v>
          </cell>
          <cell r="AI988" t="str">
            <v>N52</v>
          </cell>
          <cell r="AJ988" t="str">
            <v>F</v>
          </cell>
          <cell r="AK988" t="str">
            <v/>
          </cell>
        </row>
        <row r="989">
          <cell r="A989" t="str">
            <v>3881255820531</v>
          </cell>
          <cell r="B989" t="str">
            <v>BL20230413-2</v>
          </cell>
          <cell r="C989" t="e">
            <v>#N/A</v>
          </cell>
          <cell r="D989" t="str">
            <v>EK65</v>
          </cell>
          <cell r="E989" t="str">
            <v>692438</v>
          </cell>
          <cell r="F989" t="str">
            <v>E</v>
          </cell>
          <cell r="G989" t="str">
            <v>3881255</v>
          </cell>
          <cell r="H989" t="str">
            <v>Verdrehsicherungsblech fuer Steckdosen</v>
          </cell>
          <cell r="I989">
            <v>205</v>
          </cell>
          <cell r="J989" t="str">
            <v>Stk</v>
          </cell>
          <cell r="K989">
            <v>45076</v>
          </cell>
          <cell r="L989" t="str">
            <v>820531</v>
          </cell>
          <cell r="M989" t="str">
            <v/>
          </cell>
          <cell r="N989" t="str">
            <v/>
          </cell>
          <cell r="O989" t="str">
            <v/>
          </cell>
          <cell r="P989" t="str">
            <v/>
          </cell>
          <cell r="Q989" t="str">
            <v/>
          </cell>
          <cell r="R989" t="str">
            <v/>
          </cell>
          <cell r="S989" t="str">
            <v/>
          </cell>
          <cell r="T989" t="str">
            <v/>
          </cell>
          <cell r="U989" t="str">
            <v/>
          </cell>
          <cell r="V989" t="str">
            <v>N52</v>
          </cell>
          <cell r="W989" t="str">
            <v/>
          </cell>
          <cell r="X989" t="str">
            <v/>
          </cell>
          <cell r="Y989" t="str">
            <v/>
          </cell>
          <cell r="Z989" t="str">
            <v/>
          </cell>
          <cell r="AA989" t="str">
            <v/>
          </cell>
          <cell r="AB989" t="str">
            <v>PA_4659101-CD.3046-4</v>
          </cell>
          <cell r="AC989">
            <v>1</v>
          </cell>
          <cell r="AD989" t="str">
            <v/>
          </cell>
          <cell r="AE989">
            <v>0</v>
          </cell>
          <cell r="AF989" t="str">
            <v/>
          </cell>
          <cell r="AG989" t="str">
            <v>3881255</v>
          </cell>
          <cell r="AH989">
            <v>44917.079560185186</v>
          </cell>
          <cell r="AI989" t="str">
            <v>N52</v>
          </cell>
          <cell r="AJ989" t="str">
            <v>F</v>
          </cell>
          <cell r="AK989" t="str">
            <v>A</v>
          </cell>
        </row>
        <row r="990">
          <cell r="A990" t="str">
            <v>12491467829053</v>
          </cell>
          <cell r="B990">
            <v>0</v>
          </cell>
          <cell r="C990">
            <v>7</v>
          </cell>
          <cell r="D990" t="str">
            <v>EK65</v>
          </cell>
          <cell r="E990" t="str">
            <v>692638</v>
          </cell>
          <cell r="F990" t="str">
            <v>E</v>
          </cell>
          <cell r="G990" t="str">
            <v>12491467</v>
          </cell>
          <cell r="H990" t="str">
            <v>Halter Seitenwandverkleidung</v>
          </cell>
          <cell r="I990">
            <v>211</v>
          </cell>
          <cell r="J990" t="str">
            <v>Stk</v>
          </cell>
          <cell r="K990">
            <v>45204</v>
          </cell>
          <cell r="L990" t="str">
            <v>829053</v>
          </cell>
          <cell r="M990" t="str">
            <v/>
          </cell>
          <cell r="N990" t="str">
            <v/>
          </cell>
          <cell r="O990" t="str">
            <v/>
          </cell>
          <cell r="P990" t="str">
            <v/>
          </cell>
          <cell r="Q990" t="str">
            <v/>
          </cell>
          <cell r="R990" t="str">
            <v/>
          </cell>
          <cell r="S990" t="str">
            <v/>
          </cell>
          <cell r="T990" t="str">
            <v/>
          </cell>
          <cell r="U990" t="str">
            <v/>
          </cell>
          <cell r="V990" t="str">
            <v>N52</v>
          </cell>
          <cell r="W990" t="str">
            <v/>
          </cell>
          <cell r="X990" t="str">
            <v/>
          </cell>
          <cell r="Y990" t="str">
            <v/>
          </cell>
          <cell r="Z990" t="str">
            <v/>
          </cell>
          <cell r="AA990" t="str">
            <v/>
          </cell>
          <cell r="AB990" t="str">
            <v>PA_4269770-CD.7005-3</v>
          </cell>
          <cell r="AC990">
            <v>1</v>
          </cell>
          <cell r="AD990" t="str">
            <v/>
          </cell>
          <cell r="AE990">
            <v>0</v>
          </cell>
          <cell r="AF990" t="str">
            <v/>
          </cell>
          <cell r="AG990" t="str">
            <v>12491467</v>
          </cell>
          <cell r="AH990">
            <v>44917.708252314813</v>
          </cell>
          <cell r="AI990" t="str">
            <v>N52</v>
          </cell>
          <cell r="AJ990" t="str">
            <v>F</v>
          </cell>
          <cell r="AK990" t="str">
            <v/>
          </cell>
        </row>
        <row r="991">
          <cell r="A991" t="str">
            <v>1292604</v>
          </cell>
          <cell r="B991" t="e">
            <v>#N/A</v>
          </cell>
          <cell r="C991" t="e">
            <v>#N/A</v>
          </cell>
          <cell r="D991" t="str">
            <v>EK65</v>
          </cell>
          <cell r="E991" t="str">
            <v>692643</v>
          </cell>
          <cell r="F991" t="str">
            <v>B</v>
          </cell>
          <cell r="G991" t="str">
            <v>1292604</v>
          </cell>
          <cell r="H991" t="str">
            <v>DISTANZBLECH 1MM</v>
          </cell>
          <cell r="I991">
            <v>800</v>
          </cell>
          <cell r="J991" t="str">
            <v>Stk</v>
          </cell>
          <cell r="K991">
            <v>44919</v>
          </cell>
          <cell r="L991" t="str">
            <v/>
          </cell>
          <cell r="M991" t="str">
            <v/>
          </cell>
          <cell r="N991" t="str">
            <v/>
          </cell>
          <cell r="O991" t="str">
            <v/>
          </cell>
          <cell r="P991" t="str">
            <v/>
          </cell>
          <cell r="Q991" t="str">
            <v/>
          </cell>
          <cell r="R991" t="str">
            <v/>
          </cell>
          <cell r="S991" t="str">
            <v/>
          </cell>
          <cell r="T991" t="str">
            <v/>
          </cell>
          <cell r="U991" t="str">
            <v/>
          </cell>
          <cell r="V991" t="str">
            <v>N52</v>
          </cell>
          <cell r="W991" t="str">
            <v/>
          </cell>
          <cell r="X991" t="str">
            <v/>
          </cell>
          <cell r="Y991" t="str">
            <v/>
          </cell>
          <cell r="Z991" t="str">
            <v/>
          </cell>
          <cell r="AA991" t="str">
            <v/>
          </cell>
          <cell r="AB991" t="str">
            <v>PA_1172669-CD.4005-4</v>
          </cell>
          <cell r="AC991">
            <v>4</v>
          </cell>
          <cell r="AD991" t="str">
            <v/>
          </cell>
          <cell r="AE991">
            <v>0</v>
          </cell>
          <cell r="AF991" t="str">
            <v/>
          </cell>
          <cell r="AG991" t="str">
            <v>1292604</v>
          </cell>
          <cell r="AH991">
            <v>44917.835243055553</v>
          </cell>
          <cell r="AI991" t="str">
            <v>N52</v>
          </cell>
          <cell r="AJ991" t="str">
            <v>F</v>
          </cell>
          <cell r="AK991" t="str">
            <v/>
          </cell>
        </row>
        <row r="992">
          <cell r="A992" t="str">
            <v>1158071</v>
          </cell>
          <cell r="B992" t="str">
            <v>BL20230413-2</v>
          </cell>
          <cell r="C992" t="e">
            <v>#N/A</v>
          </cell>
          <cell r="D992" t="str">
            <v>EK65</v>
          </cell>
          <cell r="E992" t="str">
            <v>692652</v>
          </cell>
          <cell r="F992" t="str">
            <v>B</v>
          </cell>
          <cell r="G992" t="str">
            <v>1158071</v>
          </cell>
          <cell r="H992" t="str">
            <v>Distanzscheibe</v>
          </cell>
          <cell r="I992">
            <v>5</v>
          </cell>
          <cell r="J992" t="str">
            <v>Stk</v>
          </cell>
          <cell r="K992">
            <v>44930</v>
          </cell>
          <cell r="L992" t="str">
            <v/>
          </cell>
          <cell r="M992" t="str">
            <v/>
          </cell>
          <cell r="N992" t="str">
            <v/>
          </cell>
          <cell r="O992" t="str">
            <v/>
          </cell>
          <cell r="P992" t="str">
            <v/>
          </cell>
          <cell r="Q992" t="str">
            <v/>
          </cell>
          <cell r="R992" t="str">
            <v/>
          </cell>
          <cell r="S992" t="str">
            <v/>
          </cell>
          <cell r="T992" t="str">
            <v/>
          </cell>
          <cell r="U992" t="str">
            <v/>
          </cell>
          <cell r="V992" t="str">
            <v>N52</v>
          </cell>
          <cell r="W992" t="str">
            <v/>
          </cell>
          <cell r="X992" t="str">
            <v/>
          </cell>
          <cell r="Y992" t="str">
            <v/>
          </cell>
          <cell r="Z992" t="str">
            <v/>
          </cell>
          <cell r="AA992" t="str">
            <v/>
          </cell>
          <cell r="AB992" t="str">
            <v>PA_2278864-DD.6005-4P.5</v>
          </cell>
          <cell r="AC992">
            <v>1</v>
          </cell>
          <cell r="AD992" t="str">
            <v/>
          </cell>
          <cell r="AE992">
            <v>0</v>
          </cell>
          <cell r="AF992" t="str">
            <v/>
          </cell>
          <cell r="AG992" t="str">
            <v>1158071</v>
          </cell>
          <cell r="AH992">
            <v>44917.896134259259</v>
          </cell>
          <cell r="AI992" t="str">
            <v>N52</v>
          </cell>
          <cell r="AJ992" t="str">
            <v>F</v>
          </cell>
          <cell r="AK992" t="str">
            <v/>
          </cell>
        </row>
        <row r="993">
          <cell r="A993" t="str">
            <v>0727563820531</v>
          </cell>
          <cell r="B993" t="str">
            <v>BL20230413-2</v>
          </cell>
          <cell r="C993" t="e">
            <v>#N/A</v>
          </cell>
          <cell r="D993" t="str">
            <v>EK65</v>
          </cell>
          <cell r="E993" t="str">
            <v>692676</v>
          </cell>
          <cell r="F993" t="str">
            <v>E</v>
          </cell>
          <cell r="G993" t="str">
            <v>0727563</v>
          </cell>
          <cell r="H993" t="str">
            <v>Kabeldurchfuehrung</v>
          </cell>
          <cell r="I993">
            <v>6</v>
          </cell>
          <cell r="J993" t="str">
            <v>Stk</v>
          </cell>
          <cell r="K993">
            <v>45210</v>
          </cell>
          <cell r="L993" t="str">
            <v>820531</v>
          </cell>
          <cell r="M993" t="str">
            <v/>
          </cell>
          <cell r="N993" t="str">
            <v/>
          </cell>
          <cell r="O993" t="str">
            <v/>
          </cell>
          <cell r="P993" t="str">
            <v/>
          </cell>
          <cell r="Q993" t="str">
            <v/>
          </cell>
          <cell r="R993" t="str">
            <v/>
          </cell>
          <cell r="S993" t="str">
            <v/>
          </cell>
          <cell r="T993" t="str">
            <v/>
          </cell>
          <cell r="U993" t="str">
            <v/>
          </cell>
          <cell r="V993" t="str">
            <v>N38</v>
          </cell>
          <cell r="W993" t="str">
            <v/>
          </cell>
          <cell r="X993" t="str">
            <v/>
          </cell>
          <cell r="Y993" t="str">
            <v/>
          </cell>
          <cell r="Z993" t="str">
            <v/>
          </cell>
          <cell r="AA993" t="str">
            <v/>
          </cell>
          <cell r="AB993" t="str">
            <v>PR_2153209-CD.3034-3</v>
          </cell>
          <cell r="AC993">
            <v>1</v>
          </cell>
          <cell r="AD993" t="str">
            <v/>
          </cell>
          <cell r="AE993">
            <v>0</v>
          </cell>
          <cell r="AF993" t="str">
            <v/>
          </cell>
          <cell r="AG993" t="str">
            <v>0727563</v>
          </cell>
          <cell r="AH993">
            <v>44917.962476851855</v>
          </cell>
          <cell r="AI993" t="str">
            <v>N38</v>
          </cell>
          <cell r="AJ993" t="str">
            <v>F</v>
          </cell>
          <cell r="AK993" t="str">
            <v>A</v>
          </cell>
        </row>
        <row r="994">
          <cell r="A994" t="str">
            <v>1231332820531</v>
          </cell>
          <cell r="B994" t="str">
            <v>BL20230413-2</v>
          </cell>
          <cell r="C994" t="e">
            <v>#N/A</v>
          </cell>
          <cell r="D994" t="str">
            <v>EK65</v>
          </cell>
          <cell r="E994" t="str">
            <v>692677</v>
          </cell>
          <cell r="F994" t="str">
            <v>E</v>
          </cell>
          <cell r="G994" t="str">
            <v>1231332</v>
          </cell>
          <cell r="H994" t="str">
            <v>Dehnhuelse</v>
          </cell>
          <cell r="I994">
            <v>434</v>
          </cell>
          <cell r="J994" t="str">
            <v>Stk</v>
          </cell>
          <cell r="K994">
            <v>45044</v>
          </cell>
          <cell r="L994" t="str">
            <v>820531</v>
          </cell>
          <cell r="M994" t="str">
            <v/>
          </cell>
          <cell r="N994" t="str">
            <v/>
          </cell>
          <cell r="O994" t="str">
            <v/>
          </cell>
          <cell r="P994" t="str">
            <v/>
          </cell>
          <cell r="Q994" t="str">
            <v/>
          </cell>
          <cell r="R994" t="str">
            <v/>
          </cell>
          <cell r="S994" t="str">
            <v/>
          </cell>
          <cell r="T994" t="str">
            <v/>
          </cell>
          <cell r="U994" t="str">
            <v/>
          </cell>
          <cell r="V994" t="str">
            <v>N32</v>
          </cell>
          <cell r="W994" t="str">
            <v/>
          </cell>
          <cell r="X994" t="str">
            <v/>
          </cell>
          <cell r="Y994" t="str">
            <v/>
          </cell>
          <cell r="Z994" t="str">
            <v/>
          </cell>
          <cell r="AA994" t="str">
            <v/>
          </cell>
          <cell r="AB994" t="str">
            <v>PA_2307679-CF.3046-4</v>
          </cell>
          <cell r="AC994">
            <v>1</v>
          </cell>
          <cell r="AD994" t="str">
            <v/>
          </cell>
          <cell r="AE994">
            <v>0</v>
          </cell>
          <cell r="AF994" t="str">
            <v/>
          </cell>
          <cell r="AG994" t="str">
            <v>1231332</v>
          </cell>
          <cell r="AH994">
            <v>44917.96503472222</v>
          </cell>
          <cell r="AI994" t="str">
            <v>N32</v>
          </cell>
          <cell r="AJ994" t="str">
            <v>F</v>
          </cell>
          <cell r="AK994" t="str">
            <v/>
          </cell>
        </row>
        <row r="995">
          <cell r="A995" t="str">
            <v>1234853820531</v>
          </cell>
          <cell r="B995" t="str">
            <v>BL20230413-2</v>
          </cell>
          <cell r="C995" t="e">
            <v>#N/A</v>
          </cell>
          <cell r="D995" t="str">
            <v>EK65</v>
          </cell>
          <cell r="E995" t="str">
            <v>692679</v>
          </cell>
          <cell r="F995" t="str">
            <v>E</v>
          </cell>
          <cell r="G995" t="str">
            <v>1234853</v>
          </cell>
          <cell r="H995" t="str">
            <v>Winkel Gewindebolzen</v>
          </cell>
          <cell r="I995">
            <v>1</v>
          </cell>
          <cell r="J995" t="str">
            <v>Stk</v>
          </cell>
          <cell r="K995">
            <v>45222</v>
          </cell>
          <cell r="L995" t="str">
            <v>820531</v>
          </cell>
          <cell r="M995" t="str">
            <v/>
          </cell>
          <cell r="N995" t="str">
            <v/>
          </cell>
          <cell r="O995" t="str">
            <v/>
          </cell>
          <cell r="P995" t="str">
            <v/>
          </cell>
          <cell r="Q995" t="str">
            <v/>
          </cell>
          <cell r="R995" t="str">
            <v/>
          </cell>
          <cell r="S995" t="str">
            <v/>
          </cell>
          <cell r="T995" t="str">
            <v/>
          </cell>
          <cell r="U995" t="str">
            <v/>
          </cell>
          <cell r="V995" t="str">
            <v>N38</v>
          </cell>
          <cell r="W995" t="str">
            <v/>
          </cell>
          <cell r="X995" t="str">
            <v/>
          </cell>
          <cell r="Y995" t="str">
            <v/>
          </cell>
          <cell r="Z995" t="str">
            <v/>
          </cell>
          <cell r="AA995" t="str">
            <v/>
          </cell>
          <cell r="AB995" t="str">
            <v>PA_2314276-HE.3046-3</v>
          </cell>
          <cell r="AC995">
            <v>1</v>
          </cell>
          <cell r="AD995" t="str">
            <v/>
          </cell>
          <cell r="AE995">
            <v>0</v>
          </cell>
          <cell r="AF995" t="str">
            <v/>
          </cell>
          <cell r="AG995" t="str">
            <v>1234853</v>
          </cell>
          <cell r="AH995">
            <v>44917.965648148151</v>
          </cell>
          <cell r="AI995" t="str">
            <v>N38</v>
          </cell>
          <cell r="AJ995" t="str">
            <v>F</v>
          </cell>
          <cell r="AK995" t="str">
            <v/>
          </cell>
        </row>
        <row r="996">
          <cell r="A996" t="str">
            <v>1234864820531</v>
          </cell>
          <cell r="B996" t="str">
            <v>BL20230413-2</v>
          </cell>
          <cell r="C996" t="e">
            <v>#N/A</v>
          </cell>
          <cell r="D996" t="str">
            <v>EK65</v>
          </cell>
          <cell r="E996" t="str">
            <v>692680</v>
          </cell>
          <cell r="F996" t="str">
            <v>E</v>
          </cell>
          <cell r="G996" t="str">
            <v>1234864</v>
          </cell>
          <cell r="H996" t="str">
            <v>Winkel Gewindebolzen</v>
          </cell>
          <cell r="I996">
            <v>1</v>
          </cell>
          <cell r="J996" t="str">
            <v>Stk</v>
          </cell>
          <cell r="K996">
            <v>45222</v>
          </cell>
          <cell r="L996" t="str">
            <v>820531</v>
          </cell>
          <cell r="M996" t="str">
            <v/>
          </cell>
          <cell r="N996" t="str">
            <v/>
          </cell>
          <cell r="O996" t="str">
            <v/>
          </cell>
          <cell r="P996" t="str">
            <v/>
          </cell>
          <cell r="Q996" t="str">
            <v/>
          </cell>
          <cell r="R996" t="str">
            <v/>
          </cell>
          <cell r="S996" t="str">
            <v/>
          </cell>
          <cell r="T996" t="str">
            <v/>
          </cell>
          <cell r="U996" t="str">
            <v/>
          </cell>
          <cell r="V996" t="str">
            <v>N38</v>
          </cell>
          <cell r="W996" t="str">
            <v/>
          </cell>
          <cell r="X996" t="str">
            <v/>
          </cell>
          <cell r="Y996" t="str">
            <v/>
          </cell>
          <cell r="Z996" t="str">
            <v/>
          </cell>
          <cell r="AA996" t="str">
            <v/>
          </cell>
          <cell r="AB996" t="str">
            <v>PA_2314162-HE.3046-3</v>
          </cell>
          <cell r="AC996">
            <v>1</v>
          </cell>
          <cell r="AD996" t="str">
            <v/>
          </cell>
          <cell r="AE996">
            <v>0</v>
          </cell>
          <cell r="AF996" t="str">
            <v/>
          </cell>
          <cell r="AG996" t="str">
            <v>1234864</v>
          </cell>
          <cell r="AH996">
            <v>44917.96565972222</v>
          </cell>
          <cell r="AI996" t="str">
            <v>N38</v>
          </cell>
          <cell r="AJ996" t="str">
            <v>F</v>
          </cell>
          <cell r="AK996" t="str">
            <v/>
          </cell>
        </row>
        <row r="997">
          <cell r="A997" t="str">
            <v>1901208820531</v>
          </cell>
          <cell r="B997" t="str">
            <v>BL20230413-2</v>
          </cell>
          <cell r="C997" t="e">
            <v>#N/A</v>
          </cell>
          <cell r="D997" t="str">
            <v>EK65</v>
          </cell>
          <cell r="E997" t="str">
            <v>692687</v>
          </cell>
          <cell r="F997" t="str">
            <v>E</v>
          </cell>
          <cell r="G997" t="str">
            <v>1901208</v>
          </cell>
          <cell r="H997" t="str">
            <v>Dehnhuelse H100/Da50/Di21</v>
          </cell>
          <cell r="I997">
            <v>3</v>
          </cell>
          <cell r="J997" t="str">
            <v>Stk</v>
          </cell>
          <cell r="K997">
            <v>45210</v>
          </cell>
          <cell r="L997" t="str">
            <v>820531</v>
          </cell>
          <cell r="M997" t="str">
            <v/>
          </cell>
          <cell r="N997" t="str">
            <v/>
          </cell>
          <cell r="O997" t="str">
            <v/>
          </cell>
          <cell r="P997" t="str">
            <v/>
          </cell>
          <cell r="Q997" t="str">
            <v/>
          </cell>
          <cell r="R997" t="str">
            <v/>
          </cell>
          <cell r="S997" t="str">
            <v/>
          </cell>
          <cell r="T997" t="str">
            <v/>
          </cell>
          <cell r="U997" t="str">
            <v/>
          </cell>
          <cell r="V997" t="str">
            <v>N38</v>
          </cell>
          <cell r="W997" t="str">
            <v/>
          </cell>
          <cell r="X997" t="str">
            <v/>
          </cell>
          <cell r="Y997" t="str">
            <v/>
          </cell>
          <cell r="Z997" t="str">
            <v/>
          </cell>
          <cell r="AA997" t="str">
            <v/>
          </cell>
          <cell r="AB997" t="str">
            <v>PA_2284397-CF.3046-4</v>
          </cell>
          <cell r="AC997">
            <v>1</v>
          </cell>
          <cell r="AD997" t="str">
            <v/>
          </cell>
          <cell r="AE997">
            <v>0</v>
          </cell>
          <cell r="AF997" t="str">
            <v/>
          </cell>
          <cell r="AG997" t="str">
            <v>1901208</v>
          </cell>
          <cell r="AH997">
            <v>44918.00577546296</v>
          </cell>
          <cell r="AI997" t="str">
            <v>N38</v>
          </cell>
          <cell r="AJ997" t="str">
            <v>F</v>
          </cell>
          <cell r="AK997" t="str">
            <v/>
          </cell>
        </row>
        <row r="998">
          <cell r="A998" t="str">
            <v>1901220820531</v>
          </cell>
          <cell r="B998" t="str">
            <v>BL20230413-2</v>
          </cell>
          <cell r="C998" t="e">
            <v>#N/A</v>
          </cell>
          <cell r="D998" t="str">
            <v>EK65</v>
          </cell>
          <cell r="E998" t="str">
            <v>692688</v>
          </cell>
          <cell r="F998" t="str">
            <v>E</v>
          </cell>
          <cell r="G998" t="str">
            <v>1901220</v>
          </cell>
          <cell r="H998" t="str">
            <v>Gewindeleiste</v>
          </cell>
          <cell r="I998">
            <v>292</v>
          </cell>
          <cell r="J998" t="str">
            <v>Stk</v>
          </cell>
          <cell r="K998">
            <v>45086</v>
          </cell>
          <cell r="L998" t="str">
            <v>820531</v>
          </cell>
          <cell r="M998" t="str">
            <v/>
          </cell>
          <cell r="N998" t="str">
            <v/>
          </cell>
          <cell r="O998" t="str">
            <v/>
          </cell>
          <cell r="P998" t="str">
            <v/>
          </cell>
          <cell r="Q998" t="str">
            <v/>
          </cell>
          <cell r="R998" t="str">
            <v/>
          </cell>
          <cell r="S998" t="str">
            <v/>
          </cell>
          <cell r="T998" t="str">
            <v/>
          </cell>
          <cell r="U998" t="str">
            <v/>
          </cell>
          <cell r="V998" t="str">
            <v>N38</v>
          </cell>
          <cell r="W998" t="str">
            <v/>
          </cell>
          <cell r="X998" t="str">
            <v/>
          </cell>
          <cell r="Y998" t="str">
            <v/>
          </cell>
          <cell r="Z998" t="str">
            <v/>
          </cell>
          <cell r="AA998" t="str">
            <v/>
          </cell>
          <cell r="AB998" t="str">
            <v>PA_2280715-CF.3046-3</v>
          </cell>
          <cell r="AC998">
            <v>1</v>
          </cell>
          <cell r="AD998" t="str">
            <v/>
          </cell>
          <cell r="AE998">
            <v>0</v>
          </cell>
          <cell r="AF998" t="str">
            <v/>
          </cell>
          <cell r="AG998" t="str">
            <v>1901220</v>
          </cell>
          <cell r="AH998">
            <v>44918.005787037036</v>
          </cell>
          <cell r="AI998" t="str">
            <v>N38</v>
          </cell>
          <cell r="AJ998" t="str">
            <v>F</v>
          </cell>
          <cell r="AK998" t="str">
            <v/>
          </cell>
        </row>
        <row r="999">
          <cell r="A999" t="str">
            <v>5606049820531</v>
          </cell>
          <cell r="B999" t="str">
            <v>BL20230413-2</v>
          </cell>
          <cell r="C999" t="e">
            <v>#N/A</v>
          </cell>
          <cell r="D999" t="str">
            <v>EK65</v>
          </cell>
          <cell r="E999" t="str">
            <v>692689</v>
          </cell>
          <cell r="F999" t="str">
            <v>E</v>
          </cell>
          <cell r="G999" t="str">
            <v>5606049</v>
          </cell>
          <cell r="H999" t="str">
            <v>HUELSE TRAFO</v>
          </cell>
          <cell r="I999">
            <v>40</v>
          </cell>
          <cell r="J999" t="str">
            <v>Stk</v>
          </cell>
          <cell r="K999">
            <v>45156</v>
          </cell>
          <cell r="L999" t="str">
            <v>820531</v>
          </cell>
          <cell r="M999" t="str">
            <v/>
          </cell>
          <cell r="N999" t="str">
            <v/>
          </cell>
          <cell r="O999" t="str">
            <v/>
          </cell>
          <cell r="P999" t="str">
            <v/>
          </cell>
          <cell r="Q999" t="str">
            <v/>
          </cell>
          <cell r="R999" t="str">
            <v/>
          </cell>
          <cell r="S999" t="str">
            <v/>
          </cell>
          <cell r="T999" t="str">
            <v/>
          </cell>
          <cell r="U999" t="str">
            <v/>
          </cell>
          <cell r="V999" t="str">
            <v>N32</v>
          </cell>
          <cell r="W999" t="str">
            <v/>
          </cell>
          <cell r="X999" t="str">
            <v/>
          </cell>
          <cell r="Y999" t="str">
            <v/>
          </cell>
          <cell r="Z999" t="str">
            <v/>
          </cell>
          <cell r="AA999" t="str">
            <v/>
          </cell>
          <cell r="AB999" t="str">
            <v>PA_1401610-FD.3021-4</v>
          </cell>
          <cell r="AC999">
            <v>1</v>
          </cell>
          <cell r="AD999" t="str">
            <v/>
          </cell>
          <cell r="AE999">
            <v>0</v>
          </cell>
          <cell r="AF999" t="str">
            <v/>
          </cell>
          <cell r="AG999" t="str">
            <v>5606049</v>
          </cell>
          <cell r="AH999">
            <v>44918.012708333335</v>
          </cell>
          <cell r="AI999" t="str">
            <v>N32</v>
          </cell>
          <cell r="AJ999" t="str">
            <v>F</v>
          </cell>
          <cell r="AK999" t="str">
            <v/>
          </cell>
        </row>
        <row r="1000">
          <cell r="A1000" t="str">
            <v>5627486820531</v>
          </cell>
          <cell r="B1000" t="str">
            <v>BL20230413-2</v>
          </cell>
          <cell r="C1000" t="e">
            <v>#N/A</v>
          </cell>
          <cell r="D1000" t="str">
            <v>EK65</v>
          </cell>
          <cell r="E1000" t="str">
            <v>692690</v>
          </cell>
          <cell r="F1000" t="str">
            <v>E</v>
          </cell>
          <cell r="G1000" t="str">
            <v>5627486</v>
          </cell>
          <cell r="H1000" t="str">
            <v>DRUCKPLATTE FUER SCHELLE</v>
          </cell>
          <cell r="I1000">
            <v>1</v>
          </cell>
          <cell r="J1000" t="str">
            <v>Stk</v>
          </cell>
          <cell r="K1000">
            <v>45224</v>
          </cell>
          <cell r="L1000" t="str">
            <v>820531</v>
          </cell>
          <cell r="M1000" t="str">
            <v/>
          </cell>
          <cell r="N1000" t="str">
            <v/>
          </cell>
          <cell r="O1000" t="str">
            <v/>
          </cell>
          <cell r="P1000" t="str">
            <v/>
          </cell>
          <cell r="Q1000" t="str">
            <v/>
          </cell>
          <cell r="R1000" t="str">
            <v/>
          </cell>
          <cell r="S1000" t="str">
            <v/>
          </cell>
          <cell r="T1000" t="str">
            <v/>
          </cell>
          <cell r="U1000" t="str">
            <v/>
          </cell>
          <cell r="V1000" t="str">
            <v>N38</v>
          </cell>
          <cell r="W1000" t="str">
            <v/>
          </cell>
          <cell r="X1000" t="str">
            <v/>
          </cell>
          <cell r="Y1000" t="str">
            <v/>
          </cell>
          <cell r="Z1000" t="str">
            <v/>
          </cell>
          <cell r="AA1000" t="str">
            <v/>
          </cell>
          <cell r="AB1000" t="str">
            <v>PA_1418989-UE.3020-3</v>
          </cell>
          <cell r="AC1000">
            <v>1</v>
          </cell>
          <cell r="AD1000" t="str">
            <v/>
          </cell>
          <cell r="AE1000">
            <v>0</v>
          </cell>
          <cell r="AF1000" t="str">
            <v/>
          </cell>
          <cell r="AG1000" t="str">
            <v>5627486</v>
          </cell>
          <cell r="AH1000">
            <v>44918.012754629628</v>
          </cell>
          <cell r="AI1000" t="str">
            <v>N38</v>
          </cell>
          <cell r="AJ1000" t="str">
            <v>F</v>
          </cell>
          <cell r="AK1000" t="str">
            <v>A</v>
          </cell>
        </row>
        <row r="1001">
          <cell r="A1001" t="str">
            <v>5664652820531</v>
          </cell>
          <cell r="B1001" t="str">
            <v>BL20230413-2</v>
          </cell>
          <cell r="C1001" t="e">
            <v>#N/A</v>
          </cell>
          <cell r="D1001" t="str">
            <v>EK65</v>
          </cell>
          <cell r="E1001" t="str">
            <v>692691</v>
          </cell>
          <cell r="F1001" t="str">
            <v>E</v>
          </cell>
          <cell r="G1001" t="str">
            <v>5664652</v>
          </cell>
          <cell r="H1001" t="str">
            <v>KLEMMBUCHSE ID10,5AD30 H45</v>
          </cell>
          <cell r="I1001">
            <v>128</v>
          </cell>
          <cell r="J1001" t="str">
            <v>Stk</v>
          </cell>
          <cell r="K1001">
            <v>45183</v>
          </cell>
          <cell r="L1001" t="str">
            <v>820531</v>
          </cell>
          <cell r="M1001" t="str">
            <v/>
          </cell>
          <cell r="N1001" t="str">
            <v/>
          </cell>
          <cell r="O1001" t="str">
            <v/>
          </cell>
          <cell r="P1001" t="str">
            <v/>
          </cell>
          <cell r="Q1001" t="str">
            <v/>
          </cell>
          <cell r="R1001" t="str">
            <v/>
          </cell>
          <cell r="S1001" t="str">
            <v/>
          </cell>
          <cell r="T1001" t="str">
            <v/>
          </cell>
          <cell r="U1001" t="str">
            <v/>
          </cell>
          <cell r="V1001" t="str">
            <v>N32</v>
          </cell>
          <cell r="W1001" t="str">
            <v/>
          </cell>
          <cell r="X1001" t="str">
            <v/>
          </cell>
          <cell r="Y1001" t="str">
            <v/>
          </cell>
          <cell r="Z1001" t="str">
            <v/>
          </cell>
          <cell r="AA1001" t="str">
            <v/>
          </cell>
          <cell r="AB1001" t="str">
            <v>PA_1385027-CF.3021-4</v>
          </cell>
          <cell r="AC1001">
            <v>1</v>
          </cell>
          <cell r="AD1001" t="str">
            <v/>
          </cell>
          <cell r="AE1001">
            <v>0</v>
          </cell>
          <cell r="AF1001" t="str">
            <v/>
          </cell>
          <cell r="AG1001" t="str">
            <v>5664652</v>
          </cell>
          <cell r="AH1001">
            <v>44918.012858796297</v>
          </cell>
          <cell r="AI1001" t="str">
            <v>N32</v>
          </cell>
          <cell r="AJ1001" t="str">
            <v>F</v>
          </cell>
          <cell r="AK1001" t="str">
            <v/>
          </cell>
        </row>
        <row r="1002">
          <cell r="A1002" t="str">
            <v>5819645820531</v>
          </cell>
          <cell r="B1002" t="str">
            <v>BL20230418-1</v>
          </cell>
          <cell r="C1002" t="e">
            <v>#N/A</v>
          </cell>
          <cell r="D1002" t="str">
            <v>EK65</v>
          </cell>
          <cell r="E1002" t="str">
            <v>692693</v>
          </cell>
          <cell r="F1002" t="str">
            <v>E</v>
          </cell>
          <cell r="G1002" t="str">
            <v>5819645</v>
          </cell>
          <cell r="H1002" t="str">
            <v>ABSTANDSHALTER</v>
          </cell>
          <cell r="I1002">
            <v>71</v>
          </cell>
          <cell r="J1002" t="str">
            <v>Stk</v>
          </cell>
          <cell r="K1002">
            <v>45093</v>
          </cell>
          <cell r="L1002" t="str">
            <v>820531</v>
          </cell>
          <cell r="M1002" t="str">
            <v/>
          </cell>
          <cell r="N1002" t="str">
            <v/>
          </cell>
          <cell r="O1002" t="str">
            <v/>
          </cell>
          <cell r="P1002" t="str">
            <v/>
          </cell>
          <cell r="Q1002" t="str">
            <v/>
          </cell>
          <cell r="R1002" t="str">
            <v/>
          </cell>
          <cell r="S1002" t="str">
            <v/>
          </cell>
          <cell r="T1002" t="str">
            <v/>
          </cell>
          <cell r="U1002" t="str">
            <v/>
          </cell>
          <cell r="V1002" t="str">
            <v>N32</v>
          </cell>
          <cell r="W1002" t="str">
            <v/>
          </cell>
          <cell r="X1002" t="str">
            <v/>
          </cell>
          <cell r="Y1002" t="str">
            <v/>
          </cell>
          <cell r="Z1002" t="str">
            <v/>
          </cell>
          <cell r="AA1002" t="str">
            <v/>
          </cell>
          <cell r="AB1002" t="str">
            <v>PA_2003857-MB.3022-3</v>
          </cell>
          <cell r="AC1002">
            <v>1</v>
          </cell>
          <cell r="AD1002" t="str">
            <v/>
          </cell>
          <cell r="AE1002">
            <v>0</v>
          </cell>
          <cell r="AF1002" t="str">
            <v/>
          </cell>
          <cell r="AG1002" t="str">
            <v>5819645</v>
          </cell>
          <cell r="AH1002">
            <v>44918.01421296296</v>
          </cell>
          <cell r="AI1002" t="str">
            <v>N32</v>
          </cell>
          <cell r="AJ1002" t="str">
            <v>F</v>
          </cell>
          <cell r="AK1002" t="str">
            <v>A</v>
          </cell>
        </row>
        <row r="1003">
          <cell r="A1003" t="str">
            <v>5924450820531</v>
          </cell>
          <cell r="B1003" t="str">
            <v>BL20230413-2</v>
          </cell>
          <cell r="C1003" t="e">
            <v>#N/A</v>
          </cell>
          <cell r="D1003" t="str">
            <v>EK65</v>
          </cell>
          <cell r="E1003" t="str">
            <v>692694</v>
          </cell>
          <cell r="F1003" t="str">
            <v>E</v>
          </cell>
          <cell r="G1003" t="str">
            <v>5924450</v>
          </cell>
          <cell r="H1003" t="str">
            <v>HUTBLECH</v>
          </cell>
          <cell r="I1003">
            <v>88</v>
          </cell>
          <cell r="J1003" t="str">
            <v>Stk</v>
          </cell>
          <cell r="K1003">
            <v>45068</v>
          </cell>
          <cell r="L1003" t="str">
            <v>820531</v>
          </cell>
          <cell r="M1003" t="str">
            <v/>
          </cell>
          <cell r="N1003" t="str">
            <v/>
          </cell>
          <cell r="O1003" t="str">
            <v/>
          </cell>
          <cell r="P1003" t="str">
            <v/>
          </cell>
          <cell r="Q1003" t="str">
            <v/>
          </cell>
          <cell r="R1003" t="str">
            <v/>
          </cell>
          <cell r="S1003" t="str">
            <v/>
          </cell>
          <cell r="T1003" t="str">
            <v/>
          </cell>
          <cell r="U1003" t="str">
            <v/>
          </cell>
          <cell r="V1003" t="str">
            <v>N32</v>
          </cell>
          <cell r="W1003" t="str">
            <v/>
          </cell>
          <cell r="X1003" t="str">
            <v/>
          </cell>
          <cell r="Y1003" t="str">
            <v/>
          </cell>
          <cell r="Z1003" t="str">
            <v/>
          </cell>
          <cell r="AA1003" t="str">
            <v/>
          </cell>
          <cell r="AB1003" t="str">
            <v>PA_2032364-MB.3022-4</v>
          </cell>
          <cell r="AC1003">
            <v>1</v>
          </cell>
          <cell r="AD1003" t="str">
            <v/>
          </cell>
          <cell r="AE1003">
            <v>0</v>
          </cell>
          <cell r="AF1003" t="str">
            <v/>
          </cell>
          <cell r="AG1003" t="str">
            <v>5924450</v>
          </cell>
          <cell r="AH1003">
            <v>44918.014490740738</v>
          </cell>
          <cell r="AI1003" t="str">
            <v>N32</v>
          </cell>
          <cell r="AJ1003" t="str">
            <v>F</v>
          </cell>
          <cell r="AK1003" t="str">
            <v/>
          </cell>
        </row>
        <row r="1004">
          <cell r="A1004" t="str">
            <v>1065151</v>
          </cell>
          <cell r="B1004" t="str">
            <v>BL20230413-2</v>
          </cell>
          <cell r="C1004" t="e">
            <v>#N/A</v>
          </cell>
          <cell r="D1004" t="str">
            <v>EK65</v>
          </cell>
          <cell r="E1004" t="str">
            <v>692938</v>
          </cell>
          <cell r="F1004" t="str">
            <v>B</v>
          </cell>
          <cell r="G1004" t="str">
            <v>1065151</v>
          </cell>
          <cell r="H1004" t="str">
            <v>Beilage</v>
          </cell>
          <cell r="I1004">
            <v>50</v>
          </cell>
          <cell r="J1004" t="str">
            <v>Stk</v>
          </cell>
          <cell r="K1004">
            <v>44930</v>
          </cell>
          <cell r="L1004" t="str">
            <v/>
          </cell>
          <cell r="M1004" t="str">
            <v/>
          </cell>
          <cell r="N1004" t="str">
            <v/>
          </cell>
          <cell r="O1004" t="str">
            <v/>
          </cell>
          <cell r="P1004" t="str">
            <v/>
          </cell>
          <cell r="Q1004" t="str">
            <v/>
          </cell>
          <cell r="R1004" t="str">
            <v/>
          </cell>
          <cell r="S1004" t="str">
            <v/>
          </cell>
          <cell r="T1004" t="str">
            <v/>
          </cell>
          <cell r="U1004" t="str">
            <v/>
          </cell>
          <cell r="V1004" t="str">
            <v>N52</v>
          </cell>
          <cell r="W1004" t="str">
            <v/>
          </cell>
          <cell r="X1004" t="str">
            <v/>
          </cell>
          <cell r="Y1004" t="str">
            <v/>
          </cell>
          <cell r="Z1004" t="str">
            <v/>
          </cell>
          <cell r="AA1004" t="str">
            <v/>
          </cell>
          <cell r="AB1004" t="str">
            <v>PA_2255719-QE.7501-4P.1</v>
          </cell>
          <cell r="AC1004">
            <v>1</v>
          </cell>
          <cell r="AD1004" t="str">
            <v/>
          </cell>
          <cell r="AE1004">
            <v>0</v>
          </cell>
          <cell r="AF1004" t="str">
            <v/>
          </cell>
          <cell r="AG1004" t="str">
            <v>1065151</v>
          </cell>
          <cell r="AH1004">
            <v>44928.863726851851</v>
          </cell>
          <cell r="AI1004" t="str">
            <v>N52</v>
          </cell>
          <cell r="AJ1004" t="str">
            <v>F</v>
          </cell>
          <cell r="AK1004" t="str">
            <v/>
          </cell>
        </row>
        <row r="1005">
          <cell r="A1005" t="str">
            <v>1292604</v>
          </cell>
          <cell r="B1005" t="e">
            <v>#N/A</v>
          </cell>
          <cell r="C1005" t="e">
            <v>#N/A</v>
          </cell>
          <cell r="D1005" t="str">
            <v>EK65</v>
          </cell>
          <cell r="E1005" t="str">
            <v>693109</v>
          </cell>
          <cell r="F1005" t="str">
            <v>B</v>
          </cell>
          <cell r="G1005" t="str">
            <v>1292604</v>
          </cell>
          <cell r="H1005" t="str">
            <v>DISTANZBLECH 1MM</v>
          </cell>
          <cell r="I1005">
            <v>200</v>
          </cell>
          <cell r="J1005" t="str">
            <v>Stk</v>
          </cell>
          <cell r="K1005">
            <v>44931</v>
          </cell>
          <cell r="L1005" t="str">
            <v/>
          </cell>
          <cell r="M1005" t="str">
            <v/>
          </cell>
          <cell r="N1005" t="str">
            <v/>
          </cell>
          <cell r="O1005" t="str">
            <v/>
          </cell>
          <cell r="P1005" t="str">
            <v/>
          </cell>
          <cell r="Q1005" t="str">
            <v/>
          </cell>
          <cell r="R1005" t="str">
            <v/>
          </cell>
          <cell r="S1005" t="str">
            <v/>
          </cell>
          <cell r="T1005" t="str">
            <v/>
          </cell>
          <cell r="U1005" t="str">
            <v/>
          </cell>
          <cell r="V1005" t="str">
            <v>N52</v>
          </cell>
          <cell r="W1005" t="str">
            <v/>
          </cell>
          <cell r="X1005" t="str">
            <v/>
          </cell>
          <cell r="Y1005" t="str">
            <v/>
          </cell>
          <cell r="Z1005" t="str">
            <v/>
          </cell>
          <cell r="AA1005" t="str">
            <v/>
          </cell>
          <cell r="AB1005" t="str">
            <v>PA_1172669-CD.4005-4</v>
          </cell>
          <cell r="AC1005">
            <v>4</v>
          </cell>
          <cell r="AD1005" t="str">
            <v/>
          </cell>
          <cell r="AE1005">
            <v>0</v>
          </cell>
          <cell r="AF1005" t="str">
            <v/>
          </cell>
          <cell r="AG1005" t="str">
            <v>1292604</v>
          </cell>
          <cell r="AH1005">
            <v>44929.835335648146</v>
          </cell>
          <cell r="AI1005" t="str">
            <v>N52</v>
          </cell>
          <cell r="AJ1005" t="str">
            <v>F</v>
          </cell>
          <cell r="AK1005" t="str">
            <v/>
          </cell>
        </row>
        <row r="1006">
          <cell r="A1006" t="str">
            <v>0418105</v>
          </cell>
          <cell r="B1006" t="str">
            <v>BL20230412-1</v>
          </cell>
          <cell r="C1006" t="e">
            <v>#N/A</v>
          </cell>
          <cell r="D1006" t="str">
            <v>EK65</v>
          </cell>
          <cell r="E1006" t="str">
            <v>694140</v>
          </cell>
          <cell r="F1006" t="str">
            <v>B</v>
          </cell>
          <cell r="G1006" t="str">
            <v>0418105</v>
          </cell>
          <cell r="H1006" t="str">
            <v>Ausgleichsplatte</v>
          </cell>
          <cell r="I1006">
            <v>10</v>
          </cell>
          <cell r="J1006" t="str">
            <v>Stk</v>
          </cell>
          <cell r="K1006">
            <v>44933</v>
          </cell>
          <cell r="L1006" t="str">
            <v/>
          </cell>
          <cell r="M1006" t="str">
            <v/>
          </cell>
          <cell r="N1006" t="str">
            <v/>
          </cell>
          <cell r="O1006" t="str">
            <v/>
          </cell>
          <cell r="P1006" t="str">
            <v/>
          </cell>
          <cell r="Q1006" t="str">
            <v/>
          </cell>
          <cell r="R1006" t="str">
            <v/>
          </cell>
          <cell r="S1006" t="str">
            <v/>
          </cell>
          <cell r="T1006" t="str">
            <v/>
          </cell>
          <cell r="U1006" t="str">
            <v/>
          </cell>
          <cell r="V1006" t="str">
            <v>N32</v>
          </cell>
          <cell r="W1006" t="str">
            <v/>
          </cell>
          <cell r="X1006" t="str">
            <v/>
          </cell>
          <cell r="Y1006" t="str">
            <v/>
          </cell>
          <cell r="Z1006" t="str">
            <v/>
          </cell>
          <cell r="AA1006" t="str">
            <v/>
          </cell>
          <cell r="AB1006" t="str">
            <v>PA_2186430-BG.7500-3P.3</v>
          </cell>
          <cell r="AC1006">
            <v>4</v>
          </cell>
          <cell r="AD1006" t="str">
            <v/>
          </cell>
          <cell r="AE1006">
            <v>0</v>
          </cell>
          <cell r="AF1006" t="str">
            <v/>
          </cell>
          <cell r="AG1006" t="str">
            <v>0418105</v>
          </cell>
          <cell r="AH1006">
            <v>44931.834016203706</v>
          </cell>
          <cell r="AI1006" t="str">
            <v>N32</v>
          </cell>
          <cell r="AJ1006" t="str">
            <v>F</v>
          </cell>
          <cell r="AK1006" t="str">
            <v>B</v>
          </cell>
        </row>
        <row r="1007">
          <cell r="A1007" t="str">
            <v>0418138</v>
          </cell>
          <cell r="B1007" t="str">
            <v>BL20230412-1</v>
          </cell>
          <cell r="C1007" t="e">
            <v>#N/A</v>
          </cell>
          <cell r="D1007" t="str">
            <v>EK65</v>
          </cell>
          <cell r="E1007" t="str">
            <v>694141</v>
          </cell>
          <cell r="F1007" t="str">
            <v>B</v>
          </cell>
          <cell r="G1007" t="str">
            <v>0418138</v>
          </cell>
          <cell r="H1007" t="str">
            <v>Ausgleichsplatte</v>
          </cell>
          <cell r="I1007">
            <v>15</v>
          </cell>
          <cell r="J1007" t="str">
            <v>Stk</v>
          </cell>
          <cell r="K1007">
            <v>44933</v>
          </cell>
          <cell r="L1007" t="str">
            <v/>
          </cell>
          <cell r="M1007" t="str">
            <v/>
          </cell>
          <cell r="N1007" t="str">
            <v/>
          </cell>
          <cell r="O1007" t="str">
            <v/>
          </cell>
          <cell r="P1007" t="str">
            <v/>
          </cell>
          <cell r="Q1007" t="str">
            <v/>
          </cell>
          <cell r="R1007" t="str">
            <v/>
          </cell>
          <cell r="S1007" t="str">
            <v/>
          </cell>
          <cell r="T1007" t="str">
            <v/>
          </cell>
          <cell r="U1007" t="str">
            <v/>
          </cell>
          <cell r="V1007" t="str">
            <v>N32</v>
          </cell>
          <cell r="W1007" t="str">
            <v/>
          </cell>
          <cell r="X1007" t="str">
            <v/>
          </cell>
          <cell r="Y1007" t="str">
            <v/>
          </cell>
          <cell r="Z1007" t="str">
            <v/>
          </cell>
          <cell r="AA1007" t="str">
            <v/>
          </cell>
          <cell r="AB1007" t="str">
            <v>PA_2186430-BG.7500-3P.5</v>
          </cell>
          <cell r="AC1007">
            <v>4</v>
          </cell>
          <cell r="AD1007" t="str">
            <v/>
          </cell>
          <cell r="AE1007">
            <v>0</v>
          </cell>
          <cell r="AF1007" t="str">
            <v/>
          </cell>
          <cell r="AG1007" t="str">
            <v>0418138</v>
          </cell>
          <cell r="AH1007">
            <v>44931.834016203706</v>
          </cell>
          <cell r="AI1007" t="str">
            <v>N32</v>
          </cell>
          <cell r="AJ1007" t="str">
            <v>F</v>
          </cell>
          <cell r="AK1007" t="str">
            <v>B</v>
          </cell>
        </row>
        <row r="1008">
          <cell r="A1008" t="str">
            <v>12639454</v>
          </cell>
          <cell r="B1008" t="str">
            <v>BL20230413-2</v>
          </cell>
          <cell r="C1008" t="e">
            <v>#N/A</v>
          </cell>
          <cell r="D1008" t="str">
            <v>EK65</v>
          </cell>
          <cell r="E1008" t="str">
            <v>694243</v>
          </cell>
          <cell r="F1008" t="str">
            <v>B</v>
          </cell>
          <cell r="G1008" t="str">
            <v>12639454</v>
          </cell>
          <cell r="H1008" t="str">
            <v>Beilage 1 mm</v>
          </cell>
          <cell r="I1008">
            <v>100</v>
          </cell>
          <cell r="J1008" t="str">
            <v>Stk</v>
          </cell>
          <cell r="K1008">
            <v>44932</v>
          </cell>
          <cell r="L1008" t="str">
            <v/>
          </cell>
          <cell r="M1008" t="str">
            <v/>
          </cell>
          <cell r="N1008" t="str">
            <v/>
          </cell>
          <cell r="O1008" t="str">
            <v/>
          </cell>
          <cell r="P1008" t="str">
            <v/>
          </cell>
          <cell r="Q1008" t="str">
            <v/>
          </cell>
          <cell r="R1008" t="str">
            <v/>
          </cell>
          <cell r="S1008" t="str">
            <v/>
          </cell>
          <cell r="T1008" t="str">
            <v/>
          </cell>
          <cell r="U1008" t="str">
            <v/>
          </cell>
          <cell r="V1008" t="str">
            <v>N52</v>
          </cell>
          <cell r="W1008" t="str">
            <v/>
          </cell>
          <cell r="X1008" t="str">
            <v/>
          </cell>
          <cell r="Y1008" t="str">
            <v/>
          </cell>
          <cell r="Z1008" t="str">
            <v/>
          </cell>
          <cell r="AA1008" t="str">
            <v/>
          </cell>
          <cell r="AB1008" t="str">
            <v>PA_5139833-CD.7005-4</v>
          </cell>
          <cell r="AC1008">
            <v>1</v>
          </cell>
          <cell r="AD1008" t="str">
            <v/>
          </cell>
          <cell r="AE1008">
            <v>0</v>
          </cell>
          <cell r="AF1008" t="str">
            <v/>
          </cell>
          <cell r="AG1008" t="str">
            <v>12639454</v>
          </cell>
          <cell r="AH1008">
            <v>44931.882534722223</v>
          </cell>
          <cell r="AI1008" t="str">
            <v>N52</v>
          </cell>
          <cell r="AJ1008" t="str">
            <v>F</v>
          </cell>
          <cell r="AK1008" t="str">
            <v/>
          </cell>
        </row>
        <row r="1009">
          <cell r="A1009" t="str">
            <v>12639459</v>
          </cell>
          <cell r="B1009" t="str">
            <v>BL20230413-2</v>
          </cell>
          <cell r="C1009" t="e">
            <v>#N/A</v>
          </cell>
          <cell r="D1009" t="str">
            <v>EK65</v>
          </cell>
          <cell r="E1009" t="str">
            <v>694244</v>
          </cell>
          <cell r="F1009" t="str">
            <v>B</v>
          </cell>
          <cell r="G1009" t="str">
            <v>12639459</v>
          </cell>
          <cell r="H1009" t="str">
            <v>Beilage 2 mm</v>
          </cell>
          <cell r="I1009">
            <v>100</v>
          </cell>
          <cell r="J1009" t="str">
            <v>Stk</v>
          </cell>
          <cell r="K1009">
            <v>44932</v>
          </cell>
          <cell r="L1009" t="str">
            <v/>
          </cell>
          <cell r="M1009" t="str">
            <v/>
          </cell>
          <cell r="N1009" t="str">
            <v/>
          </cell>
          <cell r="O1009" t="str">
            <v/>
          </cell>
          <cell r="P1009" t="str">
            <v/>
          </cell>
          <cell r="Q1009" t="str">
            <v/>
          </cell>
          <cell r="R1009" t="str">
            <v/>
          </cell>
          <cell r="S1009" t="str">
            <v/>
          </cell>
          <cell r="T1009" t="str">
            <v/>
          </cell>
          <cell r="U1009" t="str">
            <v/>
          </cell>
          <cell r="V1009" t="str">
            <v>N52</v>
          </cell>
          <cell r="W1009" t="str">
            <v/>
          </cell>
          <cell r="X1009" t="str">
            <v/>
          </cell>
          <cell r="Y1009" t="str">
            <v/>
          </cell>
          <cell r="Z1009" t="str">
            <v/>
          </cell>
          <cell r="AA1009" t="str">
            <v/>
          </cell>
          <cell r="AB1009" t="str">
            <v>PA_5139850-CD.7005-4</v>
          </cell>
          <cell r="AC1009">
            <v>1</v>
          </cell>
          <cell r="AD1009" t="str">
            <v/>
          </cell>
          <cell r="AE1009">
            <v>0</v>
          </cell>
          <cell r="AF1009" t="str">
            <v/>
          </cell>
          <cell r="AG1009" t="str">
            <v>12639459</v>
          </cell>
          <cell r="AH1009">
            <v>44931.882534722223</v>
          </cell>
          <cell r="AI1009" t="str">
            <v>N52</v>
          </cell>
          <cell r="AJ1009" t="str">
            <v>F</v>
          </cell>
          <cell r="AK1009" t="str">
            <v/>
          </cell>
        </row>
        <row r="1010">
          <cell r="A1010" t="str">
            <v>12639461</v>
          </cell>
          <cell r="B1010" t="str">
            <v>BL20230413-2</v>
          </cell>
          <cell r="C1010" t="e">
            <v>#N/A</v>
          </cell>
          <cell r="D1010" t="str">
            <v>EK65</v>
          </cell>
          <cell r="E1010" t="str">
            <v>694245</v>
          </cell>
          <cell r="F1010" t="str">
            <v>B</v>
          </cell>
          <cell r="G1010" t="str">
            <v>12639461</v>
          </cell>
          <cell r="H1010" t="str">
            <v>Beilage 3 mm</v>
          </cell>
          <cell r="I1010">
            <v>100</v>
          </cell>
          <cell r="J1010" t="str">
            <v>Stk</v>
          </cell>
          <cell r="K1010">
            <v>44932</v>
          </cell>
          <cell r="L1010" t="str">
            <v/>
          </cell>
          <cell r="M1010" t="str">
            <v/>
          </cell>
          <cell r="N1010" t="str">
            <v/>
          </cell>
          <cell r="O1010" t="str">
            <v/>
          </cell>
          <cell r="P1010" t="str">
            <v/>
          </cell>
          <cell r="Q1010" t="str">
            <v/>
          </cell>
          <cell r="R1010" t="str">
            <v/>
          </cell>
          <cell r="S1010" t="str">
            <v/>
          </cell>
          <cell r="T1010" t="str">
            <v/>
          </cell>
          <cell r="U1010" t="str">
            <v/>
          </cell>
          <cell r="V1010" t="str">
            <v>N52</v>
          </cell>
          <cell r="W1010" t="str">
            <v/>
          </cell>
          <cell r="X1010" t="str">
            <v/>
          </cell>
          <cell r="Y1010" t="str">
            <v/>
          </cell>
          <cell r="Z1010" t="str">
            <v/>
          </cell>
          <cell r="AA1010" t="str">
            <v/>
          </cell>
          <cell r="AB1010" t="str">
            <v>PA_5139860-CD.7005-4</v>
          </cell>
          <cell r="AC1010">
            <v>1</v>
          </cell>
          <cell r="AD1010" t="str">
            <v/>
          </cell>
          <cell r="AE1010">
            <v>0</v>
          </cell>
          <cell r="AF1010" t="str">
            <v/>
          </cell>
          <cell r="AG1010" t="str">
            <v>12639461</v>
          </cell>
          <cell r="AH1010">
            <v>44931.8825462963</v>
          </cell>
          <cell r="AI1010" t="str">
            <v>N52</v>
          </cell>
          <cell r="AJ1010" t="str">
            <v>F</v>
          </cell>
          <cell r="AK1010" t="str">
            <v/>
          </cell>
        </row>
        <row r="1011">
          <cell r="A1011" t="str">
            <v>1077465820531</v>
          </cell>
          <cell r="B1011" t="str">
            <v>BL20230413-2</v>
          </cell>
          <cell r="C1011" t="e">
            <v>#N/A</v>
          </cell>
          <cell r="D1011" t="str">
            <v>EK65</v>
          </cell>
          <cell r="E1011" t="str">
            <v>694862</v>
          </cell>
          <cell r="F1011" t="str">
            <v>E</v>
          </cell>
          <cell r="G1011" t="str">
            <v>1077465</v>
          </cell>
          <cell r="H1011" t="str">
            <v>Halter</v>
          </cell>
          <cell r="I1011">
            <v>2</v>
          </cell>
          <cell r="J1011" t="str">
            <v>Stk</v>
          </cell>
          <cell r="K1011">
            <v>45208</v>
          </cell>
          <cell r="L1011" t="str">
            <v>820531</v>
          </cell>
          <cell r="M1011" t="str">
            <v/>
          </cell>
          <cell r="N1011" t="str">
            <v/>
          </cell>
          <cell r="O1011" t="str">
            <v/>
          </cell>
          <cell r="P1011" t="str">
            <v/>
          </cell>
          <cell r="Q1011" t="str">
            <v/>
          </cell>
          <cell r="R1011" t="str">
            <v/>
          </cell>
          <cell r="S1011" t="str">
            <v/>
          </cell>
          <cell r="T1011" t="str">
            <v/>
          </cell>
          <cell r="U1011" t="str">
            <v/>
          </cell>
          <cell r="V1011" t="str">
            <v>N52</v>
          </cell>
          <cell r="W1011" t="str">
            <v/>
          </cell>
          <cell r="X1011" t="str">
            <v/>
          </cell>
          <cell r="Y1011" t="str">
            <v/>
          </cell>
          <cell r="Z1011" t="str">
            <v/>
          </cell>
          <cell r="AA1011" t="str">
            <v/>
          </cell>
          <cell r="AB1011" t="str">
            <v>PA_2244338-UA.3044-3</v>
          </cell>
          <cell r="AC1011">
            <v>1</v>
          </cell>
          <cell r="AD1011" t="str">
            <v/>
          </cell>
          <cell r="AE1011">
            <v>0</v>
          </cell>
          <cell r="AF1011" t="str">
            <v/>
          </cell>
          <cell r="AG1011" t="str">
            <v>1077465</v>
          </cell>
          <cell r="AH1011">
            <v>44932.867314814815</v>
          </cell>
          <cell r="AI1011" t="str">
            <v>N52</v>
          </cell>
          <cell r="AJ1011" t="str">
            <v>F</v>
          </cell>
          <cell r="AK1011" t="str">
            <v/>
          </cell>
        </row>
        <row r="1012">
          <cell r="A1012" t="str">
            <v>12542476829054</v>
          </cell>
          <cell r="B1012" t="e">
            <v>#N/A</v>
          </cell>
          <cell r="C1012" t="e">
            <v>#N/A</v>
          </cell>
          <cell r="D1012" t="str">
            <v>EK65</v>
          </cell>
          <cell r="E1012" t="str">
            <v>694895</v>
          </cell>
          <cell r="F1012" t="str">
            <v>E</v>
          </cell>
          <cell r="G1012" t="str">
            <v>12542476</v>
          </cell>
          <cell r="H1012" t="str">
            <v>U-Profil vollst.</v>
          </cell>
          <cell r="I1012">
            <v>21</v>
          </cell>
          <cell r="J1012" t="str">
            <v>Stk</v>
          </cell>
          <cell r="K1012">
            <v>45273</v>
          </cell>
          <cell r="L1012" t="str">
            <v>829054</v>
          </cell>
          <cell r="M1012" t="str">
            <v/>
          </cell>
          <cell r="N1012" t="str">
            <v/>
          </cell>
          <cell r="O1012" t="str">
            <v/>
          </cell>
          <cell r="P1012" t="str">
            <v/>
          </cell>
          <cell r="Q1012" t="str">
            <v/>
          </cell>
          <cell r="R1012" t="str">
            <v/>
          </cell>
          <cell r="S1012" t="str">
            <v/>
          </cell>
          <cell r="T1012" t="str">
            <v/>
          </cell>
          <cell r="U1012" t="str">
            <v/>
          </cell>
          <cell r="V1012" t="str">
            <v>N38</v>
          </cell>
          <cell r="W1012" t="str">
            <v/>
          </cell>
          <cell r="X1012" t="str">
            <v/>
          </cell>
          <cell r="Y1012" t="str">
            <v/>
          </cell>
          <cell r="Z1012" t="str">
            <v/>
          </cell>
          <cell r="AA1012" t="str">
            <v/>
          </cell>
          <cell r="AB1012" t="str">
            <v>PA_4656969-UA.7005-3</v>
          </cell>
          <cell r="AC1012">
            <v>1</v>
          </cell>
          <cell r="AD1012" t="str">
            <v/>
          </cell>
          <cell r="AE1012">
            <v>0</v>
          </cell>
          <cell r="AF1012" t="str">
            <v/>
          </cell>
          <cell r="AG1012" t="str">
            <v>12542476</v>
          </cell>
          <cell r="AH1012">
            <v>44932.877615740741</v>
          </cell>
          <cell r="AI1012" t="str">
            <v>N38</v>
          </cell>
          <cell r="AJ1012" t="str">
            <v>F</v>
          </cell>
          <cell r="AK1012" t="str">
            <v/>
          </cell>
        </row>
        <row r="1013">
          <cell r="A1013" t="str">
            <v>12490655829053</v>
          </cell>
          <cell r="B1013">
            <v>0</v>
          </cell>
          <cell r="C1013" t="e">
            <v>#N/A</v>
          </cell>
          <cell r="D1013" t="str">
            <v>EK65</v>
          </cell>
          <cell r="E1013" t="str">
            <v>695302</v>
          </cell>
          <cell r="F1013" t="str">
            <v>E</v>
          </cell>
          <cell r="G1013" t="str">
            <v>12490655</v>
          </cell>
          <cell r="H1013" t="str">
            <v>Halter kpl.</v>
          </cell>
          <cell r="I1013">
            <v>182</v>
          </cell>
          <cell r="J1013" t="str">
            <v>Stk</v>
          </cell>
          <cell r="K1013">
            <v>45212</v>
          </cell>
          <cell r="L1013" t="str">
            <v>829053</v>
          </cell>
          <cell r="M1013" t="str">
            <v/>
          </cell>
          <cell r="N1013" t="str">
            <v/>
          </cell>
          <cell r="O1013" t="str">
            <v/>
          </cell>
          <cell r="P1013" t="str">
            <v/>
          </cell>
          <cell r="Q1013" t="str">
            <v/>
          </cell>
          <cell r="R1013" t="str">
            <v/>
          </cell>
          <cell r="S1013" t="str">
            <v/>
          </cell>
          <cell r="T1013" t="str">
            <v/>
          </cell>
          <cell r="U1013" t="str">
            <v/>
          </cell>
          <cell r="V1013" t="str">
            <v>N38</v>
          </cell>
          <cell r="W1013" t="str">
            <v/>
          </cell>
          <cell r="X1013" t="str">
            <v/>
          </cell>
          <cell r="Y1013" t="str">
            <v/>
          </cell>
          <cell r="Z1013" t="str">
            <v/>
          </cell>
          <cell r="AA1013" t="str">
            <v/>
          </cell>
          <cell r="AB1013" t="str">
            <v>PA_4364449-KB.7005-4</v>
          </cell>
          <cell r="AC1013">
            <v>1</v>
          </cell>
          <cell r="AD1013" t="str">
            <v/>
          </cell>
          <cell r="AE1013">
            <v>0</v>
          </cell>
          <cell r="AF1013" t="str">
            <v/>
          </cell>
          <cell r="AG1013" t="str">
            <v>12490655</v>
          </cell>
          <cell r="AH1013">
            <v>44935.873692129629</v>
          </cell>
          <cell r="AI1013" t="str">
            <v>N38</v>
          </cell>
          <cell r="AJ1013" t="str">
            <v>F</v>
          </cell>
          <cell r="AK1013" t="str">
            <v/>
          </cell>
        </row>
        <row r="1014">
          <cell r="A1014" t="str">
            <v>12490655829051</v>
          </cell>
          <cell r="B1014" t="str">
            <v>Übergabe Task Force</v>
          </cell>
          <cell r="C1014" t="e">
            <v>#N/A</v>
          </cell>
          <cell r="D1014" t="str">
            <v>EK65</v>
          </cell>
          <cell r="E1014" t="str">
            <v>695303</v>
          </cell>
          <cell r="F1014" t="str">
            <v>E</v>
          </cell>
          <cell r="G1014" t="str">
            <v>12490655</v>
          </cell>
          <cell r="H1014" t="str">
            <v>Halter kpl.</v>
          </cell>
          <cell r="I1014">
            <v>350</v>
          </cell>
          <cell r="J1014" t="str">
            <v>Stk</v>
          </cell>
          <cell r="K1014">
            <v>45317</v>
          </cell>
          <cell r="L1014" t="str">
            <v>829051</v>
          </cell>
          <cell r="M1014" t="str">
            <v/>
          </cell>
          <cell r="N1014" t="str">
            <v/>
          </cell>
          <cell r="O1014" t="str">
            <v/>
          </cell>
          <cell r="P1014" t="str">
            <v/>
          </cell>
          <cell r="Q1014" t="str">
            <v/>
          </cell>
          <cell r="R1014" t="str">
            <v/>
          </cell>
          <cell r="S1014" t="str">
            <v/>
          </cell>
          <cell r="T1014" t="str">
            <v/>
          </cell>
          <cell r="U1014" t="str">
            <v/>
          </cell>
          <cell r="V1014" t="str">
            <v>N38</v>
          </cell>
          <cell r="W1014" t="str">
            <v/>
          </cell>
          <cell r="X1014" t="str">
            <v/>
          </cell>
          <cell r="Y1014" t="str">
            <v/>
          </cell>
          <cell r="Z1014" t="str">
            <v/>
          </cell>
          <cell r="AA1014" t="str">
            <v/>
          </cell>
          <cell r="AB1014" t="str">
            <v>PA_4364449-KB.7005-4</v>
          </cell>
          <cell r="AC1014">
            <v>1</v>
          </cell>
          <cell r="AD1014" t="str">
            <v/>
          </cell>
          <cell r="AE1014">
            <v>0</v>
          </cell>
          <cell r="AF1014" t="str">
            <v/>
          </cell>
          <cell r="AG1014" t="str">
            <v>12490655</v>
          </cell>
          <cell r="AH1014">
            <v>44935.873692129629</v>
          </cell>
          <cell r="AI1014" t="str">
            <v>N38</v>
          </cell>
          <cell r="AJ1014" t="str">
            <v>F</v>
          </cell>
          <cell r="AK1014" t="str">
            <v/>
          </cell>
        </row>
        <row r="1015">
          <cell r="A1015" t="str">
            <v>12490663829053</v>
          </cell>
          <cell r="B1015">
            <v>0</v>
          </cell>
          <cell r="C1015" t="e">
            <v>#N/A</v>
          </cell>
          <cell r="D1015" t="str">
            <v>EK65</v>
          </cell>
          <cell r="E1015" t="str">
            <v>695304</v>
          </cell>
          <cell r="F1015" t="str">
            <v>E</v>
          </cell>
          <cell r="G1015" t="str">
            <v>12490663</v>
          </cell>
          <cell r="H1015" t="str">
            <v>Halter unten kpl.</v>
          </cell>
          <cell r="I1015">
            <v>89</v>
          </cell>
          <cell r="J1015" t="str">
            <v>Stk</v>
          </cell>
          <cell r="K1015">
            <v>45212</v>
          </cell>
          <cell r="L1015" t="str">
            <v>829053</v>
          </cell>
          <cell r="M1015" t="str">
            <v/>
          </cell>
          <cell r="N1015" t="str">
            <v/>
          </cell>
          <cell r="O1015" t="str">
            <v/>
          </cell>
          <cell r="P1015" t="str">
            <v/>
          </cell>
          <cell r="Q1015" t="str">
            <v/>
          </cell>
          <cell r="R1015" t="str">
            <v/>
          </cell>
          <cell r="S1015" t="str">
            <v/>
          </cell>
          <cell r="T1015" t="str">
            <v/>
          </cell>
          <cell r="U1015" t="str">
            <v/>
          </cell>
          <cell r="V1015" t="str">
            <v>N38</v>
          </cell>
          <cell r="W1015" t="str">
            <v/>
          </cell>
          <cell r="X1015" t="str">
            <v/>
          </cell>
          <cell r="Y1015" t="str">
            <v/>
          </cell>
          <cell r="Z1015" t="str">
            <v/>
          </cell>
          <cell r="AA1015" t="str">
            <v/>
          </cell>
          <cell r="AB1015" t="str">
            <v>PA_4365039-KB.7005-4</v>
          </cell>
          <cell r="AC1015">
            <v>1</v>
          </cell>
          <cell r="AD1015" t="str">
            <v/>
          </cell>
          <cell r="AE1015">
            <v>0</v>
          </cell>
          <cell r="AF1015" t="str">
            <v/>
          </cell>
          <cell r="AG1015" t="str">
            <v>12490663</v>
          </cell>
          <cell r="AH1015">
            <v>44935.873715277776</v>
          </cell>
          <cell r="AI1015" t="str">
            <v>N38</v>
          </cell>
          <cell r="AJ1015" t="str">
            <v>F</v>
          </cell>
          <cell r="AK1015" t="str">
            <v/>
          </cell>
        </row>
        <row r="1016">
          <cell r="A1016" t="str">
            <v>12490663829051</v>
          </cell>
          <cell r="B1016" t="str">
            <v>Übergabe Task Force</v>
          </cell>
          <cell r="C1016" t="e">
            <v>#N/A</v>
          </cell>
          <cell r="D1016" t="str">
            <v>EK65</v>
          </cell>
          <cell r="E1016" t="str">
            <v>695305</v>
          </cell>
          <cell r="F1016" t="str">
            <v>E</v>
          </cell>
          <cell r="G1016" t="str">
            <v>12490663</v>
          </cell>
          <cell r="H1016" t="str">
            <v>Halter unten kpl.</v>
          </cell>
          <cell r="I1016">
            <v>174</v>
          </cell>
          <cell r="J1016" t="str">
            <v>Stk</v>
          </cell>
          <cell r="K1016">
            <v>45317</v>
          </cell>
          <cell r="L1016" t="str">
            <v>829051</v>
          </cell>
          <cell r="M1016" t="str">
            <v/>
          </cell>
          <cell r="N1016" t="str">
            <v/>
          </cell>
          <cell r="O1016" t="str">
            <v/>
          </cell>
          <cell r="P1016" t="str">
            <v/>
          </cell>
          <cell r="Q1016" t="str">
            <v/>
          </cell>
          <cell r="R1016" t="str">
            <v/>
          </cell>
          <cell r="S1016" t="str">
            <v/>
          </cell>
          <cell r="T1016" t="str">
            <v/>
          </cell>
          <cell r="U1016" t="str">
            <v/>
          </cell>
          <cell r="V1016" t="str">
            <v>N38</v>
          </cell>
          <cell r="W1016" t="str">
            <v/>
          </cell>
          <cell r="X1016" t="str">
            <v/>
          </cell>
          <cell r="Y1016" t="str">
            <v/>
          </cell>
          <cell r="Z1016" t="str">
            <v/>
          </cell>
          <cell r="AA1016" t="str">
            <v/>
          </cell>
          <cell r="AB1016" t="str">
            <v>PA_4365039-KB.7005-4</v>
          </cell>
          <cell r="AC1016">
            <v>1</v>
          </cell>
          <cell r="AD1016" t="str">
            <v/>
          </cell>
          <cell r="AE1016">
            <v>0</v>
          </cell>
          <cell r="AF1016" t="str">
            <v/>
          </cell>
          <cell r="AG1016" t="str">
            <v>12490663</v>
          </cell>
          <cell r="AH1016">
            <v>44935.873715277776</v>
          </cell>
          <cell r="AI1016" t="str">
            <v>N38</v>
          </cell>
          <cell r="AJ1016" t="str">
            <v>F</v>
          </cell>
          <cell r="AK1016" t="str">
            <v/>
          </cell>
        </row>
        <row r="1017">
          <cell r="A1017" t="str">
            <v>12510577829051</v>
          </cell>
          <cell r="B1017" t="str">
            <v>Übergabe Task Force</v>
          </cell>
          <cell r="C1017">
            <v>20</v>
          </cell>
          <cell r="D1017" t="str">
            <v>EK65</v>
          </cell>
          <cell r="E1017" t="str">
            <v>695804</v>
          </cell>
          <cell r="F1017" t="str">
            <v>E</v>
          </cell>
          <cell r="G1017" t="str">
            <v>12510577</v>
          </cell>
          <cell r="H1017" t="str">
            <v>JK-Dehnhuelse ID 10,5  AD 30  H34</v>
          </cell>
          <cell r="I1017">
            <v>4356</v>
          </cell>
          <cell r="J1017" t="str">
            <v>Stk</v>
          </cell>
          <cell r="K1017">
            <v>45321</v>
          </cell>
          <cell r="L1017" t="str">
            <v>829051</v>
          </cell>
          <cell r="M1017" t="str">
            <v/>
          </cell>
          <cell r="N1017" t="str">
            <v/>
          </cell>
          <cell r="O1017" t="str">
            <v/>
          </cell>
          <cell r="P1017" t="str">
            <v/>
          </cell>
          <cell r="Q1017" t="str">
            <v/>
          </cell>
          <cell r="R1017" t="str">
            <v/>
          </cell>
          <cell r="S1017" t="str">
            <v/>
          </cell>
          <cell r="T1017" t="str">
            <v/>
          </cell>
          <cell r="U1017" t="str">
            <v/>
          </cell>
          <cell r="V1017" t="str">
            <v>N52</v>
          </cell>
          <cell r="W1017" t="str">
            <v/>
          </cell>
          <cell r="X1017" t="str">
            <v/>
          </cell>
          <cell r="Y1017" t="str">
            <v/>
          </cell>
          <cell r="Z1017" t="str">
            <v/>
          </cell>
          <cell r="AA1017" t="str">
            <v/>
          </cell>
          <cell r="AB1017" t="str">
            <v>PA_2335415-NB.7005-4</v>
          </cell>
          <cell r="AC1017">
            <v>4</v>
          </cell>
          <cell r="AD1017" t="str">
            <v/>
          </cell>
          <cell r="AE1017">
            <v>0</v>
          </cell>
          <cell r="AF1017" t="str">
            <v/>
          </cell>
          <cell r="AG1017" t="str">
            <v>12510577</v>
          </cell>
          <cell r="AH1017">
            <v>44936.406956018516</v>
          </cell>
          <cell r="AI1017" t="str">
            <v>N52</v>
          </cell>
          <cell r="AJ1017" t="str">
            <v>F</v>
          </cell>
          <cell r="AK1017" t="str">
            <v/>
          </cell>
        </row>
        <row r="1018">
          <cell r="A1018" t="str">
            <v>12538293829053</v>
          </cell>
          <cell r="B1018">
            <v>0</v>
          </cell>
          <cell r="C1018">
            <v>3</v>
          </cell>
          <cell r="D1018" t="str">
            <v>EK65</v>
          </cell>
          <cell r="E1018" t="str">
            <v>695812</v>
          </cell>
          <cell r="F1018" t="str">
            <v>E</v>
          </cell>
          <cell r="G1018" t="str">
            <v>12538293</v>
          </cell>
          <cell r="H1018" t="str">
            <v>Klemmbuchse ID8,4 AD25 H20</v>
          </cell>
          <cell r="I1018">
            <v>416</v>
          </cell>
          <cell r="J1018" t="str">
            <v>Stk</v>
          </cell>
          <cell r="K1018">
            <v>45204</v>
          </cell>
          <cell r="L1018" t="str">
            <v>829053</v>
          </cell>
          <cell r="M1018" t="str">
            <v/>
          </cell>
          <cell r="N1018" t="str">
            <v/>
          </cell>
          <cell r="O1018" t="str">
            <v/>
          </cell>
          <cell r="P1018" t="str">
            <v/>
          </cell>
          <cell r="Q1018" t="str">
            <v/>
          </cell>
          <cell r="R1018" t="str">
            <v/>
          </cell>
          <cell r="S1018" t="str">
            <v/>
          </cell>
          <cell r="T1018" t="str">
            <v/>
          </cell>
          <cell r="U1018" t="str">
            <v/>
          </cell>
          <cell r="V1018" t="str">
            <v>N52</v>
          </cell>
          <cell r="W1018" t="str">
            <v/>
          </cell>
          <cell r="X1018" t="str">
            <v/>
          </cell>
          <cell r="Y1018" t="str">
            <v/>
          </cell>
          <cell r="Z1018" t="str">
            <v/>
          </cell>
          <cell r="AA1018" t="str">
            <v/>
          </cell>
          <cell r="AB1018" t="str">
            <v>PA_4634553-CD.7005-4</v>
          </cell>
          <cell r="AC1018">
            <v>1</v>
          </cell>
          <cell r="AD1018" t="str">
            <v/>
          </cell>
          <cell r="AE1018">
            <v>0</v>
          </cell>
          <cell r="AF1018" t="str">
            <v/>
          </cell>
          <cell r="AG1018" t="str">
            <v>12538293</v>
          </cell>
          <cell r="AH1018">
            <v>44936.701249999998</v>
          </cell>
          <cell r="AI1018" t="str">
            <v>N52</v>
          </cell>
          <cell r="AJ1018" t="str">
            <v>F</v>
          </cell>
          <cell r="AK1018" t="str">
            <v/>
          </cell>
        </row>
        <row r="1019">
          <cell r="A1019" t="str">
            <v>0418105</v>
          </cell>
          <cell r="B1019" t="str">
            <v>BL20230412-1</v>
          </cell>
          <cell r="C1019" t="e">
            <v>#N/A</v>
          </cell>
          <cell r="D1019" t="str">
            <v>EK65</v>
          </cell>
          <cell r="E1019" t="str">
            <v>695845</v>
          </cell>
          <cell r="F1019" t="str">
            <v>B</v>
          </cell>
          <cell r="G1019" t="str">
            <v>0418105</v>
          </cell>
          <cell r="H1019" t="str">
            <v>Ausgleichsplatte</v>
          </cell>
          <cell r="I1019">
            <v>10</v>
          </cell>
          <cell r="J1019" t="str">
            <v>Stk</v>
          </cell>
          <cell r="K1019">
            <v>44938</v>
          </cell>
          <cell r="L1019" t="str">
            <v/>
          </cell>
          <cell r="M1019" t="str">
            <v/>
          </cell>
          <cell r="N1019" t="str">
            <v/>
          </cell>
          <cell r="O1019" t="str">
            <v/>
          </cell>
          <cell r="P1019" t="str">
            <v/>
          </cell>
          <cell r="Q1019" t="str">
            <v/>
          </cell>
          <cell r="R1019" t="str">
            <v/>
          </cell>
          <cell r="S1019" t="str">
            <v/>
          </cell>
          <cell r="T1019" t="str">
            <v/>
          </cell>
          <cell r="U1019" t="str">
            <v/>
          </cell>
          <cell r="V1019" t="str">
            <v>N32</v>
          </cell>
          <cell r="W1019" t="str">
            <v/>
          </cell>
          <cell r="X1019" t="str">
            <v/>
          </cell>
          <cell r="Y1019" t="str">
            <v/>
          </cell>
          <cell r="Z1019" t="str">
            <v/>
          </cell>
          <cell r="AA1019" t="str">
            <v/>
          </cell>
          <cell r="AB1019" t="str">
            <v>PA_2186430-BG.7500-3P.3</v>
          </cell>
          <cell r="AC1019">
            <v>4</v>
          </cell>
          <cell r="AD1019" t="str">
            <v/>
          </cell>
          <cell r="AE1019">
            <v>0</v>
          </cell>
          <cell r="AF1019" t="str">
            <v/>
          </cell>
          <cell r="AG1019" t="str">
            <v>0418105</v>
          </cell>
          <cell r="AH1019">
            <v>44936.834004629629</v>
          </cell>
          <cell r="AI1019" t="str">
            <v>N32</v>
          </cell>
          <cell r="AJ1019" t="str">
            <v>F</v>
          </cell>
          <cell r="AK1019" t="str">
            <v>B</v>
          </cell>
        </row>
        <row r="1020">
          <cell r="A1020" t="str">
            <v>0530058</v>
          </cell>
          <cell r="B1020" t="str">
            <v>BL20230413-2</v>
          </cell>
          <cell r="C1020" t="e">
            <v>#N/A</v>
          </cell>
          <cell r="D1020" t="str">
            <v>EK65</v>
          </cell>
          <cell r="E1020" t="str">
            <v>696071</v>
          </cell>
          <cell r="F1020" t="str">
            <v>B</v>
          </cell>
          <cell r="G1020" t="str">
            <v>0530058</v>
          </cell>
          <cell r="H1020" t="str">
            <v>Huelse Haltestange</v>
          </cell>
          <cell r="I1020">
            <v>20</v>
          </cell>
          <cell r="J1020" t="str">
            <v>Stk</v>
          </cell>
          <cell r="K1020">
            <v>44937</v>
          </cell>
          <cell r="L1020" t="str">
            <v/>
          </cell>
          <cell r="M1020" t="str">
            <v/>
          </cell>
          <cell r="N1020" t="str">
            <v/>
          </cell>
          <cell r="O1020" t="str">
            <v/>
          </cell>
          <cell r="P1020" t="str">
            <v/>
          </cell>
          <cell r="Q1020" t="str">
            <v/>
          </cell>
          <cell r="R1020" t="str">
            <v/>
          </cell>
          <cell r="S1020" t="str">
            <v/>
          </cell>
          <cell r="T1020" t="str">
            <v/>
          </cell>
          <cell r="U1020" t="str">
            <v/>
          </cell>
          <cell r="V1020" t="str">
            <v>N37</v>
          </cell>
          <cell r="W1020" t="str">
            <v/>
          </cell>
          <cell r="X1020" t="str">
            <v/>
          </cell>
          <cell r="Y1020" t="str">
            <v/>
          </cell>
          <cell r="Z1020" t="str">
            <v/>
          </cell>
          <cell r="AA1020" t="str">
            <v/>
          </cell>
          <cell r="AB1020" t="str">
            <v>PA_2170089-UA.3031-3</v>
          </cell>
          <cell r="AC1020">
            <v>1</v>
          </cell>
          <cell r="AD1020" t="str">
            <v/>
          </cell>
          <cell r="AE1020">
            <v>0</v>
          </cell>
          <cell r="AF1020" t="str">
            <v/>
          </cell>
          <cell r="AG1020" t="str">
            <v>0530058</v>
          </cell>
          <cell r="AH1020">
            <v>44936.866689814815</v>
          </cell>
          <cell r="AI1020" t="str">
            <v>N37</v>
          </cell>
          <cell r="AJ1020" t="str">
            <v>F</v>
          </cell>
          <cell r="AK1020" t="str">
            <v/>
          </cell>
        </row>
        <row r="1021">
          <cell r="A1021" t="str">
            <v>0735999</v>
          </cell>
          <cell r="B1021" t="str">
            <v>BL20230413-2</v>
          </cell>
          <cell r="C1021" t="e">
            <v>#N/A</v>
          </cell>
          <cell r="D1021" t="str">
            <v>EK65</v>
          </cell>
          <cell r="E1021" t="str">
            <v>697116</v>
          </cell>
          <cell r="F1021" t="str">
            <v>B</v>
          </cell>
          <cell r="G1021" t="str">
            <v>0735999</v>
          </cell>
          <cell r="H1021" t="str">
            <v>Dehnhuelse 37mm M12</v>
          </cell>
          <cell r="I1021">
            <v>183</v>
          </cell>
          <cell r="J1021" t="str">
            <v>Stk</v>
          </cell>
          <cell r="K1021">
            <v>44939</v>
          </cell>
          <cell r="L1021" t="str">
            <v/>
          </cell>
          <cell r="M1021" t="str">
            <v/>
          </cell>
          <cell r="N1021" t="str">
            <v/>
          </cell>
          <cell r="O1021" t="str">
            <v/>
          </cell>
          <cell r="P1021" t="str">
            <v/>
          </cell>
          <cell r="Q1021" t="str">
            <v/>
          </cell>
          <cell r="R1021" t="str">
            <v/>
          </cell>
          <cell r="S1021" t="str">
            <v/>
          </cell>
          <cell r="T1021" t="str">
            <v/>
          </cell>
          <cell r="U1021" t="str">
            <v/>
          </cell>
          <cell r="V1021" t="str">
            <v>N52</v>
          </cell>
          <cell r="W1021" t="str">
            <v/>
          </cell>
          <cell r="X1021" t="str">
            <v/>
          </cell>
          <cell r="Y1021" t="str">
            <v/>
          </cell>
          <cell r="Z1021" t="str">
            <v/>
          </cell>
          <cell r="AA1021" t="str">
            <v/>
          </cell>
          <cell r="AB1021" t="str">
            <v>PA_2177839-TB.7500-4</v>
          </cell>
          <cell r="AC1021">
            <v>4</v>
          </cell>
          <cell r="AD1021" t="str">
            <v/>
          </cell>
          <cell r="AE1021">
            <v>0</v>
          </cell>
          <cell r="AF1021" t="str">
            <v/>
          </cell>
          <cell r="AG1021" t="str">
            <v>0735999</v>
          </cell>
          <cell r="AH1021">
            <v>44937.834594907406</v>
          </cell>
          <cell r="AI1021" t="str">
            <v>N52</v>
          </cell>
          <cell r="AJ1021" t="str">
            <v>F</v>
          </cell>
          <cell r="AK1021" t="str">
            <v/>
          </cell>
        </row>
        <row r="1022">
          <cell r="A1022" t="str">
            <v>12503858829053</v>
          </cell>
          <cell r="B1022">
            <v>0</v>
          </cell>
          <cell r="C1022" t="e">
            <v>#N/A</v>
          </cell>
          <cell r="D1022" t="str">
            <v>EK65</v>
          </cell>
          <cell r="E1022" t="str">
            <v>697156</v>
          </cell>
          <cell r="F1022" t="str">
            <v>E</v>
          </cell>
          <cell r="G1022" t="str">
            <v>12503858</v>
          </cell>
          <cell r="H1022" t="str">
            <v>Winkel sp.g.</v>
          </cell>
          <cell r="I1022">
            <v>50</v>
          </cell>
          <cell r="J1022" t="str">
            <v>Stk</v>
          </cell>
          <cell r="K1022">
            <v>45218</v>
          </cell>
          <cell r="L1022" t="str">
            <v>829053</v>
          </cell>
          <cell r="M1022" t="str">
            <v/>
          </cell>
          <cell r="N1022" t="str">
            <v/>
          </cell>
          <cell r="O1022" t="str">
            <v/>
          </cell>
          <cell r="P1022" t="str">
            <v/>
          </cell>
          <cell r="Q1022" t="str">
            <v/>
          </cell>
          <cell r="R1022" t="str">
            <v/>
          </cell>
          <cell r="S1022" t="str">
            <v/>
          </cell>
          <cell r="T1022" t="str">
            <v/>
          </cell>
          <cell r="U1022" t="str">
            <v/>
          </cell>
          <cell r="V1022" t="str">
            <v>N20</v>
          </cell>
          <cell r="W1022" t="str">
            <v/>
          </cell>
          <cell r="X1022" t="str">
            <v/>
          </cell>
          <cell r="Y1022" t="str">
            <v/>
          </cell>
          <cell r="Z1022" t="str">
            <v/>
          </cell>
          <cell r="AA1022" t="str">
            <v/>
          </cell>
          <cell r="AB1022" t="str">
            <v>PA_4342667-CD.7005-3</v>
          </cell>
          <cell r="AC1022">
            <v>1</v>
          </cell>
          <cell r="AD1022" t="str">
            <v/>
          </cell>
          <cell r="AE1022">
            <v>0</v>
          </cell>
          <cell r="AF1022" t="str">
            <v/>
          </cell>
          <cell r="AG1022" t="str">
            <v>12503858</v>
          </cell>
          <cell r="AH1022">
            <v>44937.890879629631</v>
          </cell>
          <cell r="AI1022" t="str">
            <v>N20</v>
          </cell>
          <cell r="AJ1022" t="str">
            <v>F</v>
          </cell>
          <cell r="AK1022" t="str">
            <v/>
          </cell>
        </row>
        <row r="1023">
          <cell r="A1023" t="str">
            <v>12503858829054</v>
          </cell>
          <cell r="B1023" t="str">
            <v>BL20230413-2</v>
          </cell>
          <cell r="C1023" t="e">
            <v>#N/A</v>
          </cell>
          <cell r="D1023" t="str">
            <v>EK65</v>
          </cell>
          <cell r="E1023" t="str">
            <v>697157</v>
          </cell>
          <cell r="F1023" t="str">
            <v>E</v>
          </cell>
          <cell r="G1023" t="str">
            <v>12503858</v>
          </cell>
          <cell r="H1023" t="str">
            <v>Winkel sp.g.</v>
          </cell>
          <cell r="I1023">
            <v>33</v>
          </cell>
          <cell r="J1023" t="str">
            <v>Stk</v>
          </cell>
          <cell r="K1023">
            <v>45223</v>
          </cell>
          <cell r="L1023" t="str">
            <v>829054</v>
          </cell>
          <cell r="M1023" t="str">
            <v/>
          </cell>
          <cell r="N1023" t="str">
            <v/>
          </cell>
          <cell r="O1023" t="str">
            <v/>
          </cell>
          <cell r="P1023" t="str">
            <v/>
          </cell>
          <cell r="Q1023" t="str">
            <v/>
          </cell>
          <cell r="R1023" t="str">
            <v/>
          </cell>
          <cell r="S1023" t="str">
            <v/>
          </cell>
          <cell r="T1023" t="str">
            <v/>
          </cell>
          <cell r="U1023" t="str">
            <v/>
          </cell>
          <cell r="V1023" t="str">
            <v>N20</v>
          </cell>
          <cell r="W1023" t="str">
            <v/>
          </cell>
          <cell r="X1023" t="str">
            <v/>
          </cell>
          <cell r="Y1023" t="str">
            <v/>
          </cell>
          <cell r="Z1023" t="str">
            <v/>
          </cell>
          <cell r="AA1023" t="str">
            <v/>
          </cell>
          <cell r="AB1023" t="str">
            <v>PA_4342667-CD.7005-3</v>
          </cell>
          <cell r="AC1023">
            <v>1</v>
          </cell>
          <cell r="AD1023" t="str">
            <v/>
          </cell>
          <cell r="AE1023">
            <v>0</v>
          </cell>
          <cell r="AF1023" t="str">
            <v/>
          </cell>
          <cell r="AG1023" t="str">
            <v>12503858</v>
          </cell>
          <cell r="AH1023">
            <v>44937.890879629631</v>
          </cell>
          <cell r="AI1023" t="str">
            <v>N20</v>
          </cell>
          <cell r="AJ1023" t="str">
            <v>F</v>
          </cell>
          <cell r="AK1023" t="str">
            <v/>
          </cell>
        </row>
        <row r="1024">
          <cell r="A1024" t="str">
            <v>12506734829053</v>
          </cell>
          <cell r="B1024">
            <v>0</v>
          </cell>
          <cell r="C1024" t="e">
            <v>#N/A</v>
          </cell>
          <cell r="D1024" t="str">
            <v>EK65</v>
          </cell>
          <cell r="E1024" t="str">
            <v>697159</v>
          </cell>
          <cell r="F1024" t="str">
            <v>E</v>
          </cell>
          <cell r="G1024" t="str">
            <v>12506734</v>
          </cell>
          <cell r="H1024" t="str">
            <v>Halter vollst.</v>
          </cell>
          <cell r="I1024">
            <v>153</v>
          </cell>
          <cell r="J1024" t="str">
            <v>Stk</v>
          </cell>
          <cell r="K1024">
            <v>45211</v>
          </cell>
          <cell r="L1024" t="str">
            <v>829053</v>
          </cell>
          <cell r="M1024" t="str">
            <v/>
          </cell>
          <cell r="N1024" t="str">
            <v/>
          </cell>
          <cell r="O1024" t="str">
            <v/>
          </cell>
          <cell r="P1024" t="str">
            <v/>
          </cell>
          <cell r="Q1024" t="str">
            <v/>
          </cell>
          <cell r="R1024" t="str">
            <v/>
          </cell>
          <cell r="S1024" t="str">
            <v/>
          </cell>
          <cell r="T1024" t="str">
            <v/>
          </cell>
          <cell r="U1024" t="str">
            <v/>
          </cell>
          <cell r="V1024" t="str">
            <v>N38</v>
          </cell>
          <cell r="W1024" t="str">
            <v/>
          </cell>
          <cell r="X1024" t="str">
            <v/>
          </cell>
          <cell r="Y1024" t="str">
            <v/>
          </cell>
          <cell r="Z1024" t="str">
            <v/>
          </cell>
          <cell r="AA1024" t="str">
            <v/>
          </cell>
          <cell r="AB1024" t="str">
            <v>PA_4295779-DC.7005-3</v>
          </cell>
          <cell r="AC1024">
            <v>1</v>
          </cell>
          <cell r="AD1024" t="str">
            <v/>
          </cell>
          <cell r="AE1024">
            <v>0</v>
          </cell>
          <cell r="AF1024" t="str">
            <v/>
          </cell>
          <cell r="AG1024" t="str">
            <v>12506734</v>
          </cell>
          <cell r="AH1024">
            <v>44937.891423611109</v>
          </cell>
          <cell r="AI1024" t="str">
            <v>N38</v>
          </cell>
          <cell r="AJ1024" t="str">
            <v>F</v>
          </cell>
          <cell r="AK1024" t="str">
            <v>A</v>
          </cell>
        </row>
        <row r="1025">
          <cell r="A1025" t="str">
            <v>12506734829054</v>
          </cell>
          <cell r="B1025" t="str">
            <v>BL20230413-2</v>
          </cell>
          <cell r="C1025" t="e">
            <v>#N/A</v>
          </cell>
          <cell r="D1025" t="str">
            <v>EK65</v>
          </cell>
          <cell r="E1025" t="str">
            <v>697160</v>
          </cell>
          <cell r="F1025" t="str">
            <v>E</v>
          </cell>
          <cell r="G1025" t="str">
            <v>12506734</v>
          </cell>
          <cell r="H1025" t="str">
            <v>Halter vollst.</v>
          </cell>
          <cell r="I1025">
            <v>70</v>
          </cell>
          <cell r="J1025" t="str">
            <v>Stk</v>
          </cell>
          <cell r="K1025">
            <v>45220</v>
          </cell>
          <cell r="L1025" t="str">
            <v>829054</v>
          </cell>
          <cell r="M1025" t="str">
            <v/>
          </cell>
          <cell r="N1025" t="str">
            <v/>
          </cell>
          <cell r="O1025" t="str">
            <v/>
          </cell>
          <cell r="P1025" t="str">
            <v/>
          </cell>
          <cell r="Q1025" t="str">
            <v/>
          </cell>
          <cell r="R1025" t="str">
            <v/>
          </cell>
          <cell r="S1025" t="str">
            <v/>
          </cell>
          <cell r="T1025" t="str">
            <v/>
          </cell>
          <cell r="U1025" t="str">
            <v/>
          </cell>
          <cell r="V1025" t="str">
            <v>N38</v>
          </cell>
          <cell r="W1025" t="str">
            <v/>
          </cell>
          <cell r="X1025" t="str">
            <v/>
          </cell>
          <cell r="Y1025" t="str">
            <v/>
          </cell>
          <cell r="Z1025" t="str">
            <v/>
          </cell>
          <cell r="AA1025" t="str">
            <v/>
          </cell>
          <cell r="AB1025" t="str">
            <v>PA_4295779-DC.7005-3</v>
          </cell>
          <cell r="AC1025">
            <v>1</v>
          </cell>
          <cell r="AD1025" t="str">
            <v/>
          </cell>
          <cell r="AE1025">
            <v>0</v>
          </cell>
          <cell r="AF1025" t="str">
            <v/>
          </cell>
          <cell r="AG1025" t="str">
            <v>12506734</v>
          </cell>
          <cell r="AH1025">
            <v>44937.891423611109</v>
          </cell>
          <cell r="AI1025" t="str">
            <v>N38</v>
          </cell>
          <cell r="AJ1025" t="str">
            <v>F</v>
          </cell>
          <cell r="AK1025" t="str">
            <v>A</v>
          </cell>
        </row>
        <row r="1026">
          <cell r="A1026" t="str">
            <v>12506796829053</v>
          </cell>
          <cell r="B1026">
            <v>0</v>
          </cell>
          <cell r="C1026" t="e">
            <v>#N/A</v>
          </cell>
          <cell r="D1026" t="str">
            <v>EK65</v>
          </cell>
          <cell r="E1026" t="str">
            <v>697161</v>
          </cell>
          <cell r="F1026" t="str">
            <v>E</v>
          </cell>
          <cell r="G1026" t="str">
            <v>12506796</v>
          </cell>
          <cell r="H1026" t="str">
            <v>Halter vollst.</v>
          </cell>
          <cell r="I1026">
            <v>153</v>
          </cell>
          <cell r="J1026" t="str">
            <v>Stk</v>
          </cell>
          <cell r="K1026">
            <v>45211</v>
          </cell>
          <cell r="L1026" t="str">
            <v>829053</v>
          </cell>
          <cell r="M1026" t="str">
            <v/>
          </cell>
          <cell r="N1026" t="str">
            <v/>
          </cell>
          <cell r="O1026" t="str">
            <v/>
          </cell>
          <cell r="P1026" t="str">
            <v/>
          </cell>
          <cell r="Q1026" t="str">
            <v/>
          </cell>
          <cell r="R1026" t="str">
            <v/>
          </cell>
          <cell r="S1026" t="str">
            <v/>
          </cell>
          <cell r="T1026" t="str">
            <v/>
          </cell>
          <cell r="U1026" t="str">
            <v/>
          </cell>
          <cell r="V1026" t="str">
            <v>N38</v>
          </cell>
          <cell r="W1026" t="str">
            <v/>
          </cell>
          <cell r="X1026" t="str">
            <v/>
          </cell>
          <cell r="Y1026" t="str">
            <v/>
          </cell>
          <cell r="Z1026" t="str">
            <v/>
          </cell>
          <cell r="AA1026" t="str">
            <v/>
          </cell>
          <cell r="AB1026" t="str">
            <v>PA_4295782-DC.7005-3</v>
          </cell>
          <cell r="AC1026">
            <v>1</v>
          </cell>
          <cell r="AD1026" t="str">
            <v/>
          </cell>
          <cell r="AE1026">
            <v>0</v>
          </cell>
          <cell r="AF1026" t="str">
            <v/>
          </cell>
          <cell r="AG1026" t="str">
            <v>12506796</v>
          </cell>
          <cell r="AH1026">
            <v>44937.891469907408</v>
          </cell>
          <cell r="AI1026" t="str">
            <v>N38</v>
          </cell>
          <cell r="AJ1026" t="str">
            <v>F</v>
          </cell>
          <cell r="AK1026" t="str">
            <v>A</v>
          </cell>
        </row>
        <row r="1027">
          <cell r="A1027" t="str">
            <v>12506796829054</v>
          </cell>
          <cell r="B1027" t="str">
            <v>BL20230413-2</v>
          </cell>
          <cell r="C1027" t="e">
            <v>#N/A</v>
          </cell>
          <cell r="D1027" t="str">
            <v>EK65</v>
          </cell>
          <cell r="E1027" t="str">
            <v>697162</v>
          </cell>
          <cell r="F1027" t="str">
            <v>E</v>
          </cell>
          <cell r="G1027" t="str">
            <v>12506796</v>
          </cell>
          <cell r="H1027" t="str">
            <v>Halter vollst.</v>
          </cell>
          <cell r="I1027">
            <v>52</v>
          </cell>
          <cell r="J1027" t="str">
            <v>Stk</v>
          </cell>
          <cell r="K1027">
            <v>45220</v>
          </cell>
          <cell r="L1027" t="str">
            <v>829054</v>
          </cell>
          <cell r="M1027" t="str">
            <v/>
          </cell>
          <cell r="N1027" t="str">
            <v/>
          </cell>
          <cell r="O1027" t="str">
            <v/>
          </cell>
          <cell r="P1027" t="str">
            <v/>
          </cell>
          <cell r="Q1027" t="str">
            <v/>
          </cell>
          <cell r="R1027" t="str">
            <v/>
          </cell>
          <cell r="S1027" t="str">
            <v/>
          </cell>
          <cell r="T1027" t="str">
            <v/>
          </cell>
          <cell r="U1027" t="str">
            <v/>
          </cell>
          <cell r="V1027" t="str">
            <v>N38</v>
          </cell>
          <cell r="W1027" t="str">
            <v/>
          </cell>
          <cell r="X1027" t="str">
            <v/>
          </cell>
          <cell r="Y1027" t="str">
            <v/>
          </cell>
          <cell r="Z1027" t="str">
            <v/>
          </cell>
          <cell r="AA1027" t="str">
            <v/>
          </cell>
          <cell r="AB1027" t="str">
            <v>PA_4295782-DC.7005-3</v>
          </cell>
          <cell r="AC1027">
            <v>1</v>
          </cell>
          <cell r="AD1027" t="str">
            <v/>
          </cell>
          <cell r="AE1027">
            <v>0</v>
          </cell>
          <cell r="AF1027" t="str">
            <v/>
          </cell>
          <cell r="AG1027" t="str">
            <v>12506796</v>
          </cell>
          <cell r="AH1027">
            <v>44937.891469907408</v>
          </cell>
          <cell r="AI1027" t="str">
            <v>N38</v>
          </cell>
          <cell r="AJ1027" t="str">
            <v>F</v>
          </cell>
          <cell r="AK1027" t="str">
            <v>A</v>
          </cell>
        </row>
        <row r="1028">
          <cell r="A1028" t="str">
            <v>12512440829051</v>
          </cell>
          <cell r="B1028" t="str">
            <v>Übergabe Task Force</v>
          </cell>
          <cell r="C1028" t="e">
            <v>#N/A</v>
          </cell>
          <cell r="D1028" t="str">
            <v>EK65</v>
          </cell>
          <cell r="E1028" t="str">
            <v>697164</v>
          </cell>
          <cell r="F1028" t="str">
            <v>E</v>
          </cell>
          <cell r="G1028" t="str">
            <v>12512440</v>
          </cell>
          <cell r="H1028" t="str">
            <v>J-Schwenkhebelkonsole</v>
          </cell>
          <cell r="I1028">
            <v>1008</v>
          </cell>
          <cell r="J1028" t="str">
            <v>Stk</v>
          </cell>
          <cell r="K1028">
            <v>45350</v>
          </cell>
          <cell r="L1028" t="str">
            <v>829051</v>
          </cell>
          <cell r="M1028" t="str">
            <v/>
          </cell>
          <cell r="N1028" t="str">
            <v/>
          </cell>
          <cell r="O1028" t="str">
            <v/>
          </cell>
          <cell r="P1028" t="str">
            <v/>
          </cell>
          <cell r="Q1028" t="str">
            <v/>
          </cell>
          <cell r="R1028" t="str">
            <v/>
          </cell>
          <cell r="S1028" t="str">
            <v/>
          </cell>
          <cell r="T1028" t="str">
            <v/>
          </cell>
          <cell r="U1028" t="str">
            <v/>
          </cell>
          <cell r="V1028" t="str">
            <v>N35</v>
          </cell>
          <cell r="W1028" t="str">
            <v/>
          </cell>
          <cell r="X1028" t="str">
            <v/>
          </cell>
          <cell r="Y1028" t="str">
            <v/>
          </cell>
          <cell r="Z1028" t="str">
            <v/>
          </cell>
          <cell r="AA1028" t="str">
            <v/>
          </cell>
          <cell r="AB1028" t="str">
            <v>PA_4492571-NB.7004-2</v>
          </cell>
          <cell r="AC1028">
            <v>1</v>
          </cell>
          <cell r="AD1028" t="str">
            <v/>
          </cell>
          <cell r="AE1028">
            <v>0</v>
          </cell>
          <cell r="AF1028" t="str">
            <v/>
          </cell>
          <cell r="AG1028" t="str">
            <v>12512440</v>
          </cell>
          <cell r="AH1028">
            <v>44937.893993055557</v>
          </cell>
          <cell r="AI1028" t="str">
            <v>N35</v>
          </cell>
          <cell r="AJ1028" t="str">
            <v>F</v>
          </cell>
          <cell r="AK1028" t="str">
            <v/>
          </cell>
        </row>
        <row r="1029">
          <cell r="A1029" t="str">
            <v>12512440829052</v>
          </cell>
          <cell r="B1029" t="str">
            <v>Übergabe Task Force</v>
          </cell>
          <cell r="C1029" t="e">
            <v>#N/A</v>
          </cell>
          <cell r="D1029" t="str">
            <v>EK65</v>
          </cell>
          <cell r="E1029" t="str">
            <v>697165</v>
          </cell>
          <cell r="F1029" t="str">
            <v>E</v>
          </cell>
          <cell r="G1029" t="str">
            <v>12512440</v>
          </cell>
          <cell r="H1029" t="str">
            <v>J-Schwenkhebelkonsole</v>
          </cell>
          <cell r="I1029">
            <v>337</v>
          </cell>
          <cell r="J1029" t="str">
            <v>Stk</v>
          </cell>
          <cell r="K1029">
            <v>45365</v>
          </cell>
          <cell r="L1029" t="str">
            <v>829052</v>
          </cell>
          <cell r="M1029" t="str">
            <v/>
          </cell>
          <cell r="N1029" t="str">
            <v/>
          </cell>
          <cell r="O1029" t="str">
            <v/>
          </cell>
          <cell r="P1029" t="str">
            <v/>
          </cell>
          <cell r="Q1029" t="str">
            <v/>
          </cell>
          <cell r="R1029" t="str">
            <v/>
          </cell>
          <cell r="S1029" t="str">
            <v/>
          </cell>
          <cell r="T1029" t="str">
            <v/>
          </cell>
          <cell r="U1029" t="str">
            <v/>
          </cell>
          <cell r="V1029" t="str">
            <v>N35</v>
          </cell>
          <cell r="W1029" t="str">
            <v/>
          </cell>
          <cell r="X1029" t="str">
            <v/>
          </cell>
          <cell r="Y1029" t="str">
            <v/>
          </cell>
          <cell r="Z1029" t="str">
            <v/>
          </cell>
          <cell r="AA1029" t="str">
            <v/>
          </cell>
          <cell r="AB1029" t="str">
            <v>PA_4492571-NB.7004-2</v>
          </cell>
          <cell r="AC1029">
            <v>1</v>
          </cell>
          <cell r="AD1029" t="str">
            <v/>
          </cell>
          <cell r="AE1029">
            <v>0</v>
          </cell>
          <cell r="AF1029" t="str">
            <v/>
          </cell>
          <cell r="AG1029" t="str">
            <v>12512440</v>
          </cell>
          <cell r="AH1029">
            <v>44937.893993055557</v>
          </cell>
          <cell r="AI1029" t="str">
            <v>N35</v>
          </cell>
          <cell r="AJ1029" t="str">
            <v>F</v>
          </cell>
          <cell r="AK1029" t="str">
            <v/>
          </cell>
        </row>
        <row r="1030">
          <cell r="A1030" t="str">
            <v>12545672829051</v>
          </cell>
          <cell r="B1030" t="str">
            <v>Übergabe Task Force</v>
          </cell>
          <cell r="C1030" t="e">
            <v>#N/A</v>
          </cell>
          <cell r="D1030" t="str">
            <v>EK65</v>
          </cell>
          <cell r="E1030" t="str">
            <v>697346</v>
          </cell>
          <cell r="F1030" t="str">
            <v>E</v>
          </cell>
          <cell r="G1030" t="str">
            <v>12545672</v>
          </cell>
          <cell r="H1030" t="str">
            <v>Halter vollst. fuer Bremshahn</v>
          </cell>
          <cell r="I1030">
            <v>90</v>
          </cell>
          <cell r="J1030" t="str">
            <v>Stk</v>
          </cell>
          <cell r="K1030">
            <v>45310</v>
          </cell>
          <cell r="L1030" t="str">
            <v>829051</v>
          </cell>
          <cell r="M1030" t="str">
            <v/>
          </cell>
          <cell r="N1030" t="str">
            <v/>
          </cell>
          <cell r="O1030" t="str">
            <v/>
          </cell>
          <cell r="P1030" t="str">
            <v/>
          </cell>
          <cell r="Q1030" t="str">
            <v/>
          </cell>
          <cell r="R1030" t="str">
            <v/>
          </cell>
          <cell r="S1030" t="str">
            <v/>
          </cell>
          <cell r="T1030" t="str">
            <v/>
          </cell>
          <cell r="U1030" t="str">
            <v/>
          </cell>
          <cell r="V1030" t="str">
            <v>N38</v>
          </cell>
          <cell r="W1030" t="str">
            <v/>
          </cell>
          <cell r="X1030" t="str">
            <v/>
          </cell>
          <cell r="Y1030" t="str">
            <v/>
          </cell>
          <cell r="Z1030" t="str">
            <v/>
          </cell>
          <cell r="AA1030" t="str">
            <v/>
          </cell>
          <cell r="AB1030" t="str">
            <v>PA_4449854-QE.7004-3</v>
          </cell>
          <cell r="AC1030">
            <v>1</v>
          </cell>
          <cell r="AD1030" t="str">
            <v/>
          </cell>
          <cell r="AE1030">
            <v>0</v>
          </cell>
          <cell r="AF1030" t="str">
            <v/>
          </cell>
          <cell r="AG1030" t="str">
            <v>12545672</v>
          </cell>
          <cell r="AH1030">
            <v>44937.922546296293</v>
          </cell>
          <cell r="AI1030" t="str">
            <v>N38</v>
          </cell>
          <cell r="AJ1030" t="str">
            <v>F</v>
          </cell>
          <cell r="AK1030" t="str">
            <v/>
          </cell>
        </row>
        <row r="1031">
          <cell r="A1031" t="str">
            <v>12545672829052</v>
          </cell>
          <cell r="B1031" t="str">
            <v>BL20230413-2</v>
          </cell>
          <cell r="C1031" t="e">
            <v>#N/A</v>
          </cell>
          <cell r="D1031" t="str">
            <v>EK65</v>
          </cell>
          <cell r="E1031" t="str">
            <v>697347</v>
          </cell>
          <cell r="F1031" t="str">
            <v>E</v>
          </cell>
          <cell r="G1031" t="str">
            <v>12545672</v>
          </cell>
          <cell r="H1031" t="str">
            <v>Halter vollst. fuer Bremshahn</v>
          </cell>
          <cell r="I1031">
            <v>31</v>
          </cell>
          <cell r="J1031" t="str">
            <v>Stk</v>
          </cell>
          <cell r="K1031">
            <v>45336</v>
          </cell>
          <cell r="L1031" t="str">
            <v>829052</v>
          </cell>
          <cell r="M1031" t="str">
            <v/>
          </cell>
          <cell r="N1031" t="str">
            <v/>
          </cell>
          <cell r="O1031" t="str">
            <v/>
          </cell>
          <cell r="P1031" t="str">
            <v/>
          </cell>
          <cell r="Q1031" t="str">
            <v/>
          </cell>
          <cell r="R1031" t="str">
            <v/>
          </cell>
          <cell r="S1031" t="str">
            <v/>
          </cell>
          <cell r="T1031" t="str">
            <v/>
          </cell>
          <cell r="U1031" t="str">
            <v/>
          </cell>
          <cell r="V1031" t="str">
            <v>N38</v>
          </cell>
          <cell r="W1031" t="str">
            <v/>
          </cell>
          <cell r="X1031" t="str">
            <v/>
          </cell>
          <cell r="Y1031" t="str">
            <v/>
          </cell>
          <cell r="Z1031" t="str">
            <v/>
          </cell>
          <cell r="AA1031" t="str">
            <v/>
          </cell>
          <cell r="AB1031" t="str">
            <v>PA_4449854-QE.7004-3</v>
          </cell>
          <cell r="AC1031">
            <v>1</v>
          </cell>
          <cell r="AD1031" t="str">
            <v/>
          </cell>
          <cell r="AE1031">
            <v>0</v>
          </cell>
          <cell r="AF1031" t="str">
            <v/>
          </cell>
          <cell r="AG1031" t="str">
            <v>12545672</v>
          </cell>
          <cell r="AH1031">
            <v>44937.922546296293</v>
          </cell>
          <cell r="AI1031" t="str">
            <v>N38</v>
          </cell>
          <cell r="AJ1031" t="str">
            <v>F</v>
          </cell>
          <cell r="AK1031" t="str">
            <v/>
          </cell>
        </row>
        <row r="1032">
          <cell r="A1032" t="str">
            <v>12504106829053</v>
          </cell>
          <cell r="B1032" t="str">
            <v>Übergabe Task Force</v>
          </cell>
          <cell r="C1032" t="e">
            <v>#N/A</v>
          </cell>
          <cell r="D1032" t="str">
            <v>EK65</v>
          </cell>
          <cell r="E1032" t="str">
            <v>697449</v>
          </cell>
          <cell r="F1032" t="str">
            <v>E</v>
          </cell>
          <cell r="G1032" t="str">
            <v>12504106</v>
          </cell>
          <cell r="H1032" t="str">
            <v>Halter vollst.</v>
          </cell>
          <cell r="I1032">
            <v>191</v>
          </cell>
          <cell r="J1032" t="str">
            <v>Stk</v>
          </cell>
          <cell r="K1032">
            <v>45294</v>
          </cell>
          <cell r="L1032" t="str">
            <v>829053</v>
          </cell>
          <cell r="M1032" t="str">
            <v/>
          </cell>
          <cell r="N1032" t="str">
            <v/>
          </cell>
          <cell r="O1032" t="str">
            <v/>
          </cell>
          <cell r="P1032" t="str">
            <v/>
          </cell>
          <cell r="Q1032" t="str">
            <v/>
          </cell>
          <cell r="R1032" t="str">
            <v/>
          </cell>
          <cell r="S1032" t="str">
            <v/>
          </cell>
          <cell r="T1032" t="str">
            <v/>
          </cell>
          <cell r="U1032" t="str">
            <v/>
          </cell>
          <cell r="V1032" t="str">
            <v>N38</v>
          </cell>
          <cell r="W1032" t="str">
            <v/>
          </cell>
          <cell r="X1032" t="str">
            <v/>
          </cell>
          <cell r="Y1032" t="str">
            <v/>
          </cell>
          <cell r="Z1032" t="str">
            <v/>
          </cell>
          <cell r="AA1032" t="str">
            <v/>
          </cell>
          <cell r="AB1032" t="str">
            <v>PA_4494596-LD.7005-4</v>
          </cell>
          <cell r="AC1032">
            <v>1</v>
          </cell>
          <cell r="AD1032" t="str">
            <v/>
          </cell>
          <cell r="AE1032">
            <v>0</v>
          </cell>
          <cell r="AF1032" t="str">
            <v/>
          </cell>
          <cell r="AG1032" t="str">
            <v>12504106</v>
          </cell>
          <cell r="AH1032">
            <v>44938.886793981481</v>
          </cell>
          <cell r="AI1032" t="str">
            <v>N38</v>
          </cell>
          <cell r="AJ1032" t="str">
            <v>F</v>
          </cell>
          <cell r="AK1032" t="str">
            <v/>
          </cell>
        </row>
        <row r="1033">
          <cell r="A1033" t="str">
            <v>12504106829054</v>
          </cell>
          <cell r="B1033" t="str">
            <v>BL20230413-2</v>
          </cell>
          <cell r="C1033" t="e">
            <v>#N/A</v>
          </cell>
          <cell r="D1033" t="str">
            <v>EK65</v>
          </cell>
          <cell r="E1033" t="str">
            <v>697450</v>
          </cell>
          <cell r="F1033" t="str">
            <v>E</v>
          </cell>
          <cell r="G1033" t="str">
            <v>12504106</v>
          </cell>
          <cell r="H1033" t="str">
            <v>Halter vollst.</v>
          </cell>
          <cell r="I1033">
            <v>64</v>
          </cell>
          <cell r="J1033" t="str">
            <v>Stk</v>
          </cell>
          <cell r="K1033">
            <v>45295</v>
          </cell>
          <cell r="L1033" t="str">
            <v>829054</v>
          </cell>
          <cell r="M1033" t="str">
            <v/>
          </cell>
          <cell r="N1033" t="str">
            <v/>
          </cell>
          <cell r="O1033" t="str">
            <v/>
          </cell>
          <cell r="P1033" t="str">
            <v/>
          </cell>
          <cell r="Q1033" t="str">
            <v/>
          </cell>
          <cell r="R1033" t="str">
            <v/>
          </cell>
          <cell r="S1033" t="str">
            <v/>
          </cell>
          <cell r="T1033" t="str">
            <v/>
          </cell>
          <cell r="U1033" t="str">
            <v/>
          </cell>
          <cell r="V1033" t="str">
            <v>N38</v>
          </cell>
          <cell r="W1033" t="str">
            <v/>
          </cell>
          <cell r="X1033" t="str">
            <v/>
          </cell>
          <cell r="Y1033" t="str">
            <v/>
          </cell>
          <cell r="Z1033" t="str">
            <v/>
          </cell>
          <cell r="AA1033" t="str">
            <v/>
          </cell>
          <cell r="AB1033" t="str">
            <v>PA_4494596-LD.7005-4</v>
          </cell>
          <cell r="AC1033">
            <v>1</v>
          </cell>
          <cell r="AD1033" t="str">
            <v/>
          </cell>
          <cell r="AE1033">
            <v>0</v>
          </cell>
          <cell r="AF1033" t="str">
            <v/>
          </cell>
          <cell r="AG1033" t="str">
            <v>12504106</v>
          </cell>
          <cell r="AH1033">
            <v>44938.886793981481</v>
          </cell>
          <cell r="AI1033" t="str">
            <v>N38</v>
          </cell>
          <cell r="AJ1033" t="str">
            <v>F</v>
          </cell>
          <cell r="AK1033" t="str">
            <v/>
          </cell>
        </row>
        <row r="1034">
          <cell r="A1034" t="str">
            <v>12504106829051</v>
          </cell>
          <cell r="B1034" t="str">
            <v>BL20230413-2</v>
          </cell>
          <cell r="C1034" t="e">
            <v>#N/A</v>
          </cell>
          <cell r="D1034" t="str">
            <v>EK65</v>
          </cell>
          <cell r="E1034" t="str">
            <v>697451</v>
          </cell>
          <cell r="F1034" t="str">
            <v>E</v>
          </cell>
          <cell r="G1034" t="str">
            <v>12504106</v>
          </cell>
          <cell r="H1034" t="str">
            <v>Halter vollst.</v>
          </cell>
          <cell r="I1034">
            <v>1030</v>
          </cell>
          <cell r="J1034" t="str">
            <v>Stk</v>
          </cell>
          <cell r="K1034">
            <v>45345</v>
          </cell>
          <cell r="L1034" t="str">
            <v>829051</v>
          </cell>
          <cell r="M1034" t="str">
            <v/>
          </cell>
          <cell r="N1034" t="str">
            <v/>
          </cell>
          <cell r="O1034" t="str">
            <v/>
          </cell>
          <cell r="P1034" t="str">
            <v/>
          </cell>
          <cell r="Q1034" t="str">
            <v/>
          </cell>
          <cell r="R1034" t="str">
            <v/>
          </cell>
          <cell r="S1034" t="str">
            <v/>
          </cell>
          <cell r="T1034" t="str">
            <v/>
          </cell>
          <cell r="U1034" t="str">
            <v/>
          </cell>
          <cell r="V1034" t="str">
            <v>N38</v>
          </cell>
          <cell r="W1034" t="str">
            <v/>
          </cell>
          <cell r="X1034" t="str">
            <v/>
          </cell>
          <cell r="Y1034" t="str">
            <v/>
          </cell>
          <cell r="Z1034" t="str">
            <v/>
          </cell>
          <cell r="AA1034" t="str">
            <v/>
          </cell>
          <cell r="AB1034" t="str">
            <v>PA_4494596-LD.7005-4</v>
          </cell>
          <cell r="AC1034">
            <v>1</v>
          </cell>
          <cell r="AD1034" t="str">
            <v/>
          </cell>
          <cell r="AE1034">
            <v>0</v>
          </cell>
          <cell r="AF1034" t="str">
            <v/>
          </cell>
          <cell r="AG1034" t="str">
            <v>12504106</v>
          </cell>
          <cell r="AH1034">
            <v>44938.886793981481</v>
          </cell>
          <cell r="AI1034" t="str">
            <v>N38</v>
          </cell>
          <cell r="AJ1034" t="str">
            <v>F</v>
          </cell>
          <cell r="AK1034" t="str">
            <v/>
          </cell>
        </row>
        <row r="1035">
          <cell r="A1035" t="str">
            <v>12504106829052</v>
          </cell>
          <cell r="B1035" t="str">
            <v>Übergabe Task Force</v>
          </cell>
          <cell r="C1035" t="e">
            <v>#N/A</v>
          </cell>
          <cell r="D1035" t="str">
            <v>EK65</v>
          </cell>
          <cell r="E1035" t="str">
            <v>697452</v>
          </cell>
          <cell r="F1035" t="str">
            <v>E</v>
          </cell>
          <cell r="G1035" t="str">
            <v>12504106</v>
          </cell>
          <cell r="H1035" t="str">
            <v>Halter vollst.</v>
          </cell>
          <cell r="I1035">
            <v>362</v>
          </cell>
          <cell r="J1035" t="str">
            <v>Stk</v>
          </cell>
          <cell r="K1035">
            <v>45357</v>
          </cell>
          <cell r="L1035" t="str">
            <v>829052</v>
          </cell>
          <cell r="M1035" t="str">
            <v/>
          </cell>
          <cell r="N1035" t="str">
            <v/>
          </cell>
          <cell r="O1035" t="str">
            <v/>
          </cell>
          <cell r="P1035" t="str">
            <v/>
          </cell>
          <cell r="Q1035" t="str">
            <v/>
          </cell>
          <cell r="R1035" t="str">
            <v/>
          </cell>
          <cell r="S1035" t="str">
            <v/>
          </cell>
          <cell r="T1035" t="str">
            <v/>
          </cell>
          <cell r="U1035" t="str">
            <v/>
          </cell>
          <cell r="V1035" t="str">
            <v>N38</v>
          </cell>
          <cell r="W1035" t="str">
            <v/>
          </cell>
          <cell r="X1035" t="str">
            <v/>
          </cell>
          <cell r="Y1035" t="str">
            <v/>
          </cell>
          <cell r="Z1035" t="str">
            <v/>
          </cell>
          <cell r="AA1035" t="str">
            <v/>
          </cell>
          <cell r="AB1035" t="str">
            <v>PA_4494596-LD.7005-4</v>
          </cell>
          <cell r="AC1035">
            <v>1</v>
          </cell>
          <cell r="AD1035" t="str">
            <v/>
          </cell>
          <cell r="AE1035">
            <v>0</v>
          </cell>
          <cell r="AF1035" t="str">
            <v/>
          </cell>
          <cell r="AG1035" t="str">
            <v>12504106</v>
          </cell>
          <cell r="AH1035">
            <v>44938.886793981481</v>
          </cell>
          <cell r="AI1035" t="str">
            <v>N38</v>
          </cell>
          <cell r="AJ1035" t="str">
            <v>F</v>
          </cell>
          <cell r="AK1035" t="str">
            <v/>
          </cell>
        </row>
        <row r="1036">
          <cell r="A1036" t="str">
            <v>12506059829053</v>
          </cell>
          <cell r="B1036" t="str">
            <v>Übergabe Task Force</v>
          </cell>
          <cell r="C1036" t="e">
            <v>#N/A</v>
          </cell>
          <cell r="D1036" t="str">
            <v>EK65</v>
          </cell>
          <cell r="E1036" t="str">
            <v>697453</v>
          </cell>
          <cell r="F1036" t="str">
            <v>E</v>
          </cell>
          <cell r="G1036" t="str">
            <v>12506059</v>
          </cell>
          <cell r="H1036" t="str">
            <v>Halter Steckdose</v>
          </cell>
          <cell r="I1036">
            <v>23</v>
          </cell>
          <cell r="J1036" t="str">
            <v>Stk</v>
          </cell>
          <cell r="K1036">
            <v>45114</v>
          </cell>
          <cell r="L1036" t="str">
            <v>829053</v>
          </cell>
          <cell r="M1036" t="str">
            <v/>
          </cell>
          <cell r="N1036" t="str">
            <v/>
          </cell>
          <cell r="O1036" t="str">
            <v/>
          </cell>
          <cell r="P1036" t="str">
            <v/>
          </cell>
          <cell r="Q1036" t="str">
            <v/>
          </cell>
          <cell r="R1036" t="str">
            <v/>
          </cell>
          <cell r="S1036" t="str">
            <v/>
          </cell>
          <cell r="T1036" t="str">
            <v/>
          </cell>
          <cell r="U1036" t="str">
            <v/>
          </cell>
          <cell r="V1036" t="str">
            <v>N38</v>
          </cell>
          <cell r="W1036" t="str">
            <v/>
          </cell>
          <cell r="X1036" t="str">
            <v/>
          </cell>
          <cell r="Y1036" t="str">
            <v/>
          </cell>
          <cell r="Z1036" t="str">
            <v/>
          </cell>
          <cell r="AA1036" t="str">
            <v/>
          </cell>
          <cell r="AB1036" t="str">
            <v>PA_4385637-TA.7005-3</v>
          </cell>
          <cell r="AC1036">
            <v>1</v>
          </cell>
          <cell r="AD1036" t="str">
            <v/>
          </cell>
          <cell r="AE1036">
            <v>0</v>
          </cell>
          <cell r="AF1036" t="str">
            <v/>
          </cell>
          <cell r="AG1036" t="str">
            <v>12506059</v>
          </cell>
          <cell r="AH1036">
            <v>44938.887175925927</v>
          </cell>
          <cell r="AI1036" t="str">
            <v>N38</v>
          </cell>
          <cell r="AJ1036" t="str">
            <v>F</v>
          </cell>
          <cell r="AK1036" t="str">
            <v/>
          </cell>
        </row>
        <row r="1037">
          <cell r="A1037" t="str">
            <v>12511316829053</v>
          </cell>
          <cell r="B1037" t="str">
            <v>Übergabe Task Force</v>
          </cell>
          <cell r="C1037" t="e">
            <v>#N/A</v>
          </cell>
          <cell r="D1037" t="str">
            <v>EK65</v>
          </cell>
          <cell r="E1037" t="str">
            <v>697455</v>
          </cell>
          <cell r="F1037" t="str">
            <v>E</v>
          </cell>
          <cell r="G1037" t="str">
            <v>12511316</v>
          </cell>
          <cell r="H1037" t="str">
            <v>Halter vollst.</v>
          </cell>
          <cell r="I1037">
            <v>21</v>
          </cell>
          <cell r="J1037" t="str">
            <v>Stk</v>
          </cell>
          <cell r="K1037">
            <v>45237</v>
          </cell>
          <cell r="L1037" t="str">
            <v>829053</v>
          </cell>
          <cell r="M1037" t="str">
            <v/>
          </cell>
          <cell r="N1037" t="str">
            <v/>
          </cell>
          <cell r="O1037" t="str">
            <v/>
          </cell>
          <cell r="P1037" t="str">
            <v/>
          </cell>
          <cell r="Q1037" t="str">
            <v/>
          </cell>
          <cell r="R1037" t="str">
            <v/>
          </cell>
          <cell r="S1037" t="str">
            <v/>
          </cell>
          <cell r="T1037" t="str">
            <v/>
          </cell>
          <cell r="U1037" t="str">
            <v/>
          </cell>
          <cell r="V1037" t="str">
            <v>N38</v>
          </cell>
          <cell r="W1037" t="str">
            <v/>
          </cell>
          <cell r="X1037" t="str">
            <v/>
          </cell>
          <cell r="Y1037" t="str">
            <v/>
          </cell>
          <cell r="Z1037" t="str">
            <v/>
          </cell>
          <cell r="AA1037" t="str">
            <v/>
          </cell>
          <cell r="AB1037" t="str">
            <v>PA_4276703-QE.7005-4</v>
          </cell>
          <cell r="AC1037">
            <v>1</v>
          </cell>
          <cell r="AD1037" t="str">
            <v/>
          </cell>
          <cell r="AE1037">
            <v>0</v>
          </cell>
          <cell r="AF1037" t="str">
            <v/>
          </cell>
          <cell r="AG1037" t="str">
            <v>12511316</v>
          </cell>
          <cell r="AH1037">
            <v>44938.888645833336</v>
          </cell>
          <cell r="AI1037" t="str">
            <v>N38</v>
          </cell>
          <cell r="AJ1037" t="str">
            <v>F</v>
          </cell>
          <cell r="AK1037" t="str">
            <v/>
          </cell>
        </row>
        <row r="1038">
          <cell r="A1038" t="str">
            <v>12511316829051</v>
          </cell>
          <cell r="B1038" t="str">
            <v>Übergabe Task Force</v>
          </cell>
          <cell r="C1038" t="e">
            <v>#N/A</v>
          </cell>
          <cell r="D1038" t="str">
            <v>EK65</v>
          </cell>
          <cell r="E1038" t="str">
            <v>697456</v>
          </cell>
          <cell r="F1038" t="str">
            <v>E</v>
          </cell>
          <cell r="G1038" t="str">
            <v>12511316</v>
          </cell>
          <cell r="H1038" t="str">
            <v>Halter vollst.</v>
          </cell>
          <cell r="I1038">
            <v>45</v>
          </cell>
          <cell r="J1038" t="str">
            <v>Stk</v>
          </cell>
          <cell r="K1038">
            <v>45317</v>
          </cell>
          <cell r="L1038" t="str">
            <v>829051</v>
          </cell>
          <cell r="M1038" t="str">
            <v/>
          </cell>
          <cell r="N1038" t="str">
            <v/>
          </cell>
          <cell r="O1038" t="str">
            <v/>
          </cell>
          <cell r="P1038" t="str">
            <v/>
          </cell>
          <cell r="Q1038" t="str">
            <v/>
          </cell>
          <cell r="R1038" t="str">
            <v/>
          </cell>
          <cell r="S1038" t="str">
            <v/>
          </cell>
          <cell r="T1038" t="str">
            <v/>
          </cell>
          <cell r="U1038" t="str">
            <v/>
          </cell>
          <cell r="V1038" t="str">
            <v>N38</v>
          </cell>
          <cell r="W1038" t="str">
            <v/>
          </cell>
          <cell r="X1038" t="str">
            <v/>
          </cell>
          <cell r="Y1038" t="str">
            <v/>
          </cell>
          <cell r="Z1038" t="str">
            <v/>
          </cell>
          <cell r="AA1038" t="str">
            <v/>
          </cell>
          <cell r="AB1038" t="str">
            <v>PA_4276703-QE.7005-4</v>
          </cell>
          <cell r="AC1038">
            <v>1</v>
          </cell>
          <cell r="AD1038" t="str">
            <v/>
          </cell>
          <cell r="AE1038">
            <v>0</v>
          </cell>
          <cell r="AF1038" t="str">
            <v/>
          </cell>
          <cell r="AG1038" t="str">
            <v>12511316</v>
          </cell>
          <cell r="AH1038">
            <v>44938.888645833336</v>
          </cell>
          <cell r="AI1038" t="str">
            <v>N38</v>
          </cell>
          <cell r="AJ1038" t="str">
            <v>F</v>
          </cell>
          <cell r="AK1038" t="str">
            <v/>
          </cell>
        </row>
        <row r="1039">
          <cell r="A1039" t="str">
            <v>12517712829054</v>
          </cell>
          <cell r="B1039" t="str">
            <v>BL20230413-2</v>
          </cell>
          <cell r="C1039" t="e">
            <v>#N/A</v>
          </cell>
          <cell r="D1039" t="str">
            <v>EK65</v>
          </cell>
          <cell r="E1039" t="str">
            <v>697461</v>
          </cell>
          <cell r="F1039" t="str">
            <v>E</v>
          </cell>
          <cell r="G1039" t="str">
            <v>12517712</v>
          </cell>
          <cell r="H1039" t="str">
            <v>Halter vollst.</v>
          </cell>
          <cell r="I1039">
            <v>168</v>
          </cell>
          <cell r="J1039" t="str">
            <v>Stk</v>
          </cell>
          <cell r="K1039">
            <v>45167</v>
          </cell>
          <cell r="L1039" t="str">
            <v>829054</v>
          </cell>
          <cell r="M1039" t="str">
            <v/>
          </cell>
          <cell r="N1039" t="str">
            <v/>
          </cell>
          <cell r="O1039" t="str">
            <v/>
          </cell>
          <cell r="P1039" t="str">
            <v/>
          </cell>
          <cell r="Q1039" t="str">
            <v/>
          </cell>
          <cell r="R1039" t="str">
            <v/>
          </cell>
          <cell r="S1039" t="str">
            <v/>
          </cell>
          <cell r="T1039" t="str">
            <v/>
          </cell>
          <cell r="U1039" t="str">
            <v/>
          </cell>
          <cell r="V1039" t="str">
            <v>N38</v>
          </cell>
          <cell r="W1039" t="str">
            <v/>
          </cell>
          <cell r="X1039" t="str">
            <v/>
          </cell>
          <cell r="Y1039" t="str">
            <v/>
          </cell>
          <cell r="Z1039" t="str">
            <v/>
          </cell>
          <cell r="AA1039" t="str">
            <v/>
          </cell>
          <cell r="AB1039" t="str">
            <v>PA_4462361-UA.7005-3</v>
          </cell>
          <cell r="AC1039">
            <v>1</v>
          </cell>
          <cell r="AD1039" t="str">
            <v/>
          </cell>
          <cell r="AE1039">
            <v>0</v>
          </cell>
          <cell r="AF1039" t="str">
            <v/>
          </cell>
          <cell r="AG1039" t="str">
            <v>12517712</v>
          </cell>
          <cell r="AH1039">
            <v>44938.889710648145</v>
          </cell>
          <cell r="AI1039" t="str">
            <v>N38</v>
          </cell>
          <cell r="AJ1039" t="str">
            <v>F</v>
          </cell>
          <cell r="AK1039" t="str">
            <v/>
          </cell>
        </row>
        <row r="1040">
          <cell r="A1040" t="str">
            <v>12517712829053</v>
          </cell>
          <cell r="B1040" t="str">
            <v>Übergabe Task Force</v>
          </cell>
          <cell r="C1040" t="e">
            <v>#N/A</v>
          </cell>
          <cell r="D1040" t="str">
            <v>EK65</v>
          </cell>
          <cell r="E1040" t="str">
            <v>697462</v>
          </cell>
          <cell r="F1040" t="str">
            <v>E</v>
          </cell>
          <cell r="G1040" t="str">
            <v>12517712</v>
          </cell>
          <cell r="H1040" t="str">
            <v>Halter vollst.</v>
          </cell>
          <cell r="I1040">
            <v>418</v>
          </cell>
          <cell r="J1040" t="str">
            <v>Stk</v>
          </cell>
          <cell r="K1040">
            <v>45192</v>
          </cell>
          <cell r="L1040" t="str">
            <v>829053</v>
          </cell>
          <cell r="M1040" t="str">
            <v/>
          </cell>
          <cell r="N1040" t="str">
            <v/>
          </cell>
          <cell r="O1040" t="str">
            <v/>
          </cell>
          <cell r="P1040" t="str">
            <v/>
          </cell>
          <cell r="Q1040" t="str">
            <v/>
          </cell>
          <cell r="R1040" t="str">
            <v/>
          </cell>
          <cell r="S1040" t="str">
            <v/>
          </cell>
          <cell r="T1040" t="str">
            <v/>
          </cell>
          <cell r="U1040" t="str">
            <v/>
          </cell>
          <cell r="V1040" t="str">
            <v>N38</v>
          </cell>
          <cell r="W1040" t="str">
            <v/>
          </cell>
          <cell r="X1040" t="str">
            <v/>
          </cell>
          <cell r="Y1040" t="str">
            <v/>
          </cell>
          <cell r="Z1040" t="str">
            <v/>
          </cell>
          <cell r="AA1040" t="str">
            <v/>
          </cell>
          <cell r="AB1040" t="str">
            <v>PA_4462361-UA.7005-3</v>
          </cell>
          <cell r="AC1040">
            <v>1</v>
          </cell>
          <cell r="AD1040" t="str">
            <v/>
          </cell>
          <cell r="AE1040">
            <v>0</v>
          </cell>
          <cell r="AF1040" t="str">
            <v/>
          </cell>
          <cell r="AG1040" t="str">
            <v>12517712</v>
          </cell>
          <cell r="AH1040">
            <v>44938.889722222222</v>
          </cell>
          <cell r="AI1040" t="str">
            <v>N38</v>
          </cell>
          <cell r="AJ1040" t="str">
            <v>F</v>
          </cell>
          <cell r="AK1040" t="str">
            <v/>
          </cell>
        </row>
        <row r="1041">
          <cell r="A1041" t="str">
            <v>12517712829051</v>
          </cell>
          <cell r="B1041" t="str">
            <v>Übergabe Task Force</v>
          </cell>
          <cell r="C1041" t="e">
            <v>#N/A</v>
          </cell>
          <cell r="D1041" t="str">
            <v>EK65</v>
          </cell>
          <cell r="E1041" t="str">
            <v>697463</v>
          </cell>
          <cell r="F1041" t="str">
            <v>E</v>
          </cell>
          <cell r="G1041" t="str">
            <v>12517712</v>
          </cell>
          <cell r="H1041" t="str">
            <v>Halter vollst.</v>
          </cell>
          <cell r="I1041">
            <v>720</v>
          </cell>
          <cell r="J1041" t="str">
            <v>Stk</v>
          </cell>
          <cell r="K1041">
            <v>45322</v>
          </cell>
          <cell r="L1041" t="str">
            <v>829051</v>
          </cell>
          <cell r="M1041" t="str">
            <v/>
          </cell>
          <cell r="N1041" t="str">
            <v/>
          </cell>
          <cell r="O1041" t="str">
            <v/>
          </cell>
          <cell r="P1041" t="str">
            <v/>
          </cell>
          <cell r="Q1041" t="str">
            <v/>
          </cell>
          <cell r="R1041" t="str">
            <v/>
          </cell>
          <cell r="S1041" t="str">
            <v/>
          </cell>
          <cell r="T1041" t="str">
            <v/>
          </cell>
          <cell r="U1041" t="str">
            <v/>
          </cell>
          <cell r="V1041" t="str">
            <v>N38</v>
          </cell>
          <cell r="W1041" t="str">
            <v/>
          </cell>
          <cell r="X1041" t="str">
            <v/>
          </cell>
          <cell r="Y1041" t="str">
            <v/>
          </cell>
          <cell r="Z1041" t="str">
            <v/>
          </cell>
          <cell r="AA1041" t="str">
            <v/>
          </cell>
          <cell r="AB1041" t="str">
            <v>PA_4462361-UA.7005-3</v>
          </cell>
          <cell r="AC1041">
            <v>1</v>
          </cell>
          <cell r="AD1041" t="str">
            <v/>
          </cell>
          <cell r="AE1041">
            <v>0</v>
          </cell>
          <cell r="AF1041" t="str">
            <v/>
          </cell>
          <cell r="AG1041" t="str">
            <v>12517712</v>
          </cell>
          <cell r="AH1041">
            <v>44938.889722222222</v>
          </cell>
          <cell r="AI1041" t="str">
            <v>N38</v>
          </cell>
          <cell r="AJ1041" t="str">
            <v>F</v>
          </cell>
          <cell r="AK1041" t="str">
            <v/>
          </cell>
        </row>
        <row r="1042">
          <cell r="A1042" t="str">
            <v>12517712829052</v>
          </cell>
          <cell r="B1042" t="str">
            <v>BL20230413-2</v>
          </cell>
          <cell r="C1042" t="e">
            <v>#N/A</v>
          </cell>
          <cell r="D1042" t="str">
            <v>EK65</v>
          </cell>
          <cell r="E1042" t="str">
            <v>697464</v>
          </cell>
          <cell r="F1042" t="str">
            <v>E</v>
          </cell>
          <cell r="G1042" t="str">
            <v>12517712</v>
          </cell>
          <cell r="H1042" t="str">
            <v>Halter vollst.</v>
          </cell>
          <cell r="I1042">
            <v>250</v>
          </cell>
          <cell r="J1042" t="str">
            <v>Stk</v>
          </cell>
          <cell r="K1042">
            <v>45345</v>
          </cell>
          <cell r="L1042" t="str">
            <v>829052</v>
          </cell>
          <cell r="M1042" t="str">
            <v/>
          </cell>
          <cell r="N1042" t="str">
            <v/>
          </cell>
          <cell r="O1042" t="str">
            <v/>
          </cell>
          <cell r="P1042" t="str">
            <v/>
          </cell>
          <cell r="Q1042" t="str">
            <v/>
          </cell>
          <cell r="R1042" t="str">
            <v/>
          </cell>
          <cell r="S1042" t="str">
            <v/>
          </cell>
          <cell r="T1042" t="str">
            <v/>
          </cell>
          <cell r="U1042" t="str">
            <v/>
          </cell>
          <cell r="V1042" t="str">
            <v>N38</v>
          </cell>
          <cell r="W1042" t="str">
            <v/>
          </cell>
          <cell r="X1042" t="str">
            <v/>
          </cell>
          <cell r="Y1042" t="str">
            <v/>
          </cell>
          <cell r="Z1042" t="str">
            <v/>
          </cell>
          <cell r="AA1042" t="str">
            <v/>
          </cell>
          <cell r="AB1042" t="str">
            <v>PA_4462361-UA.7005-3</v>
          </cell>
          <cell r="AC1042">
            <v>1</v>
          </cell>
          <cell r="AD1042" t="str">
            <v/>
          </cell>
          <cell r="AE1042">
            <v>0</v>
          </cell>
          <cell r="AF1042" t="str">
            <v/>
          </cell>
          <cell r="AG1042" t="str">
            <v>12517712</v>
          </cell>
          <cell r="AH1042">
            <v>44938.889722222222</v>
          </cell>
          <cell r="AI1042" t="str">
            <v>N38</v>
          </cell>
          <cell r="AJ1042" t="str">
            <v>F</v>
          </cell>
          <cell r="AK1042" t="str">
            <v/>
          </cell>
        </row>
        <row r="1043">
          <cell r="A1043" t="str">
            <v>12521091829053</v>
          </cell>
          <cell r="B1043" t="str">
            <v>Übergabe Task Force</v>
          </cell>
          <cell r="C1043" t="e">
            <v>#N/A</v>
          </cell>
          <cell r="D1043" t="str">
            <v>EK65</v>
          </cell>
          <cell r="E1043" t="str">
            <v>697465</v>
          </cell>
          <cell r="F1043" t="str">
            <v>E</v>
          </cell>
          <cell r="G1043" t="str">
            <v>12521091</v>
          </cell>
          <cell r="H1043" t="str">
            <v>Halter vollst.</v>
          </cell>
          <cell r="I1043">
            <v>102</v>
          </cell>
          <cell r="J1043" t="str">
            <v>Stk</v>
          </cell>
          <cell r="K1043">
            <v>45198</v>
          </cell>
          <cell r="L1043" t="str">
            <v>829053</v>
          </cell>
          <cell r="M1043" t="str">
            <v/>
          </cell>
          <cell r="N1043" t="str">
            <v/>
          </cell>
          <cell r="O1043" t="str">
            <v/>
          </cell>
          <cell r="P1043" t="str">
            <v/>
          </cell>
          <cell r="Q1043" t="str">
            <v/>
          </cell>
          <cell r="R1043" t="str">
            <v/>
          </cell>
          <cell r="S1043" t="str">
            <v/>
          </cell>
          <cell r="T1043" t="str">
            <v/>
          </cell>
          <cell r="U1043" t="str">
            <v/>
          </cell>
          <cell r="V1043" t="str">
            <v>N38</v>
          </cell>
          <cell r="W1043" t="str">
            <v/>
          </cell>
          <cell r="X1043" t="str">
            <v/>
          </cell>
          <cell r="Y1043" t="str">
            <v/>
          </cell>
          <cell r="Z1043" t="str">
            <v/>
          </cell>
          <cell r="AA1043" t="str">
            <v/>
          </cell>
          <cell r="AB1043" t="str">
            <v>PA_4412790-UA.7005-4</v>
          </cell>
          <cell r="AC1043">
            <v>1</v>
          </cell>
          <cell r="AD1043" t="str">
            <v/>
          </cell>
          <cell r="AE1043">
            <v>0</v>
          </cell>
          <cell r="AF1043" t="str">
            <v/>
          </cell>
          <cell r="AG1043" t="str">
            <v>12521091</v>
          </cell>
          <cell r="AH1043">
            <v>44938.893101851849</v>
          </cell>
          <cell r="AI1043" t="str">
            <v>N38</v>
          </cell>
          <cell r="AJ1043" t="str">
            <v>F</v>
          </cell>
          <cell r="AK1043" t="str">
            <v/>
          </cell>
        </row>
        <row r="1044">
          <cell r="A1044" t="str">
            <v>12521091829054</v>
          </cell>
          <cell r="B1044" t="str">
            <v>BL20230413-2</v>
          </cell>
          <cell r="C1044" t="e">
            <v>#N/A</v>
          </cell>
          <cell r="D1044" t="str">
            <v>EK65</v>
          </cell>
          <cell r="E1044" t="str">
            <v>697466</v>
          </cell>
          <cell r="F1044" t="str">
            <v>E</v>
          </cell>
          <cell r="G1044" t="str">
            <v>12521091</v>
          </cell>
          <cell r="H1044" t="str">
            <v>Halter vollst.</v>
          </cell>
          <cell r="I1044">
            <v>30</v>
          </cell>
          <cell r="J1044" t="str">
            <v>Stk</v>
          </cell>
          <cell r="K1044">
            <v>45231</v>
          </cell>
          <cell r="L1044" t="str">
            <v>829054</v>
          </cell>
          <cell r="M1044" t="str">
            <v/>
          </cell>
          <cell r="N1044" t="str">
            <v/>
          </cell>
          <cell r="O1044" t="str">
            <v/>
          </cell>
          <cell r="P1044" t="str">
            <v/>
          </cell>
          <cell r="Q1044" t="str">
            <v/>
          </cell>
          <cell r="R1044" t="str">
            <v/>
          </cell>
          <cell r="S1044" t="str">
            <v/>
          </cell>
          <cell r="T1044" t="str">
            <v/>
          </cell>
          <cell r="U1044" t="str">
            <v/>
          </cell>
          <cell r="V1044" t="str">
            <v>N38</v>
          </cell>
          <cell r="W1044" t="str">
            <v/>
          </cell>
          <cell r="X1044" t="str">
            <v/>
          </cell>
          <cell r="Y1044" t="str">
            <v/>
          </cell>
          <cell r="Z1044" t="str">
            <v/>
          </cell>
          <cell r="AA1044" t="str">
            <v/>
          </cell>
          <cell r="AB1044" t="str">
            <v>PA_4412790-UA.7005-4</v>
          </cell>
          <cell r="AC1044">
            <v>1</v>
          </cell>
          <cell r="AD1044" t="str">
            <v/>
          </cell>
          <cell r="AE1044">
            <v>0</v>
          </cell>
          <cell r="AF1044" t="str">
            <v/>
          </cell>
          <cell r="AG1044" t="str">
            <v>12521091</v>
          </cell>
          <cell r="AH1044">
            <v>44938.893101851849</v>
          </cell>
          <cell r="AI1044" t="str">
            <v>N38</v>
          </cell>
          <cell r="AJ1044" t="str">
            <v>F</v>
          </cell>
          <cell r="AK1044" t="str">
            <v/>
          </cell>
        </row>
        <row r="1045">
          <cell r="A1045" t="str">
            <v>12521091829052</v>
          </cell>
          <cell r="B1045" t="str">
            <v>BL20230413-2</v>
          </cell>
          <cell r="C1045" t="e">
            <v>#N/A</v>
          </cell>
          <cell r="D1045" t="str">
            <v>EK65</v>
          </cell>
          <cell r="E1045" t="str">
            <v>697467</v>
          </cell>
          <cell r="F1045" t="str">
            <v>E</v>
          </cell>
          <cell r="G1045" t="str">
            <v>12521091</v>
          </cell>
          <cell r="H1045" t="str">
            <v>Halter vollst.</v>
          </cell>
          <cell r="I1045">
            <v>62</v>
          </cell>
          <cell r="J1045" t="str">
            <v>Stk</v>
          </cell>
          <cell r="K1045">
            <v>45345</v>
          </cell>
          <cell r="L1045" t="str">
            <v>829052</v>
          </cell>
          <cell r="M1045" t="str">
            <v/>
          </cell>
          <cell r="N1045" t="str">
            <v/>
          </cell>
          <cell r="O1045" t="str">
            <v/>
          </cell>
          <cell r="P1045" t="str">
            <v/>
          </cell>
          <cell r="Q1045" t="str">
            <v/>
          </cell>
          <cell r="R1045" t="str">
            <v/>
          </cell>
          <cell r="S1045" t="str">
            <v/>
          </cell>
          <cell r="T1045" t="str">
            <v/>
          </cell>
          <cell r="U1045" t="str">
            <v/>
          </cell>
          <cell r="V1045" t="str">
            <v>N38</v>
          </cell>
          <cell r="W1045" t="str">
            <v/>
          </cell>
          <cell r="X1045" t="str">
            <v/>
          </cell>
          <cell r="Y1045" t="str">
            <v/>
          </cell>
          <cell r="Z1045" t="str">
            <v/>
          </cell>
          <cell r="AA1045" t="str">
            <v/>
          </cell>
          <cell r="AB1045" t="str">
            <v>PA_4412790-UA.7005-4</v>
          </cell>
          <cell r="AC1045">
            <v>1</v>
          </cell>
          <cell r="AD1045" t="str">
            <v/>
          </cell>
          <cell r="AE1045">
            <v>0</v>
          </cell>
          <cell r="AF1045" t="str">
            <v/>
          </cell>
          <cell r="AG1045" t="str">
            <v>12521091</v>
          </cell>
          <cell r="AH1045">
            <v>44938.893101851849</v>
          </cell>
          <cell r="AI1045" t="str">
            <v>N38</v>
          </cell>
          <cell r="AJ1045" t="str">
            <v>F</v>
          </cell>
          <cell r="AK1045" t="str">
            <v/>
          </cell>
        </row>
        <row r="1046">
          <cell r="A1046" t="str">
            <v>12521091829051</v>
          </cell>
          <cell r="B1046" t="str">
            <v>Übergabe Task Force</v>
          </cell>
          <cell r="C1046" t="e">
            <v>#N/A</v>
          </cell>
          <cell r="D1046" t="str">
            <v>EK65</v>
          </cell>
          <cell r="E1046" t="str">
            <v>697468</v>
          </cell>
          <cell r="F1046" t="str">
            <v>E</v>
          </cell>
          <cell r="G1046" t="str">
            <v>12521091</v>
          </cell>
          <cell r="H1046" t="str">
            <v>Halter vollst.</v>
          </cell>
          <cell r="I1046">
            <v>164</v>
          </cell>
          <cell r="J1046" t="str">
            <v>Stk</v>
          </cell>
          <cell r="K1046">
            <v>45356</v>
          </cell>
          <cell r="L1046" t="str">
            <v>829051</v>
          </cell>
          <cell r="M1046" t="str">
            <v/>
          </cell>
          <cell r="N1046" t="str">
            <v/>
          </cell>
          <cell r="O1046" t="str">
            <v/>
          </cell>
          <cell r="P1046" t="str">
            <v/>
          </cell>
          <cell r="Q1046" t="str">
            <v/>
          </cell>
          <cell r="R1046" t="str">
            <v/>
          </cell>
          <cell r="S1046" t="str">
            <v/>
          </cell>
          <cell r="T1046" t="str">
            <v/>
          </cell>
          <cell r="U1046" t="str">
            <v/>
          </cell>
          <cell r="V1046" t="str">
            <v>N38</v>
          </cell>
          <cell r="W1046" t="str">
            <v/>
          </cell>
          <cell r="X1046" t="str">
            <v/>
          </cell>
          <cell r="Y1046" t="str">
            <v/>
          </cell>
          <cell r="Z1046" t="str">
            <v/>
          </cell>
          <cell r="AA1046" t="str">
            <v/>
          </cell>
          <cell r="AB1046" t="str">
            <v>PA_4412790-UA.7005-4</v>
          </cell>
          <cell r="AC1046">
            <v>1</v>
          </cell>
          <cell r="AD1046" t="str">
            <v/>
          </cell>
          <cell r="AE1046">
            <v>0</v>
          </cell>
          <cell r="AF1046" t="str">
            <v/>
          </cell>
          <cell r="AG1046" t="str">
            <v>12521091</v>
          </cell>
          <cell r="AH1046">
            <v>44938.893101851849</v>
          </cell>
          <cell r="AI1046" t="str">
            <v>N38</v>
          </cell>
          <cell r="AJ1046" t="str">
            <v>F</v>
          </cell>
          <cell r="AK1046" t="str">
            <v/>
          </cell>
        </row>
        <row r="1047">
          <cell r="A1047" t="str">
            <v>12527530829053</v>
          </cell>
          <cell r="B1047" t="str">
            <v>Übergabe Task Force</v>
          </cell>
          <cell r="C1047" t="e">
            <v>#N/A</v>
          </cell>
          <cell r="D1047" t="str">
            <v>EK65</v>
          </cell>
          <cell r="E1047" t="str">
            <v>697469</v>
          </cell>
          <cell r="F1047" t="str">
            <v>E</v>
          </cell>
          <cell r="G1047" t="str">
            <v>12527530</v>
          </cell>
          <cell r="H1047" t="str">
            <v>Halter vollst.</v>
          </cell>
          <cell r="I1047">
            <v>77</v>
          </cell>
          <cell r="J1047" t="str">
            <v>Stk</v>
          </cell>
          <cell r="K1047">
            <v>45114</v>
          </cell>
          <cell r="L1047" t="str">
            <v>829053</v>
          </cell>
          <cell r="M1047" t="str">
            <v/>
          </cell>
          <cell r="N1047" t="str">
            <v/>
          </cell>
          <cell r="O1047" t="str">
            <v/>
          </cell>
          <cell r="P1047" t="str">
            <v/>
          </cell>
          <cell r="Q1047" t="str">
            <v/>
          </cell>
          <cell r="R1047" t="str">
            <v/>
          </cell>
          <cell r="S1047" t="str">
            <v/>
          </cell>
          <cell r="T1047" t="str">
            <v/>
          </cell>
          <cell r="U1047" t="str">
            <v/>
          </cell>
          <cell r="V1047" t="str">
            <v>N38</v>
          </cell>
          <cell r="W1047" t="str">
            <v/>
          </cell>
          <cell r="X1047" t="str">
            <v/>
          </cell>
          <cell r="Y1047" t="str">
            <v/>
          </cell>
          <cell r="Z1047" t="str">
            <v/>
          </cell>
          <cell r="AA1047" t="str">
            <v/>
          </cell>
          <cell r="AB1047" t="str">
            <v>PA_4413220-UA.7005-3</v>
          </cell>
          <cell r="AC1047">
            <v>1</v>
          </cell>
          <cell r="AD1047" t="str">
            <v/>
          </cell>
          <cell r="AE1047">
            <v>0</v>
          </cell>
          <cell r="AF1047" t="str">
            <v/>
          </cell>
          <cell r="AG1047" t="str">
            <v>12527530</v>
          </cell>
          <cell r="AH1047">
            <v>44938.893425925926</v>
          </cell>
          <cell r="AI1047" t="str">
            <v>N38</v>
          </cell>
          <cell r="AJ1047" t="str">
            <v>F</v>
          </cell>
          <cell r="AK1047" t="str">
            <v/>
          </cell>
        </row>
        <row r="1048">
          <cell r="A1048" t="str">
            <v>12527530829054</v>
          </cell>
          <cell r="B1048" t="str">
            <v>BL20230413-2</v>
          </cell>
          <cell r="C1048" t="e">
            <v>#N/A</v>
          </cell>
          <cell r="D1048" t="str">
            <v>EK65</v>
          </cell>
          <cell r="E1048" t="str">
            <v>697470</v>
          </cell>
          <cell r="F1048" t="str">
            <v>E</v>
          </cell>
          <cell r="G1048" t="str">
            <v>12527530</v>
          </cell>
          <cell r="H1048" t="str">
            <v>Halter vollst.</v>
          </cell>
          <cell r="I1048">
            <v>14</v>
          </cell>
          <cell r="J1048" t="str">
            <v>Stk</v>
          </cell>
          <cell r="K1048">
            <v>45253</v>
          </cell>
          <cell r="L1048" t="str">
            <v>829054</v>
          </cell>
          <cell r="M1048" t="str">
            <v/>
          </cell>
          <cell r="N1048" t="str">
            <v/>
          </cell>
          <cell r="O1048" t="str">
            <v/>
          </cell>
          <cell r="P1048" t="str">
            <v/>
          </cell>
          <cell r="Q1048" t="str">
            <v/>
          </cell>
          <cell r="R1048" t="str">
            <v/>
          </cell>
          <cell r="S1048" t="str">
            <v/>
          </cell>
          <cell r="T1048" t="str">
            <v/>
          </cell>
          <cell r="U1048" t="str">
            <v/>
          </cell>
          <cell r="V1048" t="str">
            <v>N38</v>
          </cell>
          <cell r="W1048" t="str">
            <v/>
          </cell>
          <cell r="X1048" t="str">
            <v/>
          </cell>
          <cell r="Y1048" t="str">
            <v/>
          </cell>
          <cell r="Z1048" t="str">
            <v/>
          </cell>
          <cell r="AA1048" t="str">
            <v/>
          </cell>
          <cell r="AB1048" t="str">
            <v>PA_4413220-UA.7005-3</v>
          </cell>
          <cell r="AC1048">
            <v>1</v>
          </cell>
          <cell r="AD1048" t="str">
            <v/>
          </cell>
          <cell r="AE1048">
            <v>0</v>
          </cell>
          <cell r="AF1048" t="str">
            <v/>
          </cell>
          <cell r="AG1048" t="str">
            <v>12527530</v>
          </cell>
          <cell r="AH1048">
            <v>44938.893425925926</v>
          </cell>
          <cell r="AI1048" t="str">
            <v>N38</v>
          </cell>
          <cell r="AJ1048" t="str">
            <v>F</v>
          </cell>
          <cell r="AK1048" t="str">
            <v/>
          </cell>
        </row>
        <row r="1049">
          <cell r="A1049" t="str">
            <v>12527530829052</v>
          </cell>
          <cell r="B1049" t="str">
            <v>BL20230413-2</v>
          </cell>
          <cell r="C1049" t="e">
            <v>#N/A</v>
          </cell>
          <cell r="D1049" t="str">
            <v>EK65</v>
          </cell>
          <cell r="E1049" t="str">
            <v>697471</v>
          </cell>
          <cell r="F1049" t="str">
            <v>E</v>
          </cell>
          <cell r="G1049" t="str">
            <v>12527530</v>
          </cell>
          <cell r="H1049" t="str">
            <v>Halter vollst.</v>
          </cell>
          <cell r="I1049">
            <v>31</v>
          </cell>
          <cell r="J1049" t="str">
            <v>Stk</v>
          </cell>
          <cell r="K1049">
            <v>45345</v>
          </cell>
          <cell r="L1049" t="str">
            <v>829052</v>
          </cell>
          <cell r="M1049" t="str">
            <v/>
          </cell>
          <cell r="N1049" t="str">
            <v/>
          </cell>
          <cell r="O1049" t="str">
            <v/>
          </cell>
          <cell r="P1049" t="str">
            <v/>
          </cell>
          <cell r="Q1049" t="str">
            <v/>
          </cell>
          <cell r="R1049" t="str">
            <v/>
          </cell>
          <cell r="S1049" t="str">
            <v/>
          </cell>
          <cell r="T1049" t="str">
            <v/>
          </cell>
          <cell r="U1049" t="str">
            <v/>
          </cell>
          <cell r="V1049" t="str">
            <v>N38</v>
          </cell>
          <cell r="W1049" t="str">
            <v/>
          </cell>
          <cell r="X1049" t="str">
            <v/>
          </cell>
          <cell r="Y1049" t="str">
            <v/>
          </cell>
          <cell r="Z1049" t="str">
            <v/>
          </cell>
          <cell r="AA1049" t="str">
            <v/>
          </cell>
          <cell r="AB1049" t="str">
            <v>PA_4413220-UA.7005-3</v>
          </cell>
          <cell r="AC1049">
            <v>1</v>
          </cell>
          <cell r="AD1049" t="str">
            <v/>
          </cell>
          <cell r="AE1049">
            <v>0</v>
          </cell>
          <cell r="AF1049" t="str">
            <v/>
          </cell>
          <cell r="AG1049" t="str">
            <v>12527530</v>
          </cell>
          <cell r="AH1049">
            <v>44938.893425925926</v>
          </cell>
          <cell r="AI1049" t="str">
            <v>N38</v>
          </cell>
          <cell r="AJ1049" t="str">
            <v>F</v>
          </cell>
          <cell r="AK1049" t="str">
            <v/>
          </cell>
        </row>
        <row r="1050">
          <cell r="A1050" t="str">
            <v>12527530829051</v>
          </cell>
          <cell r="B1050" t="str">
            <v>Übergabe Task Force</v>
          </cell>
          <cell r="C1050" t="e">
            <v>#N/A</v>
          </cell>
          <cell r="D1050" t="str">
            <v>EK65</v>
          </cell>
          <cell r="E1050" t="str">
            <v>697472</v>
          </cell>
          <cell r="F1050" t="str">
            <v>E</v>
          </cell>
          <cell r="G1050" t="str">
            <v>12527530</v>
          </cell>
          <cell r="H1050" t="str">
            <v>Halter vollst.</v>
          </cell>
          <cell r="I1050">
            <v>82</v>
          </cell>
          <cell r="J1050" t="str">
            <v>Stk</v>
          </cell>
          <cell r="K1050">
            <v>45356</v>
          </cell>
          <cell r="L1050" t="str">
            <v>829051</v>
          </cell>
          <cell r="M1050" t="str">
            <v/>
          </cell>
          <cell r="N1050" t="str">
            <v/>
          </cell>
          <cell r="O1050" t="str">
            <v/>
          </cell>
          <cell r="P1050" t="str">
            <v/>
          </cell>
          <cell r="Q1050" t="str">
            <v/>
          </cell>
          <cell r="R1050" t="str">
            <v/>
          </cell>
          <cell r="S1050" t="str">
            <v/>
          </cell>
          <cell r="T1050" t="str">
            <v/>
          </cell>
          <cell r="U1050" t="str">
            <v/>
          </cell>
          <cell r="V1050" t="str">
            <v>N38</v>
          </cell>
          <cell r="W1050" t="str">
            <v/>
          </cell>
          <cell r="X1050" t="str">
            <v/>
          </cell>
          <cell r="Y1050" t="str">
            <v/>
          </cell>
          <cell r="Z1050" t="str">
            <v/>
          </cell>
          <cell r="AA1050" t="str">
            <v/>
          </cell>
          <cell r="AB1050" t="str">
            <v>PA_4413220-UA.7005-3</v>
          </cell>
          <cell r="AC1050">
            <v>1</v>
          </cell>
          <cell r="AD1050" t="str">
            <v/>
          </cell>
          <cell r="AE1050">
            <v>0</v>
          </cell>
          <cell r="AF1050" t="str">
            <v/>
          </cell>
          <cell r="AG1050" t="str">
            <v>12527530</v>
          </cell>
          <cell r="AH1050">
            <v>44938.893425925926</v>
          </cell>
          <cell r="AI1050" t="str">
            <v>N38</v>
          </cell>
          <cell r="AJ1050" t="str">
            <v>F</v>
          </cell>
          <cell r="AK1050" t="str">
            <v/>
          </cell>
        </row>
        <row r="1051">
          <cell r="A1051" t="str">
            <v>12527546829054</v>
          </cell>
          <cell r="B1051" t="str">
            <v>BL20230413-2</v>
          </cell>
          <cell r="C1051" t="e">
            <v>#N/A</v>
          </cell>
          <cell r="D1051" t="str">
            <v>EK65</v>
          </cell>
          <cell r="E1051" t="str">
            <v>697473</v>
          </cell>
          <cell r="F1051" t="str">
            <v>E</v>
          </cell>
          <cell r="G1051" t="str">
            <v>12527546</v>
          </cell>
          <cell r="H1051" t="str">
            <v>Halter vollst.</v>
          </cell>
          <cell r="I1051">
            <v>10</v>
          </cell>
          <cell r="J1051" t="str">
            <v>Stk</v>
          </cell>
          <cell r="K1051">
            <v>45303</v>
          </cell>
          <cell r="L1051" t="str">
            <v>829054</v>
          </cell>
          <cell r="M1051" t="str">
            <v/>
          </cell>
          <cell r="N1051" t="str">
            <v/>
          </cell>
          <cell r="O1051" t="str">
            <v/>
          </cell>
          <cell r="P1051" t="str">
            <v/>
          </cell>
          <cell r="Q1051" t="str">
            <v/>
          </cell>
          <cell r="R1051" t="str">
            <v/>
          </cell>
          <cell r="S1051" t="str">
            <v/>
          </cell>
          <cell r="T1051" t="str">
            <v/>
          </cell>
          <cell r="U1051" t="str">
            <v/>
          </cell>
          <cell r="V1051" t="str">
            <v>N38</v>
          </cell>
          <cell r="W1051" t="str">
            <v/>
          </cell>
          <cell r="X1051" t="str">
            <v/>
          </cell>
          <cell r="Y1051" t="str">
            <v/>
          </cell>
          <cell r="Z1051" t="str">
            <v/>
          </cell>
          <cell r="AA1051" t="str">
            <v/>
          </cell>
          <cell r="AB1051" t="str">
            <v>PA_4418261-UA.7005-3</v>
          </cell>
          <cell r="AC1051">
            <v>1</v>
          </cell>
          <cell r="AD1051" t="str">
            <v/>
          </cell>
          <cell r="AE1051">
            <v>0</v>
          </cell>
          <cell r="AF1051" t="str">
            <v/>
          </cell>
          <cell r="AG1051" t="str">
            <v>12527546</v>
          </cell>
          <cell r="AH1051">
            <v>44938.893460648149</v>
          </cell>
          <cell r="AI1051" t="str">
            <v>N38</v>
          </cell>
          <cell r="AJ1051" t="str">
            <v>F</v>
          </cell>
          <cell r="AK1051" t="str">
            <v/>
          </cell>
        </row>
        <row r="1052">
          <cell r="A1052" t="str">
            <v>12527546829051</v>
          </cell>
          <cell r="B1052" t="str">
            <v>Übergabe Task Force</v>
          </cell>
          <cell r="C1052" t="e">
            <v>#N/A</v>
          </cell>
          <cell r="D1052" t="str">
            <v>EK65</v>
          </cell>
          <cell r="E1052" t="str">
            <v>697474</v>
          </cell>
          <cell r="F1052" t="str">
            <v>E</v>
          </cell>
          <cell r="G1052" t="str">
            <v>12527546</v>
          </cell>
          <cell r="H1052" t="str">
            <v>Halter vollst.</v>
          </cell>
          <cell r="I1052">
            <v>90</v>
          </cell>
          <cell r="J1052" t="str">
            <v>Stk</v>
          </cell>
          <cell r="K1052">
            <v>45322</v>
          </cell>
          <cell r="L1052" t="str">
            <v>829051</v>
          </cell>
          <cell r="M1052" t="str">
            <v/>
          </cell>
          <cell r="N1052" t="str">
            <v/>
          </cell>
          <cell r="O1052" t="str">
            <v/>
          </cell>
          <cell r="P1052" t="str">
            <v/>
          </cell>
          <cell r="Q1052" t="str">
            <v/>
          </cell>
          <cell r="R1052" t="str">
            <v/>
          </cell>
          <cell r="S1052" t="str">
            <v/>
          </cell>
          <cell r="T1052" t="str">
            <v/>
          </cell>
          <cell r="U1052" t="str">
            <v/>
          </cell>
          <cell r="V1052" t="str">
            <v>N38</v>
          </cell>
          <cell r="W1052" t="str">
            <v/>
          </cell>
          <cell r="X1052" t="str">
            <v/>
          </cell>
          <cell r="Y1052" t="str">
            <v/>
          </cell>
          <cell r="Z1052" t="str">
            <v/>
          </cell>
          <cell r="AA1052" t="str">
            <v/>
          </cell>
          <cell r="AB1052" t="str">
            <v>PA_4418261-UA.7005-3</v>
          </cell>
          <cell r="AC1052">
            <v>1</v>
          </cell>
          <cell r="AD1052" t="str">
            <v/>
          </cell>
          <cell r="AE1052">
            <v>0</v>
          </cell>
          <cell r="AF1052" t="str">
            <v/>
          </cell>
          <cell r="AG1052" t="str">
            <v>12527546</v>
          </cell>
          <cell r="AH1052">
            <v>44938.893460648149</v>
          </cell>
          <cell r="AI1052" t="str">
            <v>N38</v>
          </cell>
          <cell r="AJ1052" t="str">
            <v>F</v>
          </cell>
          <cell r="AK1052" t="str">
            <v/>
          </cell>
        </row>
        <row r="1053">
          <cell r="A1053" t="str">
            <v>12527546829052</v>
          </cell>
          <cell r="B1053" t="str">
            <v>Übergabe Task Force</v>
          </cell>
          <cell r="C1053" t="e">
            <v>#N/A</v>
          </cell>
          <cell r="D1053" t="str">
            <v>EK65</v>
          </cell>
          <cell r="E1053" t="str">
            <v>697475</v>
          </cell>
          <cell r="F1053" t="str">
            <v>E</v>
          </cell>
          <cell r="G1053" t="str">
            <v>12527546</v>
          </cell>
          <cell r="H1053" t="str">
            <v>Halter vollst.</v>
          </cell>
          <cell r="I1053">
            <v>30</v>
          </cell>
          <cell r="J1053" t="str">
            <v>Stk</v>
          </cell>
          <cell r="K1053">
            <v>45357</v>
          </cell>
          <cell r="L1053" t="str">
            <v>829052</v>
          </cell>
          <cell r="M1053" t="str">
            <v/>
          </cell>
          <cell r="N1053" t="str">
            <v/>
          </cell>
          <cell r="O1053" t="str">
            <v/>
          </cell>
          <cell r="P1053" t="str">
            <v/>
          </cell>
          <cell r="Q1053" t="str">
            <v/>
          </cell>
          <cell r="R1053" t="str">
            <v/>
          </cell>
          <cell r="S1053" t="str">
            <v/>
          </cell>
          <cell r="T1053" t="str">
            <v/>
          </cell>
          <cell r="U1053" t="str">
            <v/>
          </cell>
          <cell r="V1053" t="str">
            <v>N38</v>
          </cell>
          <cell r="W1053" t="str">
            <v/>
          </cell>
          <cell r="X1053" t="str">
            <v/>
          </cell>
          <cell r="Y1053" t="str">
            <v/>
          </cell>
          <cell r="Z1053" t="str">
            <v/>
          </cell>
          <cell r="AA1053" t="str">
            <v/>
          </cell>
          <cell r="AB1053" t="str">
            <v>PA_4418261-UA.7005-3</v>
          </cell>
          <cell r="AC1053">
            <v>1</v>
          </cell>
          <cell r="AD1053" t="str">
            <v/>
          </cell>
          <cell r="AE1053">
            <v>0</v>
          </cell>
          <cell r="AF1053" t="str">
            <v/>
          </cell>
          <cell r="AG1053" t="str">
            <v>12527546</v>
          </cell>
          <cell r="AH1053">
            <v>44938.893460648149</v>
          </cell>
          <cell r="AI1053" t="str">
            <v>N38</v>
          </cell>
          <cell r="AJ1053" t="str">
            <v>F</v>
          </cell>
          <cell r="AK1053" t="str">
            <v/>
          </cell>
        </row>
        <row r="1054">
          <cell r="A1054" t="str">
            <v>12527546829053</v>
          </cell>
          <cell r="B1054" t="str">
            <v>Übergabe Task Force</v>
          </cell>
          <cell r="C1054" t="e">
            <v>#N/A</v>
          </cell>
          <cell r="D1054" t="str">
            <v>EK65</v>
          </cell>
          <cell r="E1054" t="str">
            <v>697476</v>
          </cell>
          <cell r="F1054" t="str">
            <v>E</v>
          </cell>
          <cell r="G1054" t="str">
            <v>12527546</v>
          </cell>
          <cell r="H1054" t="str">
            <v>Halter vollst.</v>
          </cell>
          <cell r="I1054">
            <v>12</v>
          </cell>
          <cell r="J1054" t="str">
            <v>Stk</v>
          </cell>
          <cell r="K1054">
            <v>45363</v>
          </cell>
          <cell r="L1054" t="str">
            <v>829053</v>
          </cell>
          <cell r="M1054" t="str">
            <v/>
          </cell>
          <cell r="N1054" t="str">
            <v/>
          </cell>
          <cell r="O1054" t="str">
            <v/>
          </cell>
          <cell r="P1054" t="str">
            <v/>
          </cell>
          <cell r="Q1054" t="str">
            <v/>
          </cell>
          <cell r="R1054" t="str">
            <v/>
          </cell>
          <cell r="S1054" t="str">
            <v/>
          </cell>
          <cell r="T1054" t="str">
            <v/>
          </cell>
          <cell r="U1054" t="str">
            <v/>
          </cell>
          <cell r="V1054" t="str">
            <v>N38</v>
          </cell>
          <cell r="W1054" t="str">
            <v/>
          </cell>
          <cell r="X1054" t="str">
            <v/>
          </cell>
          <cell r="Y1054" t="str">
            <v/>
          </cell>
          <cell r="Z1054" t="str">
            <v/>
          </cell>
          <cell r="AA1054" t="str">
            <v/>
          </cell>
          <cell r="AB1054" t="str">
            <v>PA_4418261-UA.7005-3</v>
          </cell>
          <cell r="AC1054">
            <v>1</v>
          </cell>
          <cell r="AD1054" t="str">
            <v/>
          </cell>
          <cell r="AE1054">
            <v>0</v>
          </cell>
          <cell r="AF1054" t="str">
            <v/>
          </cell>
          <cell r="AG1054" t="str">
            <v>12527546</v>
          </cell>
          <cell r="AH1054">
            <v>44938.893460648149</v>
          </cell>
          <cell r="AI1054" t="str">
            <v>N38</v>
          </cell>
          <cell r="AJ1054" t="str">
            <v>F</v>
          </cell>
          <cell r="AK1054" t="str">
            <v/>
          </cell>
        </row>
        <row r="1055">
          <cell r="A1055" t="str">
            <v>12533979829054</v>
          </cell>
          <cell r="B1055" t="str">
            <v>BL20230413-2</v>
          </cell>
          <cell r="C1055" t="e">
            <v>#N/A</v>
          </cell>
          <cell r="D1055" t="str">
            <v>EK65</v>
          </cell>
          <cell r="E1055" t="str">
            <v>697477</v>
          </cell>
          <cell r="F1055" t="str">
            <v>E</v>
          </cell>
          <cell r="G1055" t="str">
            <v>12533979</v>
          </cell>
          <cell r="H1055" t="str">
            <v>Halter vollst.</v>
          </cell>
          <cell r="I1055">
            <v>9</v>
          </cell>
          <cell r="J1055" t="str">
            <v>Stk</v>
          </cell>
          <cell r="K1055">
            <v>45308</v>
          </cell>
          <cell r="L1055" t="str">
            <v>829054</v>
          </cell>
          <cell r="M1055" t="str">
            <v/>
          </cell>
          <cell r="N1055" t="str">
            <v/>
          </cell>
          <cell r="O1055" t="str">
            <v/>
          </cell>
          <cell r="P1055" t="str">
            <v/>
          </cell>
          <cell r="Q1055" t="str">
            <v/>
          </cell>
          <cell r="R1055" t="str">
            <v/>
          </cell>
          <cell r="S1055" t="str">
            <v/>
          </cell>
          <cell r="T1055" t="str">
            <v/>
          </cell>
          <cell r="U1055" t="str">
            <v/>
          </cell>
          <cell r="V1055" t="str">
            <v>N38</v>
          </cell>
          <cell r="W1055" t="str">
            <v/>
          </cell>
          <cell r="X1055" t="str">
            <v/>
          </cell>
          <cell r="Y1055" t="str">
            <v/>
          </cell>
          <cell r="Z1055" t="str">
            <v/>
          </cell>
          <cell r="AA1055" t="str">
            <v/>
          </cell>
          <cell r="AB1055" t="str">
            <v>PA_4415828-UA.7005-3</v>
          </cell>
          <cell r="AC1055">
            <v>1</v>
          </cell>
          <cell r="AD1055" t="str">
            <v/>
          </cell>
          <cell r="AE1055">
            <v>0</v>
          </cell>
          <cell r="AF1055" t="str">
            <v/>
          </cell>
          <cell r="AG1055" t="str">
            <v>12533979</v>
          </cell>
          <cell r="AH1055">
            <v>44938.894537037035</v>
          </cell>
          <cell r="AI1055" t="str">
            <v>N38</v>
          </cell>
          <cell r="AJ1055" t="str">
            <v>F</v>
          </cell>
          <cell r="AK1055" t="str">
            <v/>
          </cell>
        </row>
        <row r="1056">
          <cell r="A1056" t="str">
            <v>12533979829051</v>
          </cell>
          <cell r="B1056" t="str">
            <v>Übergabe Task Force</v>
          </cell>
          <cell r="C1056" t="e">
            <v>#N/A</v>
          </cell>
          <cell r="D1056" t="str">
            <v>EK65</v>
          </cell>
          <cell r="E1056" t="str">
            <v>697478</v>
          </cell>
          <cell r="F1056" t="str">
            <v>E</v>
          </cell>
          <cell r="G1056" t="str">
            <v>12533979</v>
          </cell>
          <cell r="H1056" t="str">
            <v>Halter vollst.</v>
          </cell>
          <cell r="I1056">
            <v>90</v>
          </cell>
          <cell r="J1056" t="str">
            <v>Stk</v>
          </cell>
          <cell r="K1056">
            <v>45322</v>
          </cell>
          <cell r="L1056" t="str">
            <v>829051</v>
          </cell>
          <cell r="M1056" t="str">
            <v/>
          </cell>
          <cell r="N1056" t="str">
            <v/>
          </cell>
          <cell r="O1056" t="str">
            <v/>
          </cell>
          <cell r="P1056" t="str">
            <v/>
          </cell>
          <cell r="Q1056" t="str">
            <v/>
          </cell>
          <cell r="R1056" t="str">
            <v/>
          </cell>
          <cell r="S1056" t="str">
            <v/>
          </cell>
          <cell r="T1056" t="str">
            <v/>
          </cell>
          <cell r="U1056" t="str">
            <v/>
          </cell>
          <cell r="V1056" t="str">
            <v>N38</v>
          </cell>
          <cell r="W1056" t="str">
            <v/>
          </cell>
          <cell r="X1056" t="str">
            <v/>
          </cell>
          <cell r="Y1056" t="str">
            <v/>
          </cell>
          <cell r="Z1056" t="str">
            <v/>
          </cell>
          <cell r="AA1056" t="str">
            <v/>
          </cell>
          <cell r="AB1056" t="str">
            <v>PA_4415828-UA.7005-3</v>
          </cell>
          <cell r="AC1056">
            <v>1</v>
          </cell>
          <cell r="AD1056" t="str">
            <v/>
          </cell>
          <cell r="AE1056">
            <v>0</v>
          </cell>
          <cell r="AF1056" t="str">
            <v/>
          </cell>
          <cell r="AG1056" t="str">
            <v>12533979</v>
          </cell>
          <cell r="AH1056">
            <v>44938.894537037035</v>
          </cell>
          <cell r="AI1056" t="str">
            <v>N38</v>
          </cell>
          <cell r="AJ1056" t="str">
            <v>F</v>
          </cell>
          <cell r="AK1056" t="str">
            <v/>
          </cell>
        </row>
        <row r="1057">
          <cell r="A1057" t="str">
            <v>12533979829053</v>
          </cell>
          <cell r="B1057" t="str">
            <v>BL20230413-2</v>
          </cell>
          <cell r="C1057" t="e">
            <v>#N/A</v>
          </cell>
          <cell r="D1057" t="str">
            <v>EK65</v>
          </cell>
          <cell r="E1057" t="str">
            <v>697479</v>
          </cell>
          <cell r="F1057" t="str">
            <v>E</v>
          </cell>
          <cell r="G1057" t="str">
            <v>12533979</v>
          </cell>
          <cell r="H1057" t="str">
            <v>Halter vollst.</v>
          </cell>
          <cell r="I1057">
            <v>16</v>
          </cell>
          <cell r="J1057" t="str">
            <v>Stk</v>
          </cell>
          <cell r="K1057">
            <v>45339</v>
          </cell>
          <cell r="L1057" t="str">
            <v>829053</v>
          </cell>
          <cell r="M1057" t="str">
            <v/>
          </cell>
          <cell r="N1057" t="str">
            <v/>
          </cell>
          <cell r="O1057" t="str">
            <v/>
          </cell>
          <cell r="P1057" t="str">
            <v/>
          </cell>
          <cell r="Q1057" t="str">
            <v/>
          </cell>
          <cell r="R1057" t="str">
            <v/>
          </cell>
          <cell r="S1057" t="str">
            <v/>
          </cell>
          <cell r="T1057" t="str">
            <v/>
          </cell>
          <cell r="U1057" t="str">
            <v/>
          </cell>
          <cell r="V1057" t="str">
            <v>N38</v>
          </cell>
          <cell r="W1057" t="str">
            <v/>
          </cell>
          <cell r="X1057" t="str">
            <v/>
          </cell>
          <cell r="Y1057" t="str">
            <v/>
          </cell>
          <cell r="Z1057" t="str">
            <v/>
          </cell>
          <cell r="AA1057" t="str">
            <v/>
          </cell>
          <cell r="AB1057" t="str">
            <v>PA_4415828-UA.7005-3</v>
          </cell>
          <cell r="AC1057">
            <v>1</v>
          </cell>
          <cell r="AD1057" t="str">
            <v/>
          </cell>
          <cell r="AE1057">
            <v>0</v>
          </cell>
          <cell r="AF1057" t="str">
            <v/>
          </cell>
          <cell r="AG1057" t="str">
            <v>12533979</v>
          </cell>
          <cell r="AH1057">
            <v>44938.894537037035</v>
          </cell>
          <cell r="AI1057" t="str">
            <v>N38</v>
          </cell>
          <cell r="AJ1057" t="str">
            <v>F</v>
          </cell>
          <cell r="AK1057" t="str">
            <v/>
          </cell>
        </row>
        <row r="1058">
          <cell r="A1058" t="str">
            <v>12533979829052</v>
          </cell>
          <cell r="B1058" t="str">
            <v>Übergabe Task Force</v>
          </cell>
          <cell r="C1058" t="e">
            <v>#N/A</v>
          </cell>
          <cell r="D1058" t="str">
            <v>EK65</v>
          </cell>
          <cell r="E1058" t="str">
            <v>697480</v>
          </cell>
          <cell r="F1058" t="str">
            <v>E</v>
          </cell>
          <cell r="G1058" t="str">
            <v>12533979</v>
          </cell>
          <cell r="H1058" t="str">
            <v>Halter vollst.</v>
          </cell>
          <cell r="I1058">
            <v>30</v>
          </cell>
          <cell r="J1058" t="str">
            <v>Stk</v>
          </cell>
          <cell r="K1058">
            <v>45357</v>
          </cell>
          <cell r="L1058" t="str">
            <v>829052</v>
          </cell>
          <cell r="M1058" t="str">
            <v/>
          </cell>
          <cell r="N1058" t="str">
            <v/>
          </cell>
          <cell r="O1058" t="str">
            <v/>
          </cell>
          <cell r="P1058" t="str">
            <v/>
          </cell>
          <cell r="Q1058" t="str">
            <v/>
          </cell>
          <cell r="R1058" t="str">
            <v/>
          </cell>
          <cell r="S1058" t="str">
            <v/>
          </cell>
          <cell r="T1058" t="str">
            <v/>
          </cell>
          <cell r="U1058" t="str">
            <v/>
          </cell>
          <cell r="V1058" t="str">
            <v>N38</v>
          </cell>
          <cell r="W1058" t="str">
            <v/>
          </cell>
          <cell r="X1058" t="str">
            <v/>
          </cell>
          <cell r="Y1058" t="str">
            <v/>
          </cell>
          <cell r="Z1058" t="str">
            <v/>
          </cell>
          <cell r="AA1058" t="str">
            <v/>
          </cell>
          <cell r="AB1058" t="str">
            <v>PA_4415828-UA.7005-3</v>
          </cell>
          <cell r="AC1058">
            <v>1</v>
          </cell>
          <cell r="AD1058" t="str">
            <v/>
          </cell>
          <cell r="AE1058">
            <v>0</v>
          </cell>
          <cell r="AF1058" t="str">
            <v/>
          </cell>
          <cell r="AG1058" t="str">
            <v>12533979</v>
          </cell>
          <cell r="AH1058">
            <v>44938.894537037035</v>
          </cell>
          <cell r="AI1058" t="str">
            <v>N38</v>
          </cell>
          <cell r="AJ1058" t="str">
            <v>F</v>
          </cell>
          <cell r="AK1058" t="str">
            <v/>
          </cell>
        </row>
        <row r="1059">
          <cell r="A1059" t="str">
            <v>12533983829054</v>
          </cell>
          <cell r="B1059" t="str">
            <v>BL20230413-2</v>
          </cell>
          <cell r="C1059" t="e">
            <v>#N/A</v>
          </cell>
          <cell r="D1059" t="str">
            <v>EK65</v>
          </cell>
          <cell r="E1059" t="str">
            <v>697481</v>
          </cell>
          <cell r="F1059" t="str">
            <v>E</v>
          </cell>
          <cell r="G1059" t="str">
            <v>12533983</v>
          </cell>
          <cell r="H1059" t="str">
            <v>Halter vollst.</v>
          </cell>
          <cell r="I1059">
            <v>9</v>
          </cell>
          <cell r="J1059" t="str">
            <v>Stk</v>
          </cell>
          <cell r="K1059">
            <v>45308</v>
          </cell>
          <cell r="L1059" t="str">
            <v>829054</v>
          </cell>
          <cell r="M1059" t="str">
            <v/>
          </cell>
          <cell r="N1059" t="str">
            <v/>
          </cell>
          <cell r="O1059" t="str">
            <v/>
          </cell>
          <cell r="P1059" t="str">
            <v/>
          </cell>
          <cell r="Q1059" t="str">
            <v/>
          </cell>
          <cell r="R1059" t="str">
            <v/>
          </cell>
          <cell r="S1059" t="str">
            <v/>
          </cell>
          <cell r="T1059" t="str">
            <v/>
          </cell>
          <cell r="U1059" t="str">
            <v/>
          </cell>
          <cell r="V1059" t="str">
            <v>N38</v>
          </cell>
          <cell r="W1059" t="str">
            <v/>
          </cell>
          <cell r="X1059" t="str">
            <v/>
          </cell>
          <cell r="Y1059" t="str">
            <v/>
          </cell>
          <cell r="Z1059" t="str">
            <v/>
          </cell>
          <cell r="AA1059" t="str">
            <v/>
          </cell>
          <cell r="AB1059" t="str">
            <v>PA_4414155-UA.7005-4</v>
          </cell>
          <cell r="AC1059">
            <v>1</v>
          </cell>
          <cell r="AD1059" t="str">
            <v/>
          </cell>
          <cell r="AE1059">
            <v>0</v>
          </cell>
          <cell r="AF1059" t="str">
            <v/>
          </cell>
          <cell r="AG1059" t="str">
            <v>12533983</v>
          </cell>
          <cell r="AH1059">
            <v>44938.894571759258</v>
          </cell>
          <cell r="AI1059" t="str">
            <v>N38</v>
          </cell>
          <cell r="AJ1059" t="str">
            <v>F</v>
          </cell>
          <cell r="AK1059" t="str">
            <v/>
          </cell>
        </row>
        <row r="1060">
          <cell r="A1060" t="str">
            <v>12533983829051</v>
          </cell>
          <cell r="B1060" t="str">
            <v>Übergabe Task Force</v>
          </cell>
          <cell r="C1060" t="e">
            <v>#N/A</v>
          </cell>
          <cell r="D1060" t="str">
            <v>EK65</v>
          </cell>
          <cell r="E1060" t="str">
            <v>697482</v>
          </cell>
          <cell r="F1060" t="str">
            <v>E</v>
          </cell>
          <cell r="G1060" t="str">
            <v>12533983</v>
          </cell>
          <cell r="H1060" t="str">
            <v>Halter vollst.</v>
          </cell>
          <cell r="I1060">
            <v>90</v>
          </cell>
          <cell r="J1060" t="str">
            <v>Stk</v>
          </cell>
          <cell r="K1060">
            <v>45322</v>
          </cell>
          <cell r="L1060" t="str">
            <v>829051</v>
          </cell>
          <cell r="M1060" t="str">
            <v/>
          </cell>
          <cell r="N1060" t="str">
            <v/>
          </cell>
          <cell r="O1060" t="str">
            <v/>
          </cell>
          <cell r="P1060" t="str">
            <v/>
          </cell>
          <cell r="Q1060" t="str">
            <v/>
          </cell>
          <cell r="R1060" t="str">
            <v/>
          </cell>
          <cell r="S1060" t="str">
            <v/>
          </cell>
          <cell r="T1060" t="str">
            <v/>
          </cell>
          <cell r="U1060" t="str">
            <v/>
          </cell>
          <cell r="V1060" t="str">
            <v>N38</v>
          </cell>
          <cell r="W1060" t="str">
            <v/>
          </cell>
          <cell r="X1060" t="str">
            <v/>
          </cell>
          <cell r="Y1060" t="str">
            <v/>
          </cell>
          <cell r="Z1060" t="str">
            <v/>
          </cell>
          <cell r="AA1060" t="str">
            <v/>
          </cell>
          <cell r="AB1060" t="str">
            <v>PA_4414155-UA.7005-4</v>
          </cell>
          <cell r="AC1060">
            <v>1</v>
          </cell>
          <cell r="AD1060" t="str">
            <v/>
          </cell>
          <cell r="AE1060">
            <v>0</v>
          </cell>
          <cell r="AF1060" t="str">
            <v/>
          </cell>
          <cell r="AG1060" t="str">
            <v>12533983</v>
          </cell>
          <cell r="AH1060">
            <v>44938.894571759258</v>
          </cell>
          <cell r="AI1060" t="str">
            <v>N38</v>
          </cell>
          <cell r="AJ1060" t="str">
            <v>F</v>
          </cell>
          <cell r="AK1060" t="str">
            <v/>
          </cell>
        </row>
        <row r="1061">
          <cell r="A1061" t="str">
            <v>12533983829053</v>
          </cell>
          <cell r="B1061" t="str">
            <v>BL20230413-2</v>
          </cell>
          <cell r="C1061" t="e">
            <v>#N/A</v>
          </cell>
          <cell r="D1061" t="str">
            <v>EK65</v>
          </cell>
          <cell r="E1061" t="str">
            <v>697483</v>
          </cell>
          <cell r="F1061" t="str">
            <v>E</v>
          </cell>
          <cell r="G1061" t="str">
            <v>12533983</v>
          </cell>
          <cell r="H1061" t="str">
            <v>Halter vollst.</v>
          </cell>
          <cell r="I1061">
            <v>16</v>
          </cell>
          <cell r="J1061" t="str">
            <v>Stk</v>
          </cell>
          <cell r="K1061">
            <v>45339</v>
          </cell>
          <cell r="L1061" t="str">
            <v>829053</v>
          </cell>
          <cell r="M1061" t="str">
            <v/>
          </cell>
          <cell r="N1061" t="str">
            <v/>
          </cell>
          <cell r="O1061" t="str">
            <v/>
          </cell>
          <cell r="P1061" t="str">
            <v/>
          </cell>
          <cell r="Q1061" t="str">
            <v/>
          </cell>
          <cell r="R1061" t="str">
            <v/>
          </cell>
          <cell r="S1061" t="str">
            <v/>
          </cell>
          <cell r="T1061" t="str">
            <v/>
          </cell>
          <cell r="U1061" t="str">
            <v/>
          </cell>
          <cell r="V1061" t="str">
            <v>N38</v>
          </cell>
          <cell r="W1061" t="str">
            <v/>
          </cell>
          <cell r="X1061" t="str">
            <v/>
          </cell>
          <cell r="Y1061" t="str">
            <v/>
          </cell>
          <cell r="Z1061" t="str">
            <v/>
          </cell>
          <cell r="AA1061" t="str">
            <v/>
          </cell>
          <cell r="AB1061" t="str">
            <v>PA_4414155-UA.7005-4</v>
          </cell>
          <cell r="AC1061">
            <v>1</v>
          </cell>
          <cell r="AD1061" t="str">
            <v/>
          </cell>
          <cell r="AE1061">
            <v>0</v>
          </cell>
          <cell r="AF1061" t="str">
            <v/>
          </cell>
          <cell r="AG1061" t="str">
            <v>12533983</v>
          </cell>
          <cell r="AH1061">
            <v>44938.894571759258</v>
          </cell>
          <cell r="AI1061" t="str">
            <v>N38</v>
          </cell>
          <cell r="AJ1061" t="str">
            <v>F</v>
          </cell>
          <cell r="AK1061" t="str">
            <v/>
          </cell>
        </row>
        <row r="1062">
          <cell r="A1062" t="str">
            <v>12533983829052</v>
          </cell>
          <cell r="B1062" t="str">
            <v>Übergabe Task Force</v>
          </cell>
          <cell r="C1062" t="e">
            <v>#N/A</v>
          </cell>
          <cell r="D1062" t="str">
            <v>EK65</v>
          </cell>
          <cell r="E1062" t="str">
            <v>697484</v>
          </cell>
          <cell r="F1062" t="str">
            <v>E</v>
          </cell>
          <cell r="G1062" t="str">
            <v>12533983</v>
          </cell>
          <cell r="H1062" t="str">
            <v>Halter vollst.</v>
          </cell>
          <cell r="I1062">
            <v>30</v>
          </cell>
          <cell r="J1062" t="str">
            <v>Stk</v>
          </cell>
          <cell r="K1062">
            <v>45357</v>
          </cell>
          <cell r="L1062" t="str">
            <v>829052</v>
          </cell>
          <cell r="M1062" t="str">
            <v/>
          </cell>
          <cell r="N1062" t="str">
            <v/>
          </cell>
          <cell r="O1062" t="str">
            <v/>
          </cell>
          <cell r="P1062" t="str">
            <v/>
          </cell>
          <cell r="Q1062" t="str">
            <v/>
          </cell>
          <cell r="R1062" t="str">
            <v/>
          </cell>
          <cell r="S1062" t="str">
            <v/>
          </cell>
          <cell r="T1062" t="str">
            <v/>
          </cell>
          <cell r="U1062" t="str">
            <v/>
          </cell>
          <cell r="V1062" t="str">
            <v>N38</v>
          </cell>
          <cell r="W1062" t="str">
            <v/>
          </cell>
          <cell r="X1062" t="str">
            <v/>
          </cell>
          <cell r="Y1062" t="str">
            <v/>
          </cell>
          <cell r="Z1062" t="str">
            <v/>
          </cell>
          <cell r="AA1062" t="str">
            <v/>
          </cell>
          <cell r="AB1062" t="str">
            <v>PA_4414155-UA.7005-4</v>
          </cell>
          <cell r="AC1062">
            <v>1</v>
          </cell>
          <cell r="AD1062" t="str">
            <v/>
          </cell>
          <cell r="AE1062">
            <v>0</v>
          </cell>
          <cell r="AF1062" t="str">
            <v/>
          </cell>
          <cell r="AG1062" t="str">
            <v>12533983</v>
          </cell>
          <cell r="AH1062">
            <v>44938.894571759258</v>
          </cell>
          <cell r="AI1062" t="str">
            <v>N38</v>
          </cell>
          <cell r="AJ1062" t="str">
            <v>F</v>
          </cell>
          <cell r="AK1062" t="str">
            <v/>
          </cell>
        </row>
        <row r="1063">
          <cell r="A1063" t="str">
            <v>12534944829051</v>
          </cell>
          <cell r="B1063" t="str">
            <v>BL20230413-2</v>
          </cell>
          <cell r="C1063" t="e">
            <v>#N/A</v>
          </cell>
          <cell r="D1063" t="str">
            <v>EK65</v>
          </cell>
          <cell r="E1063" t="str">
            <v>697485</v>
          </cell>
          <cell r="F1063" t="str">
            <v>E</v>
          </cell>
          <cell r="G1063" t="str">
            <v>12534944</v>
          </cell>
          <cell r="H1063" t="str">
            <v>Halter vollst.</v>
          </cell>
          <cell r="I1063">
            <v>1750</v>
          </cell>
          <cell r="J1063" t="str">
            <v>Stk</v>
          </cell>
          <cell r="K1063">
            <v>45345</v>
          </cell>
          <cell r="L1063" t="str">
            <v>829051</v>
          </cell>
          <cell r="M1063" t="str">
            <v/>
          </cell>
          <cell r="N1063" t="str">
            <v/>
          </cell>
          <cell r="O1063" t="str">
            <v/>
          </cell>
          <cell r="P1063" t="str">
            <v/>
          </cell>
          <cell r="Q1063" t="str">
            <v/>
          </cell>
          <cell r="R1063" t="str">
            <v/>
          </cell>
          <cell r="S1063" t="str">
            <v/>
          </cell>
          <cell r="T1063" t="str">
            <v/>
          </cell>
          <cell r="U1063" t="str">
            <v/>
          </cell>
          <cell r="V1063" t="str">
            <v>N38</v>
          </cell>
          <cell r="W1063" t="str">
            <v/>
          </cell>
          <cell r="X1063" t="str">
            <v/>
          </cell>
          <cell r="Y1063" t="str">
            <v/>
          </cell>
          <cell r="Z1063" t="str">
            <v/>
          </cell>
          <cell r="AA1063" t="str">
            <v/>
          </cell>
          <cell r="AB1063" t="str">
            <v>PA_4609224-JC.7004-4</v>
          </cell>
          <cell r="AC1063">
            <v>1</v>
          </cell>
          <cell r="AD1063" t="str">
            <v/>
          </cell>
          <cell r="AE1063">
            <v>0</v>
          </cell>
          <cell r="AF1063" t="str">
            <v/>
          </cell>
          <cell r="AG1063" t="str">
            <v>12534944</v>
          </cell>
          <cell r="AH1063">
            <v>44938.895555555559</v>
          </cell>
          <cell r="AI1063" t="str">
            <v>N38</v>
          </cell>
          <cell r="AJ1063" t="str">
            <v>F</v>
          </cell>
          <cell r="AK1063" t="str">
            <v/>
          </cell>
        </row>
        <row r="1064">
          <cell r="A1064" t="str">
            <v>12534944829052</v>
          </cell>
          <cell r="B1064" t="str">
            <v>Übergabe Task Force</v>
          </cell>
          <cell r="C1064" t="e">
            <v>#N/A</v>
          </cell>
          <cell r="D1064" t="str">
            <v>EK65</v>
          </cell>
          <cell r="E1064" t="str">
            <v>697486</v>
          </cell>
          <cell r="F1064" t="str">
            <v>E</v>
          </cell>
          <cell r="G1064" t="str">
            <v>12534944</v>
          </cell>
          <cell r="H1064" t="str">
            <v>Halter vollst.</v>
          </cell>
          <cell r="I1064">
            <v>561</v>
          </cell>
          <cell r="J1064" t="str">
            <v>Stk</v>
          </cell>
          <cell r="K1064">
            <v>45363</v>
          </cell>
          <cell r="L1064" t="str">
            <v>829052</v>
          </cell>
          <cell r="M1064" t="str">
            <v/>
          </cell>
          <cell r="N1064" t="str">
            <v/>
          </cell>
          <cell r="O1064" t="str">
            <v/>
          </cell>
          <cell r="P1064" t="str">
            <v/>
          </cell>
          <cell r="Q1064" t="str">
            <v/>
          </cell>
          <cell r="R1064" t="str">
            <v/>
          </cell>
          <cell r="S1064" t="str">
            <v/>
          </cell>
          <cell r="T1064" t="str">
            <v/>
          </cell>
          <cell r="U1064" t="str">
            <v/>
          </cell>
          <cell r="V1064" t="str">
            <v>N38</v>
          </cell>
          <cell r="W1064" t="str">
            <v/>
          </cell>
          <cell r="X1064" t="str">
            <v/>
          </cell>
          <cell r="Y1064" t="str">
            <v/>
          </cell>
          <cell r="Z1064" t="str">
            <v/>
          </cell>
          <cell r="AA1064" t="str">
            <v/>
          </cell>
          <cell r="AB1064" t="str">
            <v>PA_4609224-JC.7004-4</v>
          </cell>
          <cell r="AC1064">
            <v>1</v>
          </cell>
          <cell r="AD1064" t="str">
            <v/>
          </cell>
          <cell r="AE1064">
            <v>0</v>
          </cell>
          <cell r="AF1064" t="str">
            <v/>
          </cell>
          <cell r="AG1064" t="str">
            <v>12534944</v>
          </cell>
          <cell r="AH1064">
            <v>44938.895555555559</v>
          </cell>
          <cell r="AI1064" t="str">
            <v>N38</v>
          </cell>
          <cell r="AJ1064" t="str">
            <v>F</v>
          </cell>
          <cell r="AK1064" t="str">
            <v/>
          </cell>
        </row>
        <row r="1065">
          <cell r="A1065" t="str">
            <v>12536947829053</v>
          </cell>
          <cell r="B1065" t="str">
            <v>Übergabe Task Force</v>
          </cell>
          <cell r="C1065" t="e">
            <v>#N/A</v>
          </cell>
          <cell r="D1065" t="str">
            <v>EK65</v>
          </cell>
          <cell r="E1065" t="str">
            <v>697487</v>
          </cell>
          <cell r="F1065" t="str">
            <v>E</v>
          </cell>
          <cell r="G1065" t="str">
            <v>12536947</v>
          </cell>
          <cell r="H1065" t="str">
            <v>Halter vollst.</v>
          </cell>
          <cell r="I1065">
            <v>62</v>
          </cell>
          <cell r="J1065" t="str">
            <v>Stk</v>
          </cell>
          <cell r="K1065">
            <v>45294</v>
          </cell>
          <cell r="L1065" t="str">
            <v>829053</v>
          </cell>
          <cell r="M1065" t="str">
            <v/>
          </cell>
          <cell r="N1065" t="str">
            <v/>
          </cell>
          <cell r="O1065" t="str">
            <v/>
          </cell>
          <cell r="P1065" t="str">
            <v/>
          </cell>
          <cell r="Q1065" t="str">
            <v/>
          </cell>
          <cell r="R1065" t="str">
            <v/>
          </cell>
          <cell r="S1065" t="str">
            <v/>
          </cell>
          <cell r="T1065" t="str">
            <v/>
          </cell>
          <cell r="U1065" t="str">
            <v/>
          </cell>
          <cell r="V1065" t="str">
            <v>N38</v>
          </cell>
          <cell r="W1065" t="str">
            <v/>
          </cell>
          <cell r="X1065" t="str">
            <v/>
          </cell>
          <cell r="Y1065" t="str">
            <v/>
          </cell>
          <cell r="Z1065" t="str">
            <v/>
          </cell>
          <cell r="AA1065" t="str">
            <v/>
          </cell>
          <cell r="AB1065" t="str">
            <v>PA_4629034-LD.7005-4</v>
          </cell>
          <cell r="AC1065">
            <v>1</v>
          </cell>
          <cell r="AD1065" t="str">
            <v/>
          </cell>
          <cell r="AE1065">
            <v>0</v>
          </cell>
          <cell r="AF1065" t="str">
            <v/>
          </cell>
          <cell r="AG1065" t="str">
            <v>12536947</v>
          </cell>
          <cell r="AH1065">
            <v>44938.896226851852</v>
          </cell>
          <cell r="AI1065" t="str">
            <v>N38</v>
          </cell>
          <cell r="AJ1065" t="str">
            <v>F</v>
          </cell>
          <cell r="AK1065" t="str">
            <v/>
          </cell>
        </row>
        <row r="1066">
          <cell r="A1066" t="str">
            <v>12547534829051</v>
          </cell>
          <cell r="B1066" t="str">
            <v>BL20230413-2</v>
          </cell>
          <cell r="C1066" t="e">
            <v>#N/A</v>
          </cell>
          <cell r="D1066" t="str">
            <v>EK65</v>
          </cell>
          <cell r="E1066" t="str">
            <v>697492</v>
          </cell>
          <cell r="F1066" t="str">
            <v>E</v>
          </cell>
          <cell r="G1066" t="str">
            <v>12547534</v>
          </cell>
          <cell r="H1066" t="str">
            <v>Halter vollst.</v>
          </cell>
          <cell r="I1066">
            <v>84</v>
          </cell>
          <cell r="J1066" t="str">
            <v>Stk</v>
          </cell>
          <cell r="K1066">
            <v>45344</v>
          </cell>
          <cell r="L1066" t="str">
            <v>829051</v>
          </cell>
          <cell r="M1066" t="str">
            <v/>
          </cell>
          <cell r="N1066" t="str">
            <v/>
          </cell>
          <cell r="O1066" t="str">
            <v/>
          </cell>
          <cell r="P1066" t="str">
            <v/>
          </cell>
          <cell r="Q1066" t="str">
            <v/>
          </cell>
          <cell r="R1066" t="str">
            <v/>
          </cell>
          <cell r="S1066" t="str">
            <v/>
          </cell>
          <cell r="T1066" t="str">
            <v/>
          </cell>
          <cell r="U1066" t="str">
            <v/>
          </cell>
          <cell r="V1066" t="str">
            <v>N38</v>
          </cell>
          <cell r="W1066" t="str">
            <v/>
          </cell>
          <cell r="X1066" t="str">
            <v/>
          </cell>
          <cell r="Y1066" t="str">
            <v/>
          </cell>
          <cell r="Z1066" t="str">
            <v/>
          </cell>
          <cell r="AA1066" t="str">
            <v/>
          </cell>
          <cell r="AB1066" t="str">
            <v>PA_4491313-UA.7004-3</v>
          </cell>
          <cell r="AC1066">
            <v>1</v>
          </cell>
          <cell r="AD1066" t="str">
            <v/>
          </cell>
          <cell r="AE1066">
            <v>0</v>
          </cell>
          <cell r="AF1066" t="str">
            <v/>
          </cell>
          <cell r="AG1066" t="str">
            <v>12547534</v>
          </cell>
          <cell r="AH1066">
            <v>44938.897349537037</v>
          </cell>
          <cell r="AI1066" t="str">
            <v>N38</v>
          </cell>
          <cell r="AJ1066" t="str">
            <v>F</v>
          </cell>
          <cell r="AK1066" t="str">
            <v/>
          </cell>
        </row>
        <row r="1067">
          <cell r="A1067" t="str">
            <v>12547534829052</v>
          </cell>
          <cell r="B1067" t="str">
            <v>BL20230413-2</v>
          </cell>
          <cell r="C1067" t="e">
            <v>#N/A</v>
          </cell>
          <cell r="D1067" t="str">
            <v>EK65</v>
          </cell>
          <cell r="E1067" t="str">
            <v>697493</v>
          </cell>
          <cell r="F1067" t="str">
            <v>E</v>
          </cell>
          <cell r="G1067" t="str">
            <v>12547534</v>
          </cell>
          <cell r="H1067" t="str">
            <v>Halter vollst.</v>
          </cell>
          <cell r="I1067">
            <v>62</v>
          </cell>
          <cell r="J1067" t="str">
            <v>Stk</v>
          </cell>
          <cell r="K1067">
            <v>45345</v>
          </cell>
          <cell r="L1067" t="str">
            <v>829052</v>
          </cell>
          <cell r="M1067" t="str">
            <v/>
          </cell>
          <cell r="N1067" t="str">
            <v/>
          </cell>
          <cell r="O1067" t="str">
            <v/>
          </cell>
          <cell r="P1067" t="str">
            <v/>
          </cell>
          <cell r="Q1067" t="str">
            <v/>
          </cell>
          <cell r="R1067" t="str">
            <v/>
          </cell>
          <cell r="S1067" t="str">
            <v/>
          </cell>
          <cell r="T1067" t="str">
            <v/>
          </cell>
          <cell r="U1067" t="str">
            <v/>
          </cell>
          <cell r="V1067" t="str">
            <v>N38</v>
          </cell>
          <cell r="W1067" t="str">
            <v/>
          </cell>
          <cell r="X1067" t="str">
            <v/>
          </cell>
          <cell r="Y1067" t="str">
            <v/>
          </cell>
          <cell r="Z1067" t="str">
            <v/>
          </cell>
          <cell r="AA1067" t="str">
            <v/>
          </cell>
          <cell r="AB1067" t="str">
            <v>PA_4491313-UA.7004-3</v>
          </cell>
          <cell r="AC1067">
            <v>1</v>
          </cell>
          <cell r="AD1067" t="str">
            <v/>
          </cell>
          <cell r="AE1067">
            <v>0</v>
          </cell>
          <cell r="AF1067" t="str">
            <v/>
          </cell>
          <cell r="AG1067" t="str">
            <v>12547534</v>
          </cell>
          <cell r="AH1067">
            <v>44938.897349537037</v>
          </cell>
          <cell r="AI1067" t="str">
            <v>N38</v>
          </cell>
          <cell r="AJ1067" t="str">
            <v>F</v>
          </cell>
          <cell r="AK1067" t="str">
            <v/>
          </cell>
        </row>
        <row r="1068">
          <cell r="A1068" t="str">
            <v>12549500829051</v>
          </cell>
          <cell r="B1068" t="str">
            <v>BL20230413-2</v>
          </cell>
          <cell r="C1068" t="e">
            <v>#N/A</v>
          </cell>
          <cell r="D1068" t="str">
            <v>EK65</v>
          </cell>
          <cell r="E1068" t="str">
            <v>697496</v>
          </cell>
          <cell r="F1068" t="str">
            <v>E</v>
          </cell>
          <cell r="G1068" t="str">
            <v>12549500</v>
          </cell>
          <cell r="H1068" t="str">
            <v>Halter vollst.</v>
          </cell>
          <cell r="I1068">
            <v>86</v>
          </cell>
          <cell r="J1068" t="str">
            <v>Stk</v>
          </cell>
          <cell r="K1068">
            <v>45336</v>
          </cell>
          <cell r="L1068" t="str">
            <v>829051</v>
          </cell>
          <cell r="M1068" t="str">
            <v/>
          </cell>
          <cell r="N1068" t="str">
            <v/>
          </cell>
          <cell r="O1068" t="str">
            <v/>
          </cell>
          <cell r="P1068" t="str">
            <v/>
          </cell>
          <cell r="Q1068" t="str">
            <v/>
          </cell>
          <cell r="R1068" t="str">
            <v/>
          </cell>
          <cell r="S1068" t="str">
            <v/>
          </cell>
          <cell r="T1068" t="str">
            <v/>
          </cell>
          <cell r="U1068" t="str">
            <v/>
          </cell>
          <cell r="V1068" t="str">
            <v>N38</v>
          </cell>
          <cell r="W1068" t="str">
            <v/>
          </cell>
          <cell r="X1068" t="str">
            <v/>
          </cell>
          <cell r="Y1068" t="str">
            <v/>
          </cell>
          <cell r="Z1068" t="str">
            <v/>
          </cell>
          <cell r="AA1068" t="str">
            <v/>
          </cell>
          <cell r="AB1068" t="str">
            <v>PA_4671869-UA.7004-3</v>
          </cell>
          <cell r="AC1068">
            <v>1</v>
          </cell>
          <cell r="AD1068" t="str">
            <v/>
          </cell>
          <cell r="AE1068">
            <v>0</v>
          </cell>
          <cell r="AF1068" t="str">
            <v/>
          </cell>
          <cell r="AG1068" t="str">
            <v>12549500</v>
          </cell>
          <cell r="AH1068">
            <v>44938.89744212963</v>
          </cell>
          <cell r="AI1068" t="str">
            <v>N38</v>
          </cell>
          <cell r="AJ1068" t="str">
            <v>F</v>
          </cell>
          <cell r="AK1068" t="str">
            <v/>
          </cell>
        </row>
        <row r="1069">
          <cell r="A1069" t="str">
            <v>12549500829052</v>
          </cell>
          <cell r="B1069" t="str">
            <v>Übergabe Task Force</v>
          </cell>
          <cell r="C1069" t="e">
            <v>#N/A</v>
          </cell>
          <cell r="D1069" t="str">
            <v>EK65</v>
          </cell>
          <cell r="E1069" t="str">
            <v>697497</v>
          </cell>
          <cell r="F1069" t="str">
            <v>E</v>
          </cell>
          <cell r="G1069" t="str">
            <v>12549500</v>
          </cell>
          <cell r="H1069" t="str">
            <v>Halter vollst.</v>
          </cell>
          <cell r="I1069">
            <v>30</v>
          </cell>
          <cell r="J1069" t="str">
            <v>Stk</v>
          </cell>
          <cell r="K1069">
            <v>45357</v>
          </cell>
          <cell r="L1069" t="str">
            <v>829052</v>
          </cell>
          <cell r="M1069" t="str">
            <v/>
          </cell>
          <cell r="N1069" t="str">
            <v/>
          </cell>
          <cell r="O1069" t="str">
            <v/>
          </cell>
          <cell r="P1069" t="str">
            <v/>
          </cell>
          <cell r="Q1069" t="str">
            <v/>
          </cell>
          <cell r="R1069" t="str">
            <v/>
          </cell>
          <cell r="S1069" t="str">
            <v/>
          </cell>
          <cell r="T1069" t="str">
            <v/>
          </cell>
          <cell r="U1069" t="str">
            <v/>
          </cell>
          <cell r="V1069" t="str">
            <v>N38</v>
          </cell>
          <cell r="W1069" t="str">
            <v/>
          </cell>
          <cell r="X1069" t="str">
            <v/>
          </cell>
          <cell r="Y1069" t="str">
            <v/>
          </cell>
          <cell r="Z1069" t="str">
            <v/>
          </cell>
          <cell r="AA1069" t="str">
            <v/>
          </cell>
          <cell r="AB1069" t="str">
            <v>PA_4671869-UA.7004-3</v>
          </cell>
          <cell r="AC1069">
            <v>1</v>
          </cell>
          <cell r="AD1069" t="str">
            <v/>
          </cell>
          <cell r="AE1069">
            <v>0</v>
          </cell>
          <cell r="AF1069" t="str">
            <v/>
          </cell>
          <cell r="AG1069" t="str">
            <v>12549500</v>
          </cell>
          <cell r="AH1069">
            <v>44938.89744212963</v>
          </cell>
          <cell r="AI1069" t="str">
            <v>N38</v>
          </cell>
          <cell r="AJ1069" t="str">
            <v>F</v>
          </cell>
          <cell r="AK1069" t="str">
            <v/>
          </cell>
        </row>
        <row r="1070">
          <cell r="A1070" t="str">
            <v>12550452829051</v>
          </cell>
          <cell r="B1070" t="str">
            <v>BL20230413-2</v>
          </cell>
          <cell r="C1070" t="e">
            <v>#N/A</v>
          </cell>
          <cell r="D1070" t="str">
            <v>EK65</v>
          </cell>
          <cell r="E1070" t="str">
            <v>697498</v>
          </cell>
          <cell r="F1070" t="str">
            <v>E</v>
          </cell>
          <cell r="G1070" t="str">
            <v>12550452</v>
          </cell>
          <cell r="H1070" t="str">
            <v>Halter vollst.</v>
          </cell>
          <cell r="I1070">
            <v>87</v>
          </cell>
          <cell r="J1070" t="str">
            <v>Stk</v>
          </cell>
          <cell r="K1070">
            <v>45335</v>
          </cell>
          <cell r="L1070" t="str">
            <v>829051</v>
          </cell>
          <cell r="M1070" t="str">
            <v/>
          </cell>
          <cell r="N1070" t="str">
            <v/>
          </cell>
          <cell r="O1070" t="str">
            <v/>
          </cell>
          <cell r="P1070" t="str">
            <v/>
          </cell>
          <cell r="Q1070" t="str">
            <v/>
          </cell>
          <cell r="R1070" t="str">
            <v/>
          </cell>
          <cell r="S1070" t="str">
            <v/>
          </cell>
          <cell r="T1070" t="str">
            <v/>
          </cell>
          <cell r="U1070" t="str">
            <v/>
          </cell>
          <cell r="V1070" t="str">
            <v>N38</v>
          </cell>
          <cell r="W1070" t="str">
            <v/>
          </cell>
          <cell r="X1070" t="str">
            <v/>
          </cell>
          <cell r="Y1070" t="str">
            <v/>
          </cell>
          <cell r="Z1070" t="str">
            <v/>
          </cell>
          <cell r="AA1070" t="str">
            <v/>
          </cell>
          <cell r="AB1070" t="str">
            <v>PA_4612488-UA.7004-3</v>
          </cell>
          <cell r="AC1070">
            <v>1</v>
          </cell>
          <cell r="AD1070" t="str">
            <v/>
          </cell>
          <cell r="AE1070">
            <v>0</v>
          </cell>
          <cell r="AF1070" t="str">
            <v/>
          </cell>
          <cell r="AG1070" t="str">
            <v>12550452</v>
          </cell>
          <cell r="AH1070">
            <v>44938.897465277776</v>
          </cell>
          <cell r="AI1070" t="str">
            <v>N38</v>
          </cell>
          <cell r="AJ1070" t="str">
            <v>F</v>
          </cell>
          <cell r="AK1070" t="str">
            <v/>
          </cell>
        </row>
        <row r="1071">
          <cell r="A1071" t="str">
            <v>12550452829052</v>
          </cell>
          <cell r="B1071" t="str">
            <v>Übergabe Task Force</v>
          </cell>
          <cell r="C1071" t="e">
            <v>#N/A</v>
          </cell>
          <cell r="D1071" t="str">
            <v>EK65</v>
          </cell>
          <cell r="E1071" t="str">
            <v>697499</v>
          </cell>
          <cell r="F1071" t="str">
            <v>E</v>
          </cell>
          <cell r="G1071" t="str">
            <v>12550452</v>
          </cell>
          <cell r="H1071" t="str">
            <v>Halter vollst.</v>
          </cell>
          <cell r="I1071">
            <v>30</v>
          </cell>
          <cell r="J1071" t="str">
            <v>Stk</v>
          </cell>
          <cell r="K1071">
            <v>45357</v>
          </cell>
          <cell r="L1071" t="str">
            <v>829052</v>
          </cell>
          <cell r="M1071" t="str">
            <v/>
          </cell>
          <cell r="N1071" t="str">
            <v/>
          </cell>
          <cell r="O1071" t="str">
            <v/>
          </cell>
          <cell r="P1071" t="str">
            <v/>
          </cell>
          <cell r="Q1071" t="str">
            <v/>
          </cell>
          <cell r="R1071" t="str">
            <v/>
          </cell>
          <cell r="S1071" t="str">
            <v/>
          </cell>
          <cell r="T1071" t="str">
            <v/>
          </cell>
          <cell r="U1071" t="str">
            <v/>
          </cell>
          <cell r="V1071" t="str">
            <v>N38</v>
          </cell>
          <cell r="W1071" t="str">
            <v/>
          </cell>
          <cell r="X1071" t="str">
            <v/>
          </cell>
          <cell r="Y1071" t="str">
            <v/>
          </cell>
          <cell r="Z1071" t="str">
            <v/>
          </cell>
          <cell r="AA1071" t="str">
            <v/>
          </cell>
          <cell r="AB1071" t="str">
            <v>PA_4612488-UA.7004-3</v>
          </cell>
          <cell r="AC1071">
            <v>1</v>
          </cell>
          <cell r="AD1071" t="str">
            <v/>
          </cell>
          <cell r="AE1071">
            <v>0</v>
          </cell>
          <cell r="AF1071" t="str">
            <v/>
          </cell>
          <cell r="AG1071" t="str">
            <v>12550452</v>
          </cell>
          <cell r="AH1071">
            <v>44938.897465277776</v>
          </cell>
          <cell r="AI1071" t="str">
            <v>N38</v>
          </cell>
          <cell r="AJ1071" t="str">
            <v>F</v>
          </cell>
          <cell r="AK1071" t="str">
            <v/>
          </cell>
        </row>
        <row r="1072">
          <cell r="A1072" t="str">
            <v>12616078829053</v>
          </cell>
          <cell r="B1072">
            <v>0</v>
          </cell>
          <cell r="C1072" t="e">
            <v>#N/A</v>
          </cell>
          <cell r="D1072" t="str">
            <v>EK65</v>
          </cell>
          <cell r="E1072" t="str">
            <v>697500</v>
          </cell>
          <cell r="F1072" t="str">
            <v>E</v>
          </cell>
          <cell r="G1072" t="str">
            <v>12616078</v>
          </cell>
          <cell r="H1072" t="str">
            <v>Winkel</v>
          </cell>
          <cell r="I1072">
            <v>306</v>
          </cell>
          <cell r="J1072" t="str">
            <v>Stk</v>
          </cell>
          <cell r="K1072">
            <v>45212</v>
          </cell>
          <cell r="L1072" t="str">
            <v>829053</v>
          </cell>
          <cell r="M1072" t="str">
            <v/>
          </cell>
          <cell r="N1072" t="str">
            <v/>
          </cell>
          <cell r="O1072" t="str">
            <v/>
          </cell>
          <cell r="P1072" t="str">
            <v/>
          </cell>
          <cell r="Q1072" t="str">
            <v/>
          </cell>
          <cell r="R1072" t="str">
            <v/>
          </cell>
          <cell r="S1072" t="str">
            <v/>
          </cell>
          <cell r="T1072" t="str">
            <v/>
          </cell>
          <cell r="U1072" t="str">
            <v/>
          </cell>
          <cell r="V1072" t="str">
            <v>N52</v>
          </cell>
          <cell r="W1072" t="str">
            <v/>
          </cell>
          <cell r="X1072" t="str">
            <v/>
          </cell>
          <cell r="Y1072" t="str">
            <v/>
          </cell>
          <cell r="Z1072" t="str">
            <v/>
          </cell>
          <cell r="AA1072" t="str">
            <v/>
          </cell>
          <cell r="AB1072" t="str">
            <v>PA_5022097-CD.7005-4</v>
          </cell>
          <cell r="AC1072">
            <v>1</v>
          </cell>
          <cell r="AD1072" t="str">
            <v/>
          </cell>
          <cell r="AE1072">
            <v>0</v>
          </cell>
          <cell r="AF1072" t="str">
            <v/>
          </cell>
          <cell r="AG1072" t="str">
            <v>12616078</v>
          </cell>
          <cell r="AH1072">
            <v>44938.898240740738</v>
          </cell>
          <cell r="AI1072" t="str">
            <v>N52</v>
          </cell>
          <cell r="AJ1072" t="str">
            <v>F</v>
          </cell>
          <cell r="AK1072" t="str">
            <v/>
          </cell>
        </row>
        <row r="1073">
          <cell r="A1073" t="str">
            <v>1841915829051</v>
          </cell>
          <cell r="B1073" t="str">
            <v>Übergabe Task Force</v>
          </cell>
          <cell r="C1073" t="e">
            <v>#N/A</v>
          </cell>
          <cell r="D1073" t="str">
            <v>EK65</v>
          </cell>
          <cell r="E1073" t="str">
            <v>697511</v>
          </cell>
          <cell r="F1073" t="str">
            <v>E</v>
          </cell>
          <cell r="G1073" t="str">
            <v>1841915</v>
          </cell>
          <cell r="H1073" t="str">
            <v>Griffblech E16</v>
          </cell>
          <cell r="I1073">
            <v>162</v>
          </cell>
          <cell r="J1073" t="str">
            <v>Stk</v>
          </cell>
          <cell r="K1073">
            <v>45232</v>
          </cell>
          <cell r="L1073" t="str">
            <v>829051</v>
          </cell>
          <cell r="M1073" t="str">
            <v/>
          </cell>
          <cell r="N1073" t="str">
            <v/>
          </cell>
          <cell r="O1073" t="str">
            <v/>
          </cell>
          <cell r="P1073" t="str">
            <v/>
          </cell>
          <cell r="Q1073" t="str">
            <v/>
          </cell>
          <cell r="R1073" t="str">
            <v/>
          </cell>
          <cell r="S1073" t="str">
            <v/>
          </cell>
          <cell r="T1073" t="str">
            <v/>
          </cell>
          <cell r="U1073" t="str">
            <v/>
          </cell>
          <cell r="V1073" t="str">
            <v>N38</v>
          </cell>
          <cell r="W1073" t="str">
            <v/>
          </cell>
          <cell r="X1073" t="str">
            <v/>
          </cell>
          <cell r="Y1073" t="str">
            <v/>
          </cell>
          <cell r="Z1073" t="str">
            <v/>
          </cell>
          <cell r="AA1073" t="str">
            <v/>
          </cell>
          <cell r="AB1073" t="str">
            <v>PA_2308210-UA.3046-1</v>
          </cell>
          <cell r="AC1073">
            <v>1</v>
          </cell>
          <cell r="AD1073" t="str">
            <v/>
          </cell>
          <cell r="AE1073">
            <v>0</v>
          </cell>
          <cell r="AF1073" t="str">
            <v/>
          </cell>
          <cell r="AG1073" t="str">
            <v>1841915</v>
          </cell>
          <cell r="AH1073">
            <v>44938.901516203703</v>
          </cell>
          <cell r="AI1073" t="str">
            <v>N38</v>
          </cell>
          <cell r="AJ1073" t="str">
            <v>F</v>
          </cell>
          <cell r="AK1073" t="str">
            <v/>
          </cell>
        </row>
        <row r="1074">
          <cell r="A1074" t="str">
            <v>0209465831003</v>
          </cell>
          <cell r="B1074" t="str">
            <v>Übergabe Task Force NSB, Bestand vorhanden umbuchen</v>
          </cell>
          <cell r="C1074" t="e">
            <v>#N/A</v>
          </cell>
          <cell r="D1074" t="str">
            <v>EK65</v>
          </cell>
          <cell r="E1074" t="str">
            <v>697551</v>
          </cell>
          <cell r="F1074" t="str">
            <v>E</v>
          </cell>
          <cell r="G1074" t="str">
            <v>0209465</v>
          </cell>
          <cell r="H1074" t="str">
            <v>SPEZIAL UNTERLEG- SCHEIBE D55X36,5X2</v>
          </cell>
          <cell r="I1074">
            <v>11</v>
          </cell>
          <cell r="J1074" t="str">
            <v>Stk</v>
          </cell>
          <cell r="K1074">
            <v>45008</v>
          </cell>
          <cell r="L1074" t="str">
            <v>831003</v>
          </cell>
          <cell r="M1074" t="str">
            <v/>
          </cell>
          <cell r="N1074" t="str">
            <v/>
          </cell>
          <cell r="O1074" t="str">
            <v/>
          </cell>
          <cell r="P1074" t="str">
            <v/>
          </cell>
          <cell r="Q1074" t="str">
            <v/>
          </cell>
          <cell r="R1074" t="str">
            <v/>
          </cell>
          <cell r="S1074" t="str">
            <v/>
          </cell>
          <cell r="T1074" t="str">
            <v/>
          </cell>
          <cell r="U1074" t="str">
            <v/>
          </cell>
          <cell r="V1074" t="str">
            <v>K30</v>
          </cell>
          <cell r="W1074" t="str">
            <v/>
          </cell>
          <cell r="X1074" t="str">
            <v/>
          </cell>
          <cell r="Y1074" t="str">
            <v/>
          </cell>
          <cell r="Z1074" t="str">
            <v/>
          </cell>
          <cell r="AA1074" t="str">
            <v/>
          </cell>
          <cell r="AB1074" t="str">
            <v>CHX1006075-QB.3000-4</v>
          </cell>
          <cell r="AC1074">
            <v>1</v>
          </cell>
          <cell r="AD1074" t="str">
            <v/>
          </cell>
          <cell r="AE1074">
            <v>0</v>
          </cell>
          <cell r="AF1074" t="str">
            <v/>
          </cell>
          <cell r="AG1074" t="str">
            <v>0209465</v>
          </cell>
          <cell r="AH1074">
            <v>44938.939143518517</v>
          </cell>
          <cell r="AI1074" t="str">
            <v>K30</v>
          </cell>
          <cell r="AJ1074" t="str">
            <v>F</v>
          </cell>
          <cell r="AK1074" t="str">
            <v>B</v>
          </cell>
        </row>
        <row r="1075">
          <cell r="A1075" t="str">
            <v>12486525829053</v>
          </cell>
          <cell r="B1075" t="e">
            <v>#N/A</v>
          </cell>
          <cell r="C1075" t="e">
            <v>#N/A</v>
          </cell>
          <cell r="D1075" t="str">
            <v>EK65</v>
          </cell>
          <cell r="E1075" t="str">
            <v>697592</v>
          </cell>
          <cell r="F1075" t="str">
            <v>E</v>
          </cell>
          <cell r="G1075" t="str">
            <v>12486525</v>
          </cell>
          <cell r="H1075" t="str">
            <v>Halter vollst.</v>
          </cell>
          <cell r="I1075">
            <v>51</v>
          </cell>
          <cell r="J1075" t="str">
            <v>Stk</v>
          </cell>
          <cell r="K1075">
            <v>45196</v>
          </cell>
          <cell r="L1075" t="str">
            <v>829053</v>
          </cell>
          <cell r="M1075" t="str">
            <v/>
          </cell>
          <cell r="N1075" t="str">
            <v/>
          </cell>
          <cell r="O1075" t="str">
            <v/>
          </cell>
          <cell r="P1075" t="str">
            <v/>
          </cell>
          <cell r="Q1075" t="str">
            <v/>
          </cell>
          <cell r="R1075" t="str">
            <v/>
          </cell>
          <cell r="S1075" t="str">
            <v/>
          </cell>
          <cell r="T1075" t="str">
            <v/>
          </cell>
          <cell r="U1075" t="str">
            <v/>
          </cell>
          <cell r="V1075" t="str">
            <v>N38</v>
          </cell>
          <cell r="W1075" t="str">
            <v/>
          </cell>
          <cell r="X1075" t="str">
            <v/>
          </cell>
          <cell r="Y1075" t="str">
            <v/>
          </cell>
          <cell r="Z1075" t="str">
            <v/>
          </cell>
          <cell r="AA1075" t="str">
            <v/>
          </cell>
          <cell r="AB1075" t="str">
            <v>PA_4284005-QE.7005-4</v>
          </cell>
          <cell r="AC1075">
            <v>1</v>
          </cell>
          <cell r="AD1075" t="str">
            <v/>
          </cell>
          <cell r="AE1075">
            <v>0</v>
          </cell>
          <cell r="AF1075" t="str">
            <v/>
          </cell>
          <cell r="AG1075" t="str">
            <v>12486525</v>
          </cell>
          <cell r="AH1075">
            <v>44939.875925925924</v>
          </cell>
          <cell r="AI1075" t="str">
            <v>N38</v>
          </cell>
          <cell r="AJ1075" t="str">
            <v>F</v>
          </cell>
          <cell r="AK1075" t="str">
            <v/>
          </cell>
        </row>
        <row r="1076">
          <cell r="A1076" t="str">
            <v>12490386829053</v>
          </cell>
          <cell r="B1076" t="e">
            <v>#N/A</v>
          </cell>
          <cell r="C1076" t="e">
            <v>#N/A</v>
          </cell>
          <cell r="D1076" t="str">
            <v>EK65</v>
          </cell>
          <cell r="E1076" t="str">
            <v>697593</v>
          </cell>
          <cell r="F1076" t="str">
            <v>E</v>
          </cell>
          <cell r="G1076" t="str">
            <v>12490386</v>
          </cell>
          <cell r="H1076" t="str">
            <v>Halter vollst.</v>
          </cell>
          <cell r="I1076">
            <v>51</v>
          </cell>
          <cell r="J1076" t="str">
            <v>Stk</v>
          </cell>
          <cell r="K1076">
            <v>45196</v>
          </cell>
          <cell r="L1076" t="str">
            <v>829053</v>
          </cell>
          <cell r="M1076" t="str">
            <v/>
          </cell>
          <cell r="N1076" t="str">
            <v/>
          </cell>
          <cell r="O1076" t="str">
            <v/>
          </cell>
          <cell r="P1076" t="str">
            <v/>
          </cell>
          <cell r="Q1076" t="str">
            <v/>
          </cell>
          <cell r="R1076" t="str">
            <v/>
          </cell>
          <cell r="S1076" t="str">
            <v/>
          </cell>
          <cell r="T1076" t="str">
            <v/>
          </cell>
          <cell r="U1076" t="str">
            <v/>
          </cell>
          <cell r="V1076" t="str">
            <v>N38</v>
          </cell>
          <cell r="W1076" t="str">
            <v/>
          </cell>
          <cell r="X1076" t="str">
            <v/>
          </cell>
          <cell r="Y1076" t="str">
            <v/>
          </cell>
          <cell r="Z1076" t="str">
            <v/>
          </cell>
          <cell r="AA1076" t="str">
            <v/>
          </cell>
          <cell r="AB1076" t="str">
            <v>PA_4446314-QE.7005-3</v>
          </cell>
          <cell r="AC1076">
            <v>1</v>
          </cell>
          <cell r="AD1076" t="str">
            <v/>
          </cell>
          <cell r="AE1076">
            <v>0</v>
          </cell>
          <cell r="AF1076" t="str">
            <v/>
          </cell>
          <cell r="AG1076" t="str">
            <v>12490386</v>
          </cell>
          <cell r="AH1076">
            <v>44939.876238425924</v>
          </cell>
          <cell r="AI1076" t="str">
            <v>N38</v>
          </cell>
          <cell r="AJ1076" t="str">
            <v>F</v>
          </cell>
          <cell r="AK1076" t="str">
            <v/>
          </cell>
        </row>
        <row r="1077">
          <cell r="A1077" t="str">
            <v>12502235829054</v>
          </cell>
          <cell r="B1077" t="str">
            <v>BL20230413-2</v>
          </cell>
          <cell r="C1077" t="e">
            <v>#N/A</v>
          </cell>
          <cell r="D1077" t="str">
            <v>EK65</v>
          </cell>
          <cell r="E1077" t="str">
            <v>697594</v>
          </cell>
          <cell r="F1077" t="str">
            <v>E</v>
          </cell>
          <cell r="G1077" t="str">
            <v>12502235</v>
          </cell>
          <cell r="H1077" t="str">
            <v>Halter vollst.</v>
          </cell>
          <cell r="I1077">
            <v>48</v>
          </cell>
          <cell r="J1077" t="str">
            <v>Stk</v>
          </cell>
          <cell r="K1077">
            <v>45279</v>
          </cell>
          <cell r="L1077" t="str">
            <v>829054</v>
          </cell>
          <cell r="M1077" t="str">
            <v/>
          </cell>
          <cell r="N1077" t="str">
            <v/>
          </cell>
          <cell r="O1077" t="str">
            <v/>
          </cell>
          <cell r="P1077" t="str">
            <v/>
          </cell>
          <cell r="Q1077" t="str">
            <v/>
          </cell>
          <cell r="R1077" t="str">
            <v/>
          </cell>
          <cell r="S1077" t="str">
            <v/>
          </cell>
          <cell r="T1077" t="str">
            <v/>
          </cell>
          <cell r="U1077" t="str">
            <v/>
          </cell>
          <cell r="V1077" t="str">
            <v>N38</v>
          </cell>
          <cell r="W1077" t="str">
            <v/>
          </cell>
          <cell r="X1077" t="str">
            <v/>
          </cell>
          <cell r="Y1077" t="str">
            <v/>
          </cell>
          <cell r="Z1077" t="str">
            <v/>
          </cell>
          <cell r="AA1077" t="str">
            <v/>
          </cell>
          <cell r="AB1077" t="str">
            <v>PA_4487066-LC.7005-3</v>
          </cell>
          <cell r="AC1077">
            <v>1</v>
          </cell>
          <cell r="AD1077" t="str">
            <v/>
          </cell>
          <cell r="AE1077">
            <v>0</v>
          </cell>
          <cell r="AF1077" t="str">
            <v/>
          </cell>
          <cell r="AG1077" t="str">
            <v>12502235</v>
          </cell>
          <cell r="AH1077">
            <v>44939.877326388887</v>
          </cell>
          <cell r="AI1077" t="str">
            <v>N38</v>
          </cell>
          <cell r="AJ1077" t="str">
            <v>F</v>
          </cell>
          <cell r="AK1077" t="str">
            <v/>
          </cell>
        </row>
        <row r="1078">
          <cell r="A1078" t="str">
            <v>12502235829053</v>
          </cell>
          <cell r="B1078" t="e">
            <v>#N/A</v>
          </cell>
          <cell r="C1078" t="e">
            <v>#N/A</v>
          </cell>
          <cell r="D1078" t="str">
            <v>EK65</v>
          </cell>
          <cell r="E1078" t="str">
            <v>697595</v>
          </cell>
          <cell r="F1078" t="str">
            <v>E</v>
          </cell>
          <cell r="G1078" t="str">
            <v>12502235</v>
          </cell>
          <cell r="H1078" t="str">
            <v>Halter vollst.</v>
          </cell>
          <cell r="I1078">
            <v>56</v>
          </cell>
          <cell r="J1078" t="str">
            <v>Stk</v>
          </cell>
          <cell r="K1078">
            <v>45302</v>
          </cell>
          <cell r="L1078" t="str">
            <v>829053</v>
          </cell>
          <cell r="M1078" t="str">
            <v/>
          </cell>
          <cell r="N1078" t="str">
            <v/>
          </cell>
          <cell r="O1078" t="str">
            <v/>
          </cell>
          <cell r="P1078" t="str">
            <v/>
          </cell>
          <cell r="Q1078" t="str">
            <v/>
          </cell>
          <cell r="R1078" t="str">
            <v/>
          </cell>
          <cell r="S1078" t="str">
            <v/>
          </cell>
          <cell r="T1078" t="str">
            <v/>
          </cell>
          <cell r="U1078" t="str">
            <v/>
          </cell>
          <cell r="V1078" t="str">
            <v>N38</v>
          </cell>
          <cell r="W1078" t="str">
            <v/>
          </cell>
          <cell r="X1078" t="str">
            <v/>
          </cell>
          <cell r="Y1078" t="str">
            <v/>
          </cell>
          <cell r="Z1078" t="str">
            <v/>
          </cell>
          <cell r="AA1078" t="str">
            <v/>
          </cell>
          <cell r="AB1078" t="str">
            <v>PA_4487066-LC.7005-3</v>
          </cell>
          <cell r="AC1078">
            <v>1</v>
          </cell>
          <cell r="AD1078" t="str">
            <v/>
          </cell>
          <cell r="AE1078">
            <v>0</v>
          </cell>
          <cell r="AF1078" t="str">
            <v/>
          </cell>
          <cell r="AG1078" t="str">
            <v>12502235</v>
          </cell>
          <cell r="AH1078">
            <v>44939.877326388887</v>
          </cell>
          <cell r="AI1078" t="str">
            <v>N38</v>
          </cell>
          <cell r="AJ1078" t="str">
            <v>F</v>
          </cell>
          <cell r="AK1078" t="str">
            <v/>
          </cell>
        </row>
        <row r="1079">
          <cell r="A1079" t="str">
            <v>12502236829054</v>
          </cell>
          <cell r="B1079" t="str">
            <v>BL20230413-2</v>
          </cell>
          <cell r="C1079" t="e">
            <v>#N/A</v>
          </cell>
          <cell r="D1079" t="str">
            <v>EK65</v>
          </cell>
          <cell r="E1079" t="str">
            <v>697596</v>
          </cell>
          <cell r="F1079" t="str">
            <v>E</v>
          </cell>
          <cell r="G1079" t="str">
            <v>12502236</v>
          </cell>
          <cell r="H1079" t="str">
            <v>Halter vollst.</v>
          </cell>
          <cell r="I1079">
            <v>48</v>
          </cell>
          <cell r="J1079" t="str">
            <v>Stk</v>
          </cell>
          <cell r="K1079">
            <v>45279</v>
          </cell>
          <cell r="L1079" t="str">
            <v>829054</v>
          </cell>
          <cell r="M1079" t="str">
            <v/>
          </cell>
          <cell r="N1079" t="str">
            <v/>
          </cell>
          <cell r="O1079" t="str">
            <v/>
          </cell>
          <cell r="P1079" t="str">
            <v/>
          </cell>
          <cell r="Q1079" t="str">
            <v/>
          </cell>
          <cell r="R1079" t="str">
            <v/>
          </cell>
          <cell r="S1079" t="str">
            <v/>
          </cell>
          <cell r="T1079" t="str">
            <v/>
          </cell>
          <cell r="U1079" t="str">
            <v/>
          </cell>
          <cell r="V1079" t="str">
            <v>N38</v>
          </cell>
          <cell r="W1079" t="str">
            <v/>
          </cell>
          <cell r="X1079" t="str">
            <v/>
          </cell>
          <cell r="Y1079" t="str">
            <v/>
          </cell>
          <cell r="Z1079" t="str">
            <v/>
          </cell>
          <cell r="AA1079" t="str">
            <v/>
          </cell>
          <cell r="AB1079" t="str">
            <v>PA_4487096-LC.7005-3</v>
          </cell>
          <cell r="AC1079">
            <v>1</v>
          </cell>
          <cell r="AD1079" t="str">
            <v/>
          </cell>
          <cell r="AE1079">
            <v>0</v>
          </cell>
          <cell r="AF1079" t="str">
            <v/>
          </cell>
          <cell r="AG1079" t="str">
            <v>12502236</v>
          </cell>
          <cell r="AH1079">
            <v>44939.877337962964</v>
          </cell>
          <cell r="AI1079" t="str">
            <v>N38</v>
          </cell>
          <cell r="AJ1079" t="str">
            <v>F</v>
          </cell>
          <cell r="AK1079" t="str">
            <v/>
          </cell>
        </row>
        <row r="1080">
          <cell r="A1080" t="str">
            <v>12502236829053</v>
          </cell>
          <cell r="B1080" t="e">
            <v>#N/A</v>
          </cell>
          <cell r="C1080" t="e">
            <v>#N/A</v>
          </cell>
          <cell r="D1080" t="str">
            <v>EK65</v>
          </cell>
          <cell r="E1080" t="str">
            <v>697597</v>
          </cell>
          <cell r="F1080" t="str">
            <v>E</v>
          </cell>
          <cell r="G1080" t="str">
            <v>12502236</v>
          </cell>
          <cell r="H1080" t="str">
            <v>Halter vollst.</v>
          </cell>
          <cell r="I1080">
            <v>56</v>
          </cell>
          <cell r="J1080" t="str">
            <v>Stk</v>
          </cell>
          <cell r="K1080">
            <v>45302</v>
          </cell>
          <cell r="L1080" t="str">
            <v>829053</v>
          </cell>
          <cell r="M1080" t="str">
            <v/>
          </cell>
          <cell r="N1080" t="str">
            <v/>
          </cell>
          <cell r="O1080" t="str">
            <v/>
          </cell>
          <cell r="P1080" t="str">
            <v/>
          </cell>
          <cell r="Q1080" t="str">
            <v/>
          </cell>
          <cell r="R1080" t="str">
            <v/>
          </cell>
          <cell r="S1080" t="str">
            <v/>
          </cell>
          <cell r="T1080" t="str">
            <v/>
          </cell>
          <cell r="U1080" t="str">
            <v/>
          </cell>
          <cell r="V1080" t="str">
            <v>N38</v>
          </cell>
          <cell r="W1080" t="str">
            <v/>
          </cell>
          <cell r="X1080" t="str">
            <v/>
          </cell>
          <cell r="Y1080" t="str">
            <v/>
          </cell>
          <cell r="Z1080" t="str">
            <v/>
          </cell>
          <cell r="AA1080" t="str">
            <v/>
          </cell>
          <cell r="AB1080" t="str">
            <v>PA_4487096-LC.7005-3</v>
          </cell>
          <cell r="AC1080">
            <v>1</v>
          </cell>
          <cell r="AD1080" t="str">
            <v/>
          </cell>
          <cell r="AE1080">
            <v>0</v>
          </cell>
          <cell r="AF1080" t="str">
            <v/>
          </cell>
          <cell r="AG1080" t="str">
            <v>12502236</v>
          </cell>
          <cell r="AH1080">
            <v>44939.877337962964</v>
          </cell>
          <cell r="AI1080" t="str">
            <v>N38</v>
          </cell>
          <cell r="AJ1080" t="str">
            <v>F</v>
          </cell>
          <cell r="AK1080" t="str">
            <v/>
          </cell>
        </row>
        <row r="1081">
          <cell r="A1081" t="str">
            <v>12555340829051</v>
          </cell>
          <cell r="B1081" t="e">
            <v>#N/A</v>
          </cell>
          <cell r="C1081" t="e">
            <v>#N/A</v>
          </cell>
          <cell r="D1081" t="str">
            <v>EK65</v>
          </cell>
          <cell r="E1081" t="str">
            <v>697601</v>
          </cell>
          <cell r="F1081" t="str">
            <v>E</v>
          </cell>
          <cell r="G1081" t="str">
            <v>12555340</v>
          </cell>
          <cell r="H1081" t="str">
            <v>Halter vollst.</v>
          </cell>
          <cell r="I1081">
            <v>90</v>
          </cell>
          <cell r="J1081" t="str">
            <v>Stk</v>
          </cell>
          <cell r="K1081">
            <v>45322</v>
          </cell>
          <cell r="L1081" t="str">
            <v>829051</v>
          </cell>
          <cell r="M1081" t="str">
            <v/>
          </cell>
          <cell r="N1081" t="str">
            <v/>
          </cell>
          <cell r="O1081" t="str">
            <v/>
          </cell>
          <cell r="P1081" t="str">
            <v/>
          </cell>
          <cell r="Q1081" t="str">
            <v/>
          </cell>
          <cell r="R1081" t="str">
            <v/>
          </cell>
          <cell r="S1081" t="str">
            <v/>
          </cell>
          <cell r="T1081" t="str">
            <v/>
          </cell>
          <cell r="U1081" t="str">
            <v/>
          </cell>
          <cell r="V1081" t="str">
            <v>N38</v>
          </cell>
          <cell r="W1081" t="str">
            <v/>
          </cell>
          <cell r="X1081" t="str">
            <v/>
          </cell>
          <cell r="Y1081" t="str">
            <v/>
          </cell>
          <cell r="Z1081" t="str">
            <v/>
          </cell>
          <cell r="AA1081" t="str">
            <v/>
          </cell>
          <cell r="AB1081" t="str">
            <v>PA_4716149-UA.7004-3</v>
          </cell>
          <cell r="AC1081">
            <v>1</v>
          </cell>
          <cell r="AD1081" t="str">
            <v/>
          </cell>
          <cell r="AE1081">
            <v>0</v>
          </cell>
          <cell r="AF1081" t="str">
            <v/>
          </cell>
          <cell r="AG1081" t="str">
            <v>12555340</v>
          </cell>
          <cell r="AH1081">
            <v>44939.886250000003</v>
          </cell>
          <cell r="AI1081" t="str">
            <v>N38</v>
          </cell>
          <cell r="AJ1081" t="str">
            <v>F</v>
          </cell>
          <cell r="AK1081" t="str">
            <v/>
          </cell>
        </row>
        <row r="1082">
          <cell r="A1082" t="str">
            <v>12555762829051</v>
          </cell>
          <cell r="B1082" t="e">
            <v>#N/A</v>
          </cell>
          <cell r="C1082" t="e">
            <v>#N/A</v>
          </cell>
          <cell r="D1082" t="str">
            <v>EK65</v>
          </cell>
          <cell r="E1082" t="str">
            <v>697602</v>
          </cell>
          <cell r="F1082" t="str">
            <v>E</v>
          </cell>
          <cell r="G1082" t="str">
            <v>12555762</v>
          </cell>
          <cell r="H1082" t="str">
            <v>Halter vollst.</v>
          </cell>
          <cell r="I1082">
            <v>91</v>
          </cell>
          <cell r="J1082" t="str">
            <v>Stk</v>
          </cell>
          <cell r="K1082">
            <v>45321</v>
          </cell>
          <cell r="L1082" t="str">
            <v>829051</v>
          </cell>
          <cell r="M1082" t="str">
            <v/>
          </cell>
          <cell r="N1082" t="str">
            <v/>
          </cell>
          <cell r="O1082" t="str">
            <v/>
          </cell>
          <cell r="P1082" t="str">
            <v/>
          </cell>
          <cell r="Q1082" t="str">
            <v/>
          </cell>
          <cell r="R1082" t="str">
            <v/>
          </cell>
          <cell r="S1082" t="str">
            <v/>
          </cell>
          <cell r="T1082" t="str">
            <v/>
          </cell>
          <cell r="U1082" t="str">
            <v/>
          </cell>
          <cell r="V1082" t="str">
            <v>N38</v>
          </cell>
          <cell r="W1082" t="str">
            <v/>
          </cell>
          <cell r="X1082" t="str">
            <v/>
          </cell>
          <cell r="Y1082" t="str">
            <v/>
          </cell>
          <cell r="Z1082" t="str">
            <v/>
          </cell>
          <cell r="AA1082" t="str">
            <v/>
          </cell>
          <cell r="AB1082" t="str">
            <v>PA_4603171-UA.7004-3</v>
          </cell>
          <cell r="AC1082">
            <v>1</v>
          </cell>
          <cell r="AD1082" t="str">
            <v/>
          </cell>
          <cell r="AE1082">
            <v>0</v>
          </cell>
          <cell r="AF1082" t="str">
            <v/>
          </cell>
          <cell r="AG1082" t="str">
            <v>12555762</v>
          </cell>
          <cell r="AH1082">
            <v>44939.886273148149</v>
          </cell>
          <cell r="AI1082" t="str">
            <v>N38</v>
          </cell>
          <cell r="AJ1082" t="str">
            <v>F</v>
          </cell>
          <cell r="AK1082" t="str">
            <v/>
          </cell>
        </row>
        <row r="1083">
          <cell r="A1083" t="str">
            <v>12556610829051</v>
          </cell>
          <cell r="B1083" t="e">
            <v>#N/A</v>
          </cell>
          <cell r="C1083" t="e">
            <v>#N/A</v>
          </cell>
          <cell r="D1083" t="str">
            <v>EK65</v>
          </cell>
          <cell r="E1083" t="str">
            <v>697603</v>
          </cell>
          <cell r="F1083" t="str">
            <v>E</v>
          </cell>
          <cell r="G1083" t="str">
            <v>12556610</v>
          </cell>
          <cell r="H1083" t="str">
            <v>Halter vollst.</v>
          </cell>
          <cell r="I1083">
            <v>90</v>
          </cell>
          <cell r="J1083" t="str">
            <v>Stk</v>
          </cell>
          <cell r="K1083">
            <v>45328</v>
          </cell>
          <cell r="L1083" t="str">
            <v>829051</v>
          </cell>
          <cell r="M1083" t="str">
            <v/>
          </cell>
          <cell r="N1083" t="str">
            <v/>
          </cell>
          <cell r="O1083" t="str">
            <v/>
          </cell>
          <cell r="P1083" t="str">
            <v/>
          </cell>
          <cell r="Q1083" t="str">
            <v/>
          </cell>
          <cell r="R1083" t="str">
            <v/>
          </cell>
          <cell r="S1083" t="str">
            <v/>
          </cell>
          <cell r="T1083" t="str">
            <v/>
          </cell>
          <cell r="U1083" t="str">
            <v/>
          </cell>
          <cell r="V1083" t="str">
            <v>N38</v>
          </cell>
          <cell r="W1083" t="str">
            <v/>
          </cell>
          <cell r="X1083" t="str">
            <v/>
          </cell>
          <cell r="Y1083" t="str">
            <v/>
          </cell>
          <cell r="Z1083" t="str">
            <v/>
          </cell>
          <cell r="AA1083" t="str">
            <v/>
          </cell>
          <cell r="AB1083" t="str">
            <v>PA_4542538-UA.7004-3</v>
          </cell>
          <cell r="AC1083">
            <v>1</v>
          </cell>
          <cell r="AD1083" t="str">
            <v/>
          </cell>
          <cell r="AE1083">
            <v>0</v>
          </cell>
          <cell r="AF1083" t="str">
            <v/>
          </cell>
          <cell r="AG1083" t="str">
            <v>12556610</v>
          </cell>
          <cell r="AH1083">
            <v>44939.886331018519</v>
          </cell>
          <cell r="AI1083" t="str">
            <v>N38</v>
          </cell>
          <cell r="AJ1083" t="str">
            <v>F</v>
          </cell>
          <cell r="AK1083" t="str">
            <v/>
          </cell>
        </row>
        <row r="1084">
          <cell r="A1084" t="str">
            <v>12556874829051</v>
          </cell>
          <cell r="B1084" t="e">
            <v>#N/A</v>
          </cell>
          <cell r="C1084" t="e">
            <v>#N/A</v>
          </cell>
          <cell r="D1084" t="str">
            <v>EK65</v>
          </cell>
          <cell r="E1084" t="str">
            <v>697604</v>
          </cell>
          <cell r="F1084" t="str">
            <v>E</v>
          </cell>
          <cell r="G1084" t="str">
            <v>12556874</v>
          </cell>
          <cell r="H1084" t="str">
            <v>Halter vollst.</v>
          </cell>
          <cell r="I1084">
            <v>91</v>
          </cell>
          <cell r="J1084" t="str">
            <v>Stk</v>
          </cell>
          <cell r="K1084">
            <v>45321</v>
          </cell>
          <cell r="L1084" t="str">
            <v>829051</v>
          </cell>
          <cell r="M1084" t="str">
            <v/>
          </cell>
          <cell r="N1084" t="str">
            <v/>
          </cell>
          <cell r="O1084" t="str">
            <v/>
          </cell>
          <cell r="P1084" t="str">
            <v/>
          </cell>
          <cell r="Q1084" t="str">
            <v/>
          </cell>
          <cell r="R1084" t="str">
            <v/>
          </cell>
          <cell r="S1084" t="str">
            <v/>
          </cell>
          <cell r="T1084" t="str">
            <v/>
          </cell>
          <cell r="U1084" t="str">
            <v/>
          </cell>
          <cell r="V1084" t="str">
            <v>N38</v>
          </cell>
          <cell r="W1084" t="str">
            <v/>
          </cell>
          <cell r="X1084" t="str">
            <v/>
          </cell>
          <cell r="Y1084" t="str">
            <v/>
          </cell>
          <cell r="Z1084" t="str">
            <v/>
          </cell>
          <cell r="AA1084" t="str">
            <v/>
          </cell>
          <cell r="AB1084" t="str">
            <v>PA_4488585-UA.7004-3</v>
          </cell>
          <cell r="AC1084">
            <v>1</v>
          </cell>
          <cell r="AD1084" t="str">
            <v/>
          </cell>
          <cell r="AE1084">
            <v>0</v>
          </cell>
          <cell r="AF1084" t="str">
            <v/>
          </cell>
          <cell r="AG1084" t="str">
            <v>12556874</v>
          </cell>
          <cell r="AH1084">
            <v>44939.886365740742</v>
          </cell>
          <cell r="AI1084" t="str">
            <v>N38</v>
          </cell>
          <cell r="AJ1084" t="str">
            <v>F</v>
          </cell>
          <cell r="AK1084" t="str">
            <v/>
          </cell>
        </row>
        <row r="1085">
          <cell r="A1085" t="str">
            <v>12557622829051</v>
          </cell>
          <cell r="B1085" t="e">
            <v>#N/A</v>
          </cell>
          <cell r="C1085" t="e">
            <v>#N/A</v>
          </cell>
          <cell r="D1085" t="str">
            <v>EK65</v>
          </cell>
          <cell r="E1085" t="str">
            <v>697605</v>
          </cell>
          <cell r="F1085" t="str">
            <v>E</v>
          </cell>
          <cell r="G1085" t="str">
            <v>12557622</v>
          </cell>
          <cell r="H1085" t="str">
            <v>Halter</v>
          </cell>
          <cell r="I1085">
            <v>90</v>
          </cell>
          <cell r="J1085" t="str">
            <v>Stk</v>
          </cell>
          <cell r="K1085">
            <v>45328</v>
          </cell>
          <cell r="L1085" t="str">
            <v>829051</v>
          </cell>
          <cell r="M1085" t="str">
            <v/>
          </cell>
          <cell r="N1085" t="str">
            <v/>
          </cell>
          <cell r="O1085" t="str">
            <v/>
          </cell>
          <cell r="P1085" t="str">
            <v/>
          </cell>
          <cell r="Q1085" t="str">
            <v/>
          </cell>
          <cell r="R1085" t="str">
            <v/>
          </cell>
          <cell r="S1085" t="str">
            <v/>
          </cell>
          <cell r="T1085" t="str">
            <v/>
          </cell>
          <cell r="U1085" t="str">
            <v/>
          </cell>
          <cell r="V1085" t="str">
            <v>N38</v>
          </cell>
          <cell r="W1085" t="str">
            <v/>
          </cell>
          <cell r="X1085" t="str">
            <v/>
          </cell>
          <cell r="Y1085" t="str">
            <v/>
          </cell>
          <cell r="Z1085" t="str">
            <v/>
          </cell>
          <cell r="AA1085" t="str">
            <v/>
          </cell>
          <cell r="AB1085" t="str">
            <v>PA_4686383-UA.7004-3</v>
          </cell>
          <cell r="AC1085">
            <v>1</v>
          </cell>
          <cell r="AD1085" t="str">
            <v/>
          </cell>
          <cell r="AE1085">
            <v>0</v>
          </cell>
          <cell r="AF1085" t="str">
            <v/>
          </cell>
          <cell r="AG1085" t="str">
            <v>12557622</v>
          </cell>
          <cell r="AH1085">
            <v>44939.886377314811</v>
          </cell>
          <cell r="AI1085" t="str">
            <v>N38</v>
          </cell>
          <cell r="AJ1085" t="str">
            <v>F</v>
          </cell>
          <cell r="AK1085" t="str">
            <v/>
          </cell>
        </row>
        <row r="1086">
          <cell r="A1086" t="str">
            <v>12557623829051</v>
          </cell>
          <cell r="B1086" t="e">
            <v>#N/A</v>
          </cell>
          <cell r="C1086" t="e">
            <v>#N/A</v>
          </cell>
          <cell r="D1086" t="str">
            <v>EK65</v>
          </cell>
          <cell r="E1086" t="str">
            <v>697606</v>
          </cell>
          <cell r="F1086" t="str">
            <v>E</v>
          </cell>
          <cell r="G1086" t="str">
            <v>12557623</v>
          </cell>
          <cell r="H1086" t="str">
            <v>Halter</v>
          </cell>
          <cell r="I1086">
            <v>90</v>
          </cell>
          <cell r="J1086" t="str">
            <v>Stk</v>
          </cell>
          <cell r="K1086">
            <v>45328</v>
          </cell>
          <cell r="L1086" t="str">
            <v>829051</v>
          </cell>
          <cell r="M1086" t="str">
            <v/>
          </cell>
          <cell r="N1086" t="str">
            <v/>
          </cell>
          <cell r="O1086" t="str">
            <v/>
          </cell>
          <cell r="P1086" t="str">
            <v/>
          </cell>
          <cell r="Q1086" t="str">
            <v/>
          </cell>
          <cell r="R1086" t="str">
            <v/>
          </cell>
          <cell r="S1086" t="str">
            <v/>
          </cell>
          <cell r="T1086" t="str">
            <v/>
          </cell>
          <cell r="U1086" t="str">
            <v/>
          </cell>
          <cell r="V1086" t="str">
            <v>N38</v>
          </cell>
          <cell r="W1086" t="str">
            <v/>
          </cell>
          <cell r="X1086" t="str">
            <v/>
          </cell>
          <cell r="Y1086" t="str">
            <v/>
          </cell>
          <cell r="Z1086" t="str">
            <v/>
          </cell>
          <cell r="AA1086" t="str">
            <v/>
          </cell>
          <cell r="AB1086" t="str">
            <v>PA_4686383-UA.7004-3</v>
          </cell>
          <cell r="AC1086">
            <v>1</v>
          </cell>
          <cell r="AD1086" t="str">
            <v/>
          </cell>
          <cell r="AE1086">
            <v>0</v>
          </cell>
          <cell r="AF1086" t="str">
            <v/>
          </cell>
          <cell r="AG1086" t="str">
            <v>12557623</v>
          </cell>
          <cell r="AH1086">
            <v>44939.886400462965</v>
          </cell>
          <cell r="AI1086" t="str">
            <v>N38</v>
          </cell>
          <cell r="AJ1086" t="str">
            <v>F</v>
          </cell>
          <cell r="AK1086" t="str">
            <v/>
          </cell>
        </row>
        <row r="1087">
          <cell r="A1087" t="str">
            <v>12560172829051</v>
          </cell>
          <cell r="B1087" t="e">
            <v>#N/A</v>
          </cell>
          <cell r="C1087" t="e">
            <v>#N/A</v>
          </cell>
          <cell r="D1087" t="str">
            <v>EK65</v>
          </cell>
          <cell r="E1087" t="str">
            <v>697607</v>
          </cell>
          <cell r="F1087" t="str">
            <v>E</v>
          </cell>
          <cell r="G1087" t="str">
            <v>12560172</v>
          </cell>
          <cell r="H1087" t="str">
            <v>Halter vollst.</v>
          </cell>
          <cell r="I1087">
            <v>45</v>
          </cell>
          <cell r="J1087" t="str">
            <v>Stk</v>
          </cell>
          <cell r="K1087">
            <v>45328</v>
          </cell>
          <cell r="L1087" t="str">
            <v>829051</v>
          </cell>
          <cell r="M1087" t="str">
            <v/>
          </cell>
          <cell r="N1087" t="str">
            <v/>
          </cell>
          <cell r="O1087" t="str">
            <v/>
          </cell>
          <cell r="P1087" t="str">
            <v/>
          </cell>
          <cell r="Q1087" t="str">
            <v/>
          </cell>
          <cell r="R1087" t="str">
            <v/>
          </cell>
          <cell r="S1087" t="str">
            <v/>
          </cell>
          <cell r="T1087" t="str">
            <v/>
          </cell>
          <cell r="U1087" t="str">
            <v/>
          </cell>
          <cell r="V1087" t="str">
            <v>N38</v>
          </cell>
          <cell r="W1087" t="str">
            <v/>
          </cell>
          <cell r="X1087" t="str">
            <v/>
          </cell>
          <cell r="Y1087" t="str">
            <v/>
          </cell>
          <cell r="Z1087" t="str">
            <v/>
          </cell>
          <cell r="AA1087" t="str">
            <v/>
          </cell>
          <cell r="AB1087" t="str">
            <v>PA_4676548-UA.7004-3</v>
          </cell>
          <cell r="AC1087">
            <v>1</v>
          </cell>
          <cell r="AD1087" t="str">
            <v/>
          </cell>
          <cell r="AE1087">
            <v>0</v>
          </cell>
          <cell r="AF1087" t="str">
            <v/>
          </cell>
          <cell r="AG1087" t="str">
            <v>12560172</v>
          </cell>
          <cell r="AH1087">
            <v>44939.886458333334</v>
          </cell>
          <cell r="AI1087" t="str">
            <v>N38</v>
          </cell>
          <cell r="AJ1087" t="str">
            <v>F</v>
          </cell>
          <cell r="AK1087" t="str">
            <v/>
          </cell>
        </row>
        <row r="1088">
          <cell r="A1088" t="str">
            <v>12560212829051</v>
          </cell>
          <cell r="B1088" t="e">
            <v>#N/A</v>
          </cell>
          <cell r="C1088" t="e">
            <v>#N/A</v>
          </cell>
          <cell r="D1088" t="str">
            <v>EK65</v>
          </cell>
          <cell r="E1088" t="str">
            <v>697608</v>
          </cell>
          <cell r="F1088" t="str">
            <v>E</v>
          </cell>
          <cell r="G1088" t="str">
            <v>12560212</v>
          </cell>
          <cell r="H1088" t="str">
            <v>Halter vollst.</v>
          </cell>
          <cell r="I1088">
            <v>45</v>
          </cell>
          <cell r="J1088" t="str">
            <v>Stk</v>
          </cell>
          <cell r="K1088">
            <v>45328</v>
          </cell>
          <cell r="L1088" t="str">
            <v>829051</v>
          </cell>
          <cell r="M1088" t="str">
            <v/>
          </cell>
          <cell r="N1088" t="str">
            <v/>
          </cell>
          <cell r="O1088" t="str">
            <v/>
          </cell>
          <cell r="P1088" t="str">
            <v/>
          </cell>
          <cell r="Q1088" t="str">
            <v/>
          </cell>
          <cell r="R1088" t="str">
            <v/>
          </cell>
          <cell r="S1088" t="str">
            <v/>
          </cell>
          <cell r="T1088" t="str">
            <v/>
          </cell>
          <cell r="U1088" t="str">
            <v/>
          </cell>
          <cell r="V1088" t="str">
            <v>N38</v>
          </cell>
          <cell r="W1088" t="str">
            <v/>
          </cell>
          <cell r="X1088" t="str">
            <v/>
          </cell>
          <cell r="Y1088" t="str">
            <v/>
          </cell>
          <cell r="Z1088" t="str">
            <v/>
          </cell>
          <cell r="AA1088" t="str">
            <v/>
          </cell>
          <cell r="AB1088" t="str">
            <v>PA_4620888-UA.7004-3</v>
          </cell>
          <cell r="AC1088">
            <v>1</v>
          </cell>
          <cell r="AD1088" t="str">
            <v/>
          </cell>
          <cell r="AE1088">
            <v>0</v>
          </cell>
          <cell r="AF1088" t="str">
            <v/>
          </cell>
          <cell r="AG1088" t="str">
            <v>12560212</v>
          </cell>
          <cell r="AH1088">
            <v>44939.886481481481</v>
          </cell>
          <cell r="AI1088" t="str">
            <v>N38</v>
          </cell>
          <cell r="AJ1088" t="str">
            <v>F</v>
          </cell>
          <cell r="AK1088" t="str">
            <v/>
          </cell>
        </row>
        <row r="1089">
          <cell r="A1089" t="str">
            <v>12560513829051</v>
          </cell>
          <cell r="B1089" t="e">
            <v>#N/A</v>
          </cell>
          <cell r="C1089" t="e">
            <v>#N/A</v>
          </cell>
          <cell r="D1089" t="str">
            <v>EK65</v>
          </cell>
          <cell r="E1089" t="str">
            <v>697609</v>
          </cell>
          <cell r="F1089" t="str">
            <v>E</v>
          </cell>
          <cell r="G1089" t="str">
            <v>12560513</v>
          </cell>
          <cell r="H1089" t="str">
            <v>Halter vollst.</v>
          </cell>
          <cell r="I1089">
            <v>45</v>
          </cell>
          <cell r="J1089" t="str">
            <v>Stk</v>
          </cell>
          <cell r="K1089">
            <v>45328</v>
          </cell>
          <cell r="L1089" t="str">
            <v>829051</v>
          </cell>
          <cell r="M1089" t="str">
            <v/>
          </cell>
          <cell r="N1089" t="str">
            <v/>
          </cell>
          <cell r="O1089" t="str">
            <v/>
          </cell>
          <cell r="P1089" t="str">
            <v/>
          </cell>
          <cell r="Q1089" t="str">
            <v/>
          </cell>
          <cell r="R1089" t="str">
            <v/>
          </cell>
          <cell r="S1089" t="str">
            <v/>
          </cell>
          <cell r="T1089" t="str">
            <v/>
          </cell>
          <cell r="U1089" t="str">
            <v/>
          </cell>
          <cell r="V1089" t="str">
            <v>N38</v>
          </cell>
          <cell r="W1089" t="str">
            <v/>
          </cell>
          <cell r="X1089" t="str">
            <v/>
          </cell>
          <cell r="Y1089" t="str">
            <v/>
          </cell>
          <cell r="Z1089" t="str">
            <v/>
          </cell>
          <cell r="AA1089" t="str">
            <v/>
          </cell>
          <cell r="AB1089" t="str">
            <v>PA_4607764-UA.7004-3</v>
          </cell>
          <cell r="AC1089">
            <v>1</v>
          </cell>
          <cell r="AD1089" t="str">
            <v/>
          </cell>
          <cell r="AE1089">
            <v>0</v>
          </cell>
          <cell r="AF1089" t="str">
            <v/>
          </cell>
          <cell r="AG1089" t="str">
            <v>12560513</v>
          </cell>
          <cell r="AH1089">
            <v>44939.88652777778</v>
          </cell>
          <cell r="AI1089" t="str">
            <v>N38</v>
          </cell>
          <cell r="AJ1089" t="str">
            <v>F</v>
          </cell>
          <cell r="AK1089" t="str">
            <v/>
          </cell>
        </row>
        <row r="1090">
          <cell r="A1090" t="str">
            <v>12591492820541</v>
          </cell>
          <cell r="B1090" t="str">
            <v>BL20230413-2</v>
          </cell>
          <cell r="C1090" t="e">
            <v>#N/A</v>
          </cell>
          <cell r="D1090" t="str">
            <v>EK65</v>
          </cell>
          <cell r="E1090" t="str">
            <v>697633</v>
          </cell>
          <cell r="F1090" t="str">
            <v>E</v>
          </cell>
          <cell r="G1090" t="str">
            <v>12591492</v>
          </cell>
          <cell r="H1090" t="str">
            <v>Stahlhinterlage</v>
          </cell>
          <cell r="I1090">
            <v>176</v>
          </cell>
          <cell r="J1090" t="str">
            <v>Stk</v>
          </cell>
          <cell r="K1090">
            <v>45177</v>
          </cell>
          <cell r="L1090" t="str">
            <v>820541</v>
          </cell>
          <cell r="M1090" t="str">
            <v/>
          </cell>
          <cell r="N1090" t="str">
            <v/>
          </cell>
          <cell r="O1090" t="str">
            <v/>
          </cell>
          <cell r="P1090" t="str">
            <v/>
          </cell>
          <cell r="Q1090" t="str">
            <v/>
          </cell>
          <cell r="R1090" t="str">
            <v/>
          </cell>
          <cell r="S1090" t="str">
            <v/>
          </cell>
          <cell r="T1090" t="str">
            <v/>
          </cell>
          <cell r="U1090" t="str">
            <v/>
          </cell>
          <cell r="V1090" t="str">
            <v>N52</v>
          </cell>
          <cell r="W1090" t="str">
            <v>3.1</v>
          </cell>
          <cell r="X1090" t="str">
            <v/>
          </cell>
          <cell r="Y1090" t="str">
            <v/>
          </cell>
          <cell r="Z1090" t="str">
            <v/>
          </cell>
          <cell r="AA1090" t="str">
            <v/>
          </cell>
          <cell r="AB1090" t="str">
            <v>PA_4896735-CF.3048-2</v>
          </cell>
          <cell r="AC1090">
            <v>1</v>
          </cell>
          <cell r="AD1090" t="str">
            <v/>
          </cell>
          <cell r="AE1090">
            <v>0</v>
          </cell>
          <cell r="AF1090" t="str">
            <v/>
          </cell>
          <cell r="AG1090" t="str">
            <v>12591492</v>
          </cell>
          <cell r="AH1090">
            <v>44939.90766203704</v>
          </cell>
          <cell r="AI1090" t="str">
            <v>N52</v>
          </cell>
          <cell r="AJ1090" t="str">
            <v>F</v>
          </cell>
          <cell r="AK1090" t="str">
            <v/>
          </cell>
        </row>
        <row r="1091">
          <cell r="A1091" t="str">
            <v>0420908</v>
          </cell>
          <cell r="B1091" t="str">
            <v>BL20230413-2</v>
          </cell>
          <cell r="C1091" t="e">
            <v>#N/A</v>
          </cell>
          <cell r="D1091" t="str">
            <v>EK65</v>
          </cell>
          <cell r="E1091" t="str">
            <v>697826</v>
          </cell>
          <cell r="F1091" t="str">
            <v>B</v>
          </cell>
          <cell r="G1091" t="str">
            <v>0420908</v>
          </cell>
          <cell r="H1091" t="str">
            <v>Beilage 2mm</v>
          </cell>
          <cell r="I1091">
            <v>234</v>
          </cell>
          <cell r="J1091" t="str">
            <v>Stk</v>
          </cell>
          <cell r="K1091">
            <v>44944</v>
          </cell>
          <cell r="L1091" t="str">
            <v/>
          </cell>
          <cell r="M1091" t="str">
            <v/>
          </cell>
          <cell r="N1091" t="str">
            <v/>
          </cell>
          <cell r="O1091" t="str">
            <v/>
          </cell>
          <cell r="P1091" t="str">
            <v/>
          </cell>
          <cell r="Q1091" t="str">
            <v/>
          </cell>
          <cell r="R1091" t="str">
            <v/>
          </cell>
          <cell r="S1091" t="str">
            <v/>
          </cell>
          <cell r="T1091" t="str">
            <v/>
          </cell>
          <cell r="U1091" t="str">
            <v/>
          </cell>
          <cell r="V1091" t="str">
            <v>N52</v>
          </cell>
          <cell r="W1091" t="str">
            <v>2.1</v>
          </cell>
          <cell r="X1091" t="str">
            <v/>
          </cell>
          <cell r="Y1091" t="str">
            <v/>
          </cell>
          <cell r="Z1091" t="str">
            <v/>
          </cell>
          <cell r="AA1091" t="str">
            <v/>
          </cell>
          <cell r="AB1091" t="str">
            <v>PA_2171036-CD.7500-4</v>
          </cell>
          <cell r="AC1091">
            <v>4</v>
          </cell>
          <cell r="AD1091" t="str">
            <v/>
          </cell>
          <cell r="AE1091">
            <v>0</v>
          </cell>
          <cell r="AF1091" t="str">
            <v/>
          </cell>
          <cell r="AG1091" t="str">
            <v>0420908</v>
          </cell>
          <cell r="AH1091">
            <v>44942.833981481483</v>
          </cell>
          <cell r="AI1091" t="str">
            <v>N52</v>
          </cell>
          <cell r="AJ1091" t="str">
            <v>F</v>
          </cell>
          <cell r="AK1091" t="str">
            <v/>
          </cell>
        </row>
        <row r="1092">
          <cell r="A1092" t="str">
            <v>2466804</v>
          </cell>
          <cell r="B1092" t="str">
            <v>BL20230413-2</v>
          </cell>
          <cell r="C1092" t="e">
            <v>#N/A</v>
          </cell>
          <cell r="D1092" t="str">
            <v>EK65</v>
          </cell>
          <cell r="E1092" t="str">
            <v>697827</v>
          </cell>
          <cell r="F1092" t="str">
            <v>B</v>
          </cell>
          <cell r="G1092" t="str">
            <v>2466804</v>
          </cell>
          <cell r="H1092" t="str">
            <v>Beilage</v>
          </cell>
          <cell r="I1092">
            <v>50</v>
          </cell>
          <cell r="J1092" t="str">
            <v>Stk</v>
          </cell>
          <cell r="K1092">
            <v>44944</v>
          </cell>
          <cell r="L1092" t="str">
            <v/>
          </cell>
          <cell r="M1092" t="str">
            <v/>
          </cell>
          <cell r="N1092" t="str">
            <v/>
          </cell>
          <cell r="O1092" t="str">
            <v/>
          </cell>
          <cell r="P1092" t="str">
            <v/>
          </cell>
          <cell r="Q1092" t="str">
            <v/>
          </cell>
          <cell r="R1092" t="str">
            <v/>
          </cell>
          <cell r="S1092" t="str">
            <v/>
          </cell>
          <cell r="T1092" t="str">
            <v/>
          </cell>
          <cell r="U1092" t="str">
            <v/>
          </cell>
          <cell r="V1092" t="str">
            <v>N52</v>
          </cell>
          <cell r="W1092" t="str">
            <v/>
          </cell>
          <cell r="X1092" t="str">
            <v/>
          </cell>
          <cell r="Y1092" t="str">
            <v/>
          </cell>
          <cell r="Z1092" t="str">
            <v/>
          </cell>
          <cell r="AA1092" t="str">
            <v/>
          </cell>
          <cell r="AB1092" t="str">
            <v>PA_2157649-CD.7500-4</v>
          </cell>
          <cell r="AC1092">
            <v>4</v>
          </cell>
          <cell r="AD1092" t="str">
            <v/>
          </cell>
          <cell r="AE1092">
            <v>0</v>
          </cell>
          <cell r="AF1092" t="str">
            <v/>
          </cell>
          <cell r="AG1092" t="str">
            <v>2466804</v>
          </cell>
          <cell r="AH1092">
            <v>44942.8358912037</v>
          </cell>
          <cell r="AI1092" t="str">
            <v>N52</v>
          </cell>
          <cell r="AJ1092" t="str">
            <v>F</v>
          </cell>
          <cell r="AK1092" t="str">
            <v/>
          </cell>
        </row>
        <row r="1093">
          <cell r="A1093" t="str">
            <v>12520901829054</v>
          </cell>
          <cell r="B1093" t="str">
            <v>BL20230413-2</v>
          </cell>
          <cell r="C1093" t="e">
            <v>#N/A</v>
          </cell>
          <cell r="D1093" t="str">
            <v>EK65</v>
          </cell>
          <cell r="E1093" t="str">
            <v>697912</v>
          </cell>
          <cell r="F1093" t="str">
            <v>E</v>
          </cell>
          <cell r="G1093" t="str">
            <v>12520901</v>
          </cell>
          <cell r="H1093" t="str">
            <v>Halter SW innen vollst.</v>
          </cell>
          <cell r="I1093">
            <v>43</v>
          </cell>
          <cell r="J1093" t="str">
            <v>Stk</v>
          </cell>
          <cell r="K1093">
            <v>45280</v>
          </cell>
          <cell r="L1093" t="str">
            <v>829054</v>
          </cell>
          <cell r="M1093" t="str">
            <v/>
          </cell>
          <cell r="N1093" t="str">
            <v/>
          </cell>
          <cell r="O1093" t="str">
            <v/>
          </cell>
          <cell r="P1093" t="str">
            <v/>
          </cell>
          <cell r="Q1093" t="str">
            <v/>
          </cell>
          <cell r="R1093" t="str">
            <v/>
          </cell>
          <cell r="S1093" t="str">
            <v/>
          </cell>
          <cell r="T1093" t="str">
            <v/>
          </cell>
          <cell r="U1093" t="str">
            <v/>
          </cell>
          <cell r="V1093" t="str">
            <v>N38</v>
          </cell>
          <cell r="W1093" t="str">
            <v/>
          </cell>
          <cell r="X1093" t="str">
            <v/>
          </cell>
          <cell r="Y1093" t="str">
            <v/>
          </cell>
          <cell r="Z1093" t="str">
            <v/>
          </cell>
          <cell r="AA1093" t="str">
            <v/>
          </cell>
          <cell r="AB1093" t="str">
            <v>PA_4499699-LD.7005-4</v>
          </cell>
          <cell r="AC1093">
            <v>1</v>
          </cell>
          <cell r="AD1093" t="str">
            <v/>
          </cell>
          <cell r="AE1093">
            <v>0</v>
          </cell>
          <cell r="AF1093" t="str">
            <v/>
          </cell>
          <cell r="AG1093" t="str">
            <v>12520901</v>
          </cell>
          <cell r="AH1093">
            <v>44942.894780092596</v>
          </cell>
          <cell r="AI1093" t="str">
            <v>N38</v>
          </cell>
          <cell r="AJ1093" t="str">
            <v>F</v>
          </cell>
          <cell r="AK1093" t="str">
            <v/>
          </cell>
        </row>
        <row r="1094">
          <cell r="A1094" t="str">
            <v>12520901829051</v>
          </cell>
          <cell r="B1094" t="e">
            <v>#N/A</v>
          </cell>
          <cell r="C1094" t="e">
            <v>#N/A</v>
          </cell>
          <cell r="D1094" t="str">
            <v>EK65</v>
          </cell>
          <cell r="E1094" t="str">
            <v>697913</v>
          </cell>
          <cell r="F1094" t="str">
            <v>E</v>
          </cell>
          <cell r="G1094" t="str">
            <v>12520901</v>
          </cell>
          <cell r="H1094" t="str">
            <v>Halter SW innen vollst.</v>
          </cell>
          <cell r="I1094">
            <v>670</v>
          </cell>
          <cell r="J1094" t="str">
            <v>Stk</v>
          </cell>
          <cell r="K1094">
            <v>45350</v>
          </cell>
          <cell r="L1094" t="str">
            <v>829051</v>
          </cell>
          <cell r="M1094" t="str">
            <v/>
          </cell>
          <cell r="N1094" t="str">
            <v/>
          </cell>
          <cell r="O1094" t="str">
            <v/>
          </cell>
          <cell r="P1094" t="str">
            <v/>
          </cell>
          <cell r="Q1094" t="str">
            <v/>
          </cell>
          <cell r="R1094" t="str">
            <v/>
          </cell>
          <cell r="S1094" t="str">
            <v/>
          </cell>
          <cell r="T1094" t="str">
            <v/>
          </cell>
          <cell r="U1094" t="str">
            <v/>
          </cell>
          <cell r="V1094" t="str">
            <v>N38</v>
          </cell>
          <cell r="W1094" t="str">
            <v/>
          </cell>
          <cell r="X1094" t="str">
            <v/>
          </cell>
          <cell r="Y1094" t="str">
            <v/>
          </cell>
          <cell r="Z1094" t="str">
            <v/>
          </cell>
          <cell r="AA1094" t="str">
            <v/>
          </cell>
          <cell r="AB1094" t="str">
            <v>PA_4499699-LD.7005-4</v>
          </cell>
          <cell r="AC1094">
            <v>1</v>
          </cell>
          <cell r="AD1094" t="str">
            <v/>
          </cell>
          <cell r="AE1094">
            <v>0</v>
          </cell>
          <cell r="AF1094" t="str">
            <v/>
          </cell>
          <cell r="AG1094" t="str">
            <v>12520901</v>
          </cell>
          <cell r="AH1094">
            <v>44942.894780092596</v>
          </cell>
          <cell r="AI1094" t="str">
            <v>N38</v>
          </cell>
          <cell r="AJ1094" t="str">
            <v>F</v>
          </cell>
          <cell r="AK1094" t="str">
            <v/>
          </cell>
        </row>
        <row r="1095">
          <cell r="A1095" t="str">
            <v>12520901829052</v>
          </cell>
          <cell r="B1095" t="e">
            <v>#N/A</v>
          </cell>
          <cell r="C1095" t="e">
            <v>#N/A</v>
          </cell>
          <cell r="D1095" t="str">
            <v>EK65</v>
          </cell>
          <cell r="E1095" t="str">
            <v>697914</v>
          </cell>
          <cell r="F1095" t="str">
            <v>E</v>
          </cell>
          <cell r="G1095" t="str">
            <v>12520901</v>
          </cell>
          <cell r="H1095" t="str">
            <v>Halter SW innen vollst.</v>
          </cell>
          <cell r="I1095">
            <v>497</v>
          </cell>
          <cell r="J1095" t="str">
            <v>Stk</v>
          </cell>
          <cell r="K1095">
            <v>45351</v>
          </cell>
          <cell r="L1095" t="str">
            <v>829052</v>
          </cell>
          <cell r="M1095" t="str">
            <v/>
          </cell>
          <cell r="N1095" t="str">
            <v/>
          </cell>
          <cell r="O1095" t="str">
            <v/>
          </cell>
          <cell r="P1095" t="str">
            <v/>
          </cell>
          <cell r="Q1095" t="str">
            <v/>
          </cell>
          <cell r="R1095" t="str">
            <v/>
          </cell>
          <cell r="S1095" t="str">
            <v/>
          </cell>
          <cell r="T1095" t="str">
            <v/>
          </cell>
          <cell r="U1095" t="str">
            <v/>
          </cell>
          <cell r="V1095" t="str">
            <v>N38</v>
          </cell>
          <cell r="W1095" t="str">
            <v/>
          </cell>
          <cell r="X1095" t="str">
            <v/>
          </cell>
          <cell r="Y1095" t="str">
            <v/>
          </cell>
          <cell r="Z1095" t="str">
            <v/>
          </cell>
          <cell r="AA1095" t="str">
            <v/>
          </cell>
          <cell r="AB1095" t="str">
            <v>PA_4499699-LD.7005-4</v>
          </cell>
          <cell r="AC1095">
            <v>1</v>
          </cell>
          <cell r="AD1095" t="str">
            <v/>
          </cell>
          <cell r="AE1095">
            <v>0</v>
          </cell>
          <cell r="AF1095" t="str">
            <v/>
          </cell>
          <cell r="AG1095" t="str">
            <v>12520901</v>
          </cell>
          <cell r="AH1095">
            <v>44942.894780092596</v>
          </cell>
          <cell r="AI1095" t="str">
            <v>N38</v>
          </cell>
          <cell r="AJ1095" t="str">
            <v>F</v>
          </cell>
          <cell r="AK1095" t="str">
            <v/>
          </cell>
        </row>
        <row r="1096">
          <cell r="A1096" t="str">
            <v>12546709829051</v>
          </cell>
          <cell r="B1096" t="str">
            <v>BL20230413-2</v>
          </cell>
          <cell r="C1096" t="e">
            <v>#N/A</v>
          </cell>
          <cell r="D1096" t="str">
            <v>EK65</v>
          </cell>
          <cell r="E1096" t="str">
            <v>697973</v>
          </cell>
          <cell r="F1096" t="str">
            <v>E</v>
          </cell>
          <cell r="G1096" t="str">
            <v>12546709</v>
          </cell>
          <cell r="H1096" t="str">
            <v>Winkel vollst.</v>
          </cell>
          <cell r="I1096">
            <v>1368</v>
          </cell>
          <cell r="J1096" t="str">
            <v>Stk</v>
          </cell>
          <cell r="K1096">
            <v>45342</v>
          </cell>
          <cell r="L1096" t="str">
            <v>829051</v>
          </cell>
          <cell r="M1096" t="str">
            <v/>
          </cell>
          <cell r="N1096" t="str">
            <v/>
          </cell>
          <cell r="O1096" t="str">
            <v/>
          </cell>
          <cell r="P1096" t="str">
            <v/>
          </cell>
          <cell r="Q1096" t="str">
            <v/>
          </cell>
          <cell r="R1096" t="str">
            <v/>
          </cell>
          <cell r="S1096" t="str">
            <v/>
          </cell>
          <cell r="T1096" t="str">
            <v/>
          </cell>
          <cell r="U1096" t="str">
            <v/>
          </cell>
          <cell r="V1096" t="str">
            <v>N38</v>
          </cell>
          <cell r="W1096" t="str">
            <v/>
          </cell>
          <cell r="X1096" t="str">
            <v/>
          </cell>
          <cell r="Y1096" t="str">
            <v/>
          </cell>
          <cell r="Z1096" t="str">
            <v/>
          </cell>
          <cell r="AA1096" t="str">
            <v/>
          </cell>
          <cell r="AB1096" t="str">
            <v>PA_2336283-LD.7004-4</v>
          </cell>
          <cell r="AC1096">
            <v>1</v>
          </cell>
          <cell r="AD1096" t="str">
            <v/>
          </cell>
          <cell r="AE1096">
            <v>0</v>
          </cell>
          <cell r="AF1096" t="str">
            <v/>
          </cell>
          <cell r="AG1096" t="str">
            <v>12546709</v>
          </cell>
          <cell r="AH1096">
            <v>44942.898518518516</v>
          </cell>
          <cell r="AI1096" t="str">
            <v>N38</v>
          </cell>
          <cell r="AJ1096" t="str">
            <v>F</v>
          </cell>
          <cell r="AK1096" t="str">
            <v/>
          </cell>
        </row>
        <row r="1097">
          <cell r="A1097" t="str">
            <v>12546709829052</v>
          </cell>
          <cell r="B1097" t="e">
            <v>#N/A</v>
          </cell>
          <cell r="C1097" t="e">
            <v>#N/A</v>
          </cell>
          <cell r="D1097" t="str">
            <v>EK65</v>
          </cell>
          <cell r="E1097" t="str">
            <v>697974</v>
          </cell>
          <cell r="F1097" t="str">
            <v>E</v>
          </cell>
          <cell r="G1097" t="str">
            <v>12546709</v>
          </cell>
          <cell r="H1097" t="str">
            <v>Winkel vollst.</v>
          </cell>
          <cell r="I1097">
            <v>740</v>
          </cell>
          <cell r="J1097" t="str">
            <v>Stk</v>
          </cell>
          <cell r="K1097">
            <v>45352</v>
          </cell>
          <cell r="L1097" t="str">
            <v>829052</v>
          </cell>
          <cell r="M1097" t="str">
            <v/>
          </cell>
          <cell r="N1097" t="str">
            <v/>
          </cell>
          <cell r="O1097" t="str">
            <v/>
          </cell>
          <cell r="P1097" t="str">
            <v/>
          </cell>
          <cell r="Q1097" t="str">
            <v/>
          </cell>
          <cell r="R1097" t="str">
            <v/>
          </cell>
          <cell r="S1097" t="str">
            <v/>
          </cell>
          <cell r="T1097" t="str">
            <v/>
          </cell>
          <cell r="U1097" t="str">
            <v/>
          </cell>
          <cell r="V1097" t="str">
            <v>N38</v>
          </cell>
          <cell r="W1097" t="str">
            <v/>
          </cell>
          <cell r="X1097" t="str">
            <v/>
          </cell>
          <cell r="Y1097" t="str">
            <v/>
          </cell>
          <cell r="Z1097" t="str">
            <v/>
          </cell>
          <cell r="AA1097" t="str">
            <v/>
          </cell>
          <cell r="AB1097" t="str">
            <v>PA_2336283-LD.7004-4</v>
          </cell>
          <cell r="AC1097">
            <v>1</v>
          </cell>
          <cell r="AD1097" t="str">
            <v/>
          </cell>
          <cell r="AE1097">
            <v>0</v>
          </cell>
          <cell r="AF1097" t="str">
            <v/>
          </cell>
          <cell r="AG1097" t="str">
            <v>12546709</v>
          </cell>
          <cell r="AH1097">
            <v>44942.898518518516</v>
          </cell>
          <cell r="AI1097" t="str">
            <v>N38</v>
          </cell>
          <cell r="AJ1097" t="str">
            <v>F</v>
          </cell>
          <cell r="AK1097" t="str">
            <v/>
          </cell>
        </row>
        <row r="1098">
          <cell r="A1098" t="str">
            <v>12546882829051</v>
          </cell>
          <cell r="B1098" t="e">
            <v>#N/A</v>
          </cell>
          <cell r="C1098" t="e">
            <v>#N/A</v>
          </cell>
          <cell r="D1098" t="str">
            <v>EK65</v>
          </cell>
          <cell r="E1098" t="str">
            <v>697975</v>
          </cell>
          <cell r="F1098" t="str">
            <v>E</v>
          </cell>
          <cell r="G1098" t="str">
            <v>12546882</v>
          </cell>
          <cell r="H1098" t="str">
            <v>Halter oben vollst.</v>
          </cell>
          <cell r="I1098">
            <v>181</v>
          </cell>
          <cell r="J1098" t="str">
            <v>Stk</v>
          </cell>
          <cell r="K1098">
            <v>45321</v>
          </cell>
          <cell r="L1098" t="str">
            <v>829051</v>
          </cell>
          <cell r="M1098" t="str">
            <v/>
          </cell>
          <cell r="N1098" t="str">
            <v/>
          </cell>
          <cell r="O1098" t="str">
            <v/>
          </cell>
          <cell r="P1098" t="str">
            <v/>
          </cell>
          <cell r="Q1098" t="str">
            <v/>
          </cell>
          <cell r="R1098" t="str">
            <v/>
          </cell>
          <cell r="S1098" t="str">
            <v/>
          </cell>
          <cell r="T1098" t="str">
            <v/>
          </cell>
          <cell r="U1098" t="str">
            <v/>
          </cell>
          <cell r="V1098" t="str">
            <v>N38</v>
          </cell>
          <cell r="W1098" t="str">
            <v/>
          </cell>
          <cell r="X1098" t="str">
            <v/>
          </cell>
          <cell r="Y1098" t="str">
            <v/>
          </cell>
          <cell r="Z1098" t="str">
            <v/>
          </cell>
          <cell r="AA1098" t="str">
            <v/>
          </cell>
          <cell r="AB1098" t="str">
            <v>PA_4685109-LD.7004-4</v>
          </cell>
          <cell r="AC1098">
            <v>1</v>
          </cell>
          <cell r="AD1098" t="str">
            <v/>
          </cell>
          <cell r="AE1098">
            <v>0</v>
          </cell>
          <cell r="AF1098" t="str">
            <v/>
          </cell>
          <cell r="AG1098" t="str">
            <v>12546882</v>
          </cell>
          <cell r="AH1098">
            <v>44942.898564814815</v>
          </cell>
          <cell r="AI1098" t="str">
            <v>N38</v>
          </cell>
          <cell r="AJ1098" t="str">
            <v>F</v>
          </cell>
          <cell r="AK1098" t="str">
            <v/>
          </cell>
        </row>
        <row r="1099">
          <cell r="A1099" t="str">
            <v>12547041829051</v>
          </cell>
          <cell r="B1099" t="e">
            <v>#N/A</v>
          </cell>
          <cell r="C1099" t="e">
            <v>#N/A</v>
          </cell>
          <cell r="D1099" t="str">
            <v>EK65</v>
          </cell>
          <cell r="E1099" t="str">
            <v>697976</v>
          </cell>
          <cell r="F1099" t="str">
            <v>E</v>
          </cell>
          <cell r="G1099" t="str">
            <v>12547041</v>
          </cell>
          <cell r="H1099" t="str">
            <v>Halter mitte vollst.</v>
          </cell>
          <cell r="I1099">
            <v>181</v>
          </cell>
          <cell r="J1099" t="str">
            <v>Stk</v>
          </cell>
          <cell r="K1099">
            <v>45321</v>
          </cell>
          <cell r="L1099" t="str">
            <v>829051</v>
          </cell>
          <cell r="M1099" t="str">
            <v/>
          </cell>
          <cell r="N1099" t="str">
            <v/>
          </cell>
          <cell r="O1099" t="str">
            <v/>
          </cell>
          <cell r="P1099" t="str">
            <v/>
          </cell>
          <cell r="Q1099" t="str">
            <v/>
          </cell>
          <cell r="R1099" t="str">
            <v/>
          </cell>
          <cell r="S1099" t="str">
            <v/>
          </cell>
          <cell r="T1099" t="str">
            <v/>
          </cell>
          <cell r="U1099" t="str">
            <v/>
          </cell>
          <cell r="V1099" t="str">
            <v>N38</v>
          </cell>
          <cell r="W1099" t="str">
            <v/>
          </cell>
          <cell r="X1099" t="str">
            <v/>
          </cell>
          <cell r="Y1099" t="str">
            <v/>
          </cell>
          <cell r="Z1099" t="str">
            <v/>
          </cell>
          <cell r="AA1099" t="str">
            <v/>
          </cell>
          <cell r="AB1099" t="str">
            <v>PA_4685121-LD.7004-4</v>
          </cell>
          <cell r="AC1099">
            <v>1</v>
          </cell>
          <cell r="AD1099" t="str">
            <v/>
          </cell>
          <cell r="AE1099">
            <v>0</v>
          </cell>
          <cell r="AF1099" t="str">
            <v/>
          </cell>
          <cell r="AG1099" t="str">
            <v>12547041</v>
          </cell>
          <cell r="AH1099">
            <v>44942.898587962962</v>
          </cell>
          <cell r="AI1099" t="str">
            <v>N38</v>
          </cell>
          <cell r="AJ1099" t="str">
            <v>F</v>
          </cell>
          <cell r="AK1099" t="str">
            <v/>
          </cell>
        </row>
        <row r="1100">
          <cell r="A1100" t="str">
            <v>12547518829051</v>
          </cell>
          <cell r="B1100" t="e">
            <v>#N/A</v>
          </cell>
          <cell r="C1100" t="e">
            <v>#N/A</v>
          </cell>
          <cell r="D1100" t="str">
            <v>EK65</v>
          </cell>
          <cell r="E1100" t="str">
            <v>697977</v>
          </cell>
          <cell r="F1100" t="str">
            <v>E</v>
          </cell>
          <cell r="G1100" t="str">
            <v>12547518</v>
          </cell>
          <cell r="H1100" t="str">
            <v>Halter unten vollst.</v>
          </cell>
          <cell r="I1100">
            <v>181</v>
          </cell>
          <cell r="J1100" t="str">
            <v>Stk</v>
          </cell>
          <cell r="K1100">
            <v>45321</v>
          </cell>
          <cell r="L1100" t="str">
            <v>829051</v>
          </cell>
          <cell r="M1100" t="str">
            <v/>
          </cell>
          <cell r="N1100" t="str">
            <v/>
          </cell>
          <cell r="O1100" t="str">
            <v/>
          </cell>
          <cell r="P1100" t="str">
            <v/>
          </cell>
          <cell r="Q1100" t="str">
            <v/>
          </cell>
          <cell r="R1100" t="str">
            <v/>
          </cell>
          <cell r="S1100" t="str">
            <v/>
          </cell>
          <cell r="T1100" t="str">
            <v/>
          </cell>
          <cell r="U1100" t="str">
            <v/>
          </cell>
          <cell r="V1100" t="str">
            <v>N38</v>
          </cell>
          <cell r="W1100" t="str">
            <v/>
          </cell>
          <cell r="X1100" t="str">
            <v/>
          </cell>
          <cell r="Y1100" t="str">
            <v/>
          </cell>
          <cell r="Z1100" t="str">
            <v/>
          </cell>
          <cell r="AA1100" t="str">
            <v/>
          </cell>
          <cell r="AB1100" t="str">
            <v>PA_4685131-LD.7004-3</v>
          </cell>
          <cell r="AC1100">
            <v>1</v>
          </cell>
          <cell r="AD1100" t="str">
            <v/>
          </cell>
          <cell r="AE1100">
            <v>0</v>
          </cell>
          <cell r="AF1100" t="str">
            <v/>
          </cell>
          <cell r="AG1100" t="str">
            <v>12547518</v>
          </cell>
          <cell r="AH1100">
            <v>44942.898645833331</v>
          </cell>
          <cell r="AI1100" t="str">
            <v>N38</v>
          </cell>
          <cell r="AJ1100" t="str">
            <v>F</v>
          </cell>
          <cell r="AK1100" t="str">
            <v/>
          </cell>
        </row>
        <row r="1101">
          <cell r="A1101" t="str">
            <v>12560523829510</v>
          </cell>
          <cell r="B1101" t="str">
            <v>BL20230413-2</v>
          </cell>
          <cell r="C1101" t="e">
            <v>#N/A</v>
          </cell>
          <cell r="D1101" t="str">
            <v>EK65</v>
          </cell>
          <cell r="E1101" t="str">
            <v>697982</v>
          </cell>
          <cell r="F1101" t="str">
            <v>E</v>
          </cell>
          <cell r="G1101" t="str">
            <v>12560523</v>
          </cell>
          <cell r="H1101" t="str">
            <v>Huelse</v>
          </cell>
          <cell r="I1101">
            <v>20</v>
          </cell>
          <cell r="J1101" t="str">
            <v>Stk</v>
          </cell>
          <cell r="K1101">
            <v>45037</v>
          </cell>
          <cell r="L1101" t="str">
            <v>829510</v>
          </cell>
          <cell r="M1101" t="str">
            <v/>
          </cell>
          <cell r="N1101" t="str">
            <v/>
          </cell>
          <cell r="O1101" t="str">
            <v/>
          </cell>
          <cell r="P1101" t="str">
            <v/>
          </cell>
          <cell r="Q1101" t="str">
            <v/>
          </cell>
          <cell r="R1101" t="str">
            <v/>
          </cell>
          <cell r="S1101" t="str">
            <v/>
          </cell>
          <cell r="T1101" t="str">
            <v/>
          </cell>
          <cell r="U1101" t="str">
            <v/>
          </cell>
          <cell r="V1101" t="str">
            <v>N37</v>
          </cell>
          <cell r="W1101" t="str">
            <v/>
          </cell>
          <cell r="X1101" t="str">
            <v/>
          </cell>
          <cell r="Y1101" t="str">
            <v/>
          </cell>
          <cell r="Z1101" t="str">
            <v/>
          </cell>
          <cell r="AA1101" t="str">
            <v/>
          </cell>
          <cell r="AB1101" t="str">
            <v>PA_4564443-UA.7005-4</v>
          </cell>
          <cell r="AC1101">
            <v>1</v>
          </cell>
          <cell r="AD1101" t="str">
            <v/>
          </cell>
          <cell r="AE1101">
            <v>0</v>
          </cell>
          <cell r="AF1101" t="str">
            <v/>
          </cell>
          <cell r="AG1101" t="str">
            <v>12560523</v>
          </cell>
          <cell r="AH1101">
            <v>44942.899155092593</v>
          </cell>
          <cell r="AI1101" t="str">
            <v>N37</v>
          </cell>
          <cell r="AJ1101" t="str">
            <v>F</v>
          </cell>
          <cell r="AK1101" t="str">
            <v/>
          </cell>
        </row>
        <row r="1102">
          <cell r="A1102" t="str">
            <v>12560959829510</v>
          </cell>
          <cell r="B1102" t="str">
            <v>BL20230413-2</v>
          </cell>
          <cell r="C1102" t="e">
            <v>#N/A</v>
          </cell>
          <cell r="D1102" t="str">
            <v>EK65</v>
          </cell>
          <cell r="E1102" t="str">
            <v>697983</v>
          </cell>
          <cell r="F1102" t="str">
            <v>E</v>
          </cell>
          <cell r="G1102" t="str">
            <v>12560959</v>
          </cell>
          <cell r="H1102" t="str">
            <v>Huelse</v>
          </cell>
          <cell r="I1102">
            <v>130</v>
          </cell>
          <cell r="J1102" t="str">
            <v>Stk</v>
          </cell>
          <cell r="K1102">
            <v>44869</v>
          </cell>
          <cell r="L1102" t="str">
            <v>829510</v>
          </cell>
          <cell r="M1102" t="str">
            <v/>
          </cell>
          <cell r="N1102" t="str">
            <v/>
          </cell>
          <cell r="O1102" t="str">
            <v/>
          </cell>
          <cell r="P1102" t="str">
            <v/>
          </cell>
          <cell r="Q1102" t="str">
            <v/>
          </cell>
          <cell r="R1102" t="str">
            <v/>
          </cell>
          <cell r="S1102" t="str">
            <v/>
          </cell>
          <cell r="T1102" t="str">
            <v/>
          </cell>
          <cell r="U1102" t="str">
            <v/>
          </cell>
          <cell r="V1102" t="str">
            <v>N37</v>
          </cell>
          <cell r="W1102" t="str">
            <v/>
          </cell>
          <cell r="X1102" t="str">
            <v/>
          </cell>
          <cell r="Y1102" t="str">
            <v/>
          </cell>
          <cell r="Z1102" t="str">
            <v/>
          </cell>
          <cell r="AA1102" t="str">
            <v/>
          </cell>
          <cell r="AB1102" t="str">
            <v>PA_4540386-UA.7005-4</v>
          </cell>
          <cell r="AC1102">
            <v>1</v>
          </cell>
          <cell r="AD1102" t="str">
            <v/>
          </cell>
          <cell r="AE1102">
            <v>0</v>
          </cell>
          <cell r="AF1102" t="str">
            <v/>
          </cell>
          <cell r="AG1102" t="str">
            <v>12560959</v>
          </cell>
          <cell r="AH1102">
            <v>44942.899178240739</v>
          </cell>
          <cell r="AI1102" t="str">
            <v>N37</v>
          </cell>
          <cell r="AJ1102" t="str">
            <v>F</v>
          </cell>
          <cell r="AK1102" t="str">
            <v/>
          </cell>
        </row>
        <row r="1103">
          <cell r="A1103" t="str">
            <v>12588120829053</v>
          </cell>
          <cell r="B1103" t="e">
            <v>#N/A</v>
          </cell>
          <cell r="C1103" t="e">
            <v>#N/A</v>
          </cell>
          <cell r="D1103" t="str">
            <v>EK65</v>
          </cell>
          <cell r="E1103" t="str">
            <v>697984</v>
          </cell>
          <cell r="F1103" t="str">
            <v>E</v>
          </cell>
          <cell r="G1103" t="str">
            <v>12588120</v>
          </cell>
          <cell r="H1103" t="str">
            <v>Halter fuer Klettband</v>
          </cell>
          <cell r="I1103">
            <v>7</v>
          </cell>
          <cell r="J1103" t="str">
            <v>Stk</v>
          </cell>
          <cell r="K1103">
            <v>45378</v>
          </cell>
          <cell r="L1103" t="str">
            <v>829053</v>
          </cell>
          <cell r="M1103" t="str">
            <v/>
          </cell>
          <cell r="N1103" t="str">
            <v/>
          </cell>
          <cell r="O1103" t="str">
            <v/>
          </cell>
          <cell r="P1103" t="str">
            <v/>
          </cell>
          <cell r="Q1103" t="str">
            <v/>
          </cell>
          <cell r="R1103" t="str">
            <v/>
          </cell>
          <cell r="S1103" t="str">
            <v/>
          </cell>
          <cell r="T1103" t="str">
            <v/>
          </cell>
          <cell r="U1103" t="str">
            <v/>
          </cell>
          <cell r="V1103" t="str">
            <v>N38</v>
          </cell>
          <cell r="W1103" t="str">
            <v/>
          </cell>
          <cell r="X1103" t="str">
            <v/>
          </cell>
          <cell r="Y1103" t="str">
            <v/>
          </cell>
          <cell r="Z1103" t="str">
            <v/>
          </cell>
          <cell r="AA1103" t="str">
            <v/>
          </cell>
          <cell r="AB1103" t="str">
            <v>PA_4836220-CC.7005-3</v>
          </cell>
          <cell r="AC1103">
            <v>1</v>
          </cell>
          <cell r="AD1103" t="str">
            <v/>
          </cell>
          <cell r="AE1103">
            <v>0</v>
          </cell>
          <cell r="AF1103" t="str">
            <v/>
          </cell>
          <cell r="AG1103" t="str">
            <v>12588120</v>
          </cell>
          <cell r="AH1103">
            <v>44942.89943287037</v>
          </cell>
          <cell r="AI1103" t="str">
            <v>N38</v>
          </cell>
          <cell r="AJ1103" t="str">
            <v>F</v>
          </cell>
          <cell r="AK1103" t="str">
            <v>A</v>
          </cell>
        </row>
        <row r="1104">
          <cell r="A1104" t="str">
            <v>1319789</v>
          </cell>
          <cell r="B1104" t="str">
            <v>BL20230413-2</v>
          </cell>
          <cell r="C1104" t="e">
            <v>#N/A</v>
          </cell>
          <cell r="D1104" t="str">
            <v>EK65</v>
          </cell>
          <cell r="E1104" t="str">
            <v>698904</v>
          </cell>
          <cell r="F1104" t="str">
            <v>B</v>
          </cell>
          <cell r="G1104" t="str">
            <v>1319789</v>
          </cell>
          <cell r="H1104" t="str">
            <v>Beilage 2 mm</v>
          </cell>
          <cell r="I1104">
            <v>90</v>
          </cell>
          <cell r="J1104" t="str">
            <v>Stk</v>
          </cell>
          <cell r="K1104">
            <v>44945</v>
          </cell>
          <cell r="L1104" t="str">
            <v/>
          </cell>
          <cell r="M1104" t="str">
            <v/>
          </cell>
          <cell r="N1104" t="str">
            <v/>
          </cell>
          <cell r="O1104" t="str">
            <v/>
          </cell>
          <cell r="P1104" t="str">
            <v/>
          </cell>
          <cell r="Q1104" t="str">
            <v/>
          </cell>
          <cell r="R1104" t="str">
            <v/>
          </cell>
          <cell r="S1104" t="str">
            <v/>
          </cell>
          <cell r="T1104" t="str">
            <v/>
          </cell>
          <cell r="U1104" t="str">
            <v/>
          </cell>
          <cell r="V1104" t="str">
            <v>N52</v>
          </cell>
          <cell r="W1104" t="str">
            <v/>
          </cell>
          <cell r="X1104" t="str">
            <v/>
          </cell>
          <cell r="Y1104" t="str">
            <v/>
          </cell>
          <cell r="Z1104" t="str">
            <v/>
          </cell>
          <cell r="AA1104" t="str">
            <v/>
          </cell>
          <cell r="AB1104" t="str">
            <v>PA_2195538-UA.7500-4</v>
          </cell>
          <cell r="AC1104">
            <v>4</v>
          </cell>
          <cell r="AD1104" t="str">
            <v/>
          </cell>
          <cell r="AE1104">
            <v>0</v>
          </cell>
          <cell r="AF1104" t="str">
            <v/>
          </cell>
          <cell r="AG1104" t="str">
            <v>1319789</v>
          </cell>
          <cell r="AH1104">
            <v>44943.835416666669</v>
          </cell>
          <cell r="AI1104" t="str">
            <v>N52</v>
          </cell>
          <cell r="AJ1104" t="str">
            <v>F</v>
          </cell>
          <cell r="AK1104" t="str">
            <v/>
          </cell>
        </row>
        <row r="1105">
          <cell r="A1105" t="str">
            <v>12527172829053</v>
          </cell>
          <cell r="B1105" t="e">
            <v>#N/A</v>
          </cell>
          <cell r="C1105" t="e">
            <v>#N/A</v>
          </cell>
          <cell r="D1105" t="str">
            <v>EK65</v>
          </cell>
          <cell r="E1105" t="str">
            <v>699029</v>
          </cell>
          <cell r="F1105" t="str">
            <v>E</v>
          </cell>
          <cell r="G1105" t="str">
            <v>12527172</v>
          </cell>
          <cell r="H1105" t="str">
            <v>Halter vollst.</v>
          </cell>
          <cell r="I1105">
            <v>25</v>
          </cell>
          <cell r="J1105" t="str">
            <v>Stk</v>
          </cell>
          <cell r="K1105">
            <v>45209</v>
          </cell>
          <cell r="L1105" t="str">
            <v>829053</v>
          </cell>
          <cell r="M1105" t="str">
            <v/>
          </cell>
          <cell r="N1105" t="str">
            <v/>
          </cell>
          <cell r="O1105" t="str">
            <v/>
          </cell>
          <cell r="P1105" t="str">
            <v/>
          </cell>
          <cell r="Q1105" t="str">
            <v/>
          </cell>
          <cell r="R1105" t="str">
            <v/>
          </cell>
          <cell r="S1105" t="str">
            <v/>
          </cell>
          <cell r="T1105" t="str">
            <v/>
          </cell>
          <cell r="U1105" t="str">
            <v/>
          </cell>
          <cell r="V1105" t="str">
            <v>N32</v>
          </cell>
          <cell r="W1105" t="str">
            <v/>
          </cell>
          <cell r="X1105" t="str">
            <v/>
          </cell>
          <cell r="Y1105" t="str">
            <v/>
          </cell>
          <cell r="Z1105" t="str">
            <v/>
          </cell>
          <cell r="AA1105" t="str">
            <v/>
          </cell>
          <cell r="AB1105" t="str">
            <v>PA_4341231-UA.7005-3</v>
          </cell>
          <cell r="AC1105">
            <v>1</v>
          </cell>
          <cell r="AD1105" t="str">
            <v/>
          </cell>
          <cell r="AE1105">
            <v>0</v>
          </cell>
          <cell r="AF1105" t="str">
            <v/>
          </cell>
          <cell r="AG1105" t="str">
            <v>12527172</v>
          </cell>
          <cell r="AH1105">
            <v>44943.887789351851</v>
          </cell>
          <cell r="AI1105" t="str">
            <v>N32</v>
          </cell>
          <cell r="AJ1105" t="str">
            <v>F</v>
          </cell>
          <cell r="AK1105" t="str">
            <v>A</v>
          </cell>
        </row>
        <row r="1106">
          <cell r="A1106" t="str">
            <v>12556585829051</v>
          </cell>
          <cell r="B1106" t="e">
            <v>#N/A</v>
          </cell>
          <cell r="C1106" t="e">
            <v>#N/A</v>
          </cell>
          <cell r="D1106" t="str">
            <v>EK65</v>
          </cell>
          <cell r="E1106" t="str">
            <v>699030</v>
          </cell>
          <cell r="F1106" t="str">
            <v>E</v>
          </cell>
          <cell r="G1106" t="str">
            <v>12556585</v>
          </cell>
          <cell r="H1106" t="str">
            <v>Halter vollst.</v>
          </cell>
          <cell r="I1106">
            <v>49</v>
          </cell>
          <cell r="J1106" t="str">
            <v>Stk</v>
          </cell>
          <cell r="K1106">
            <v>45294</v>
          </cell>
          <cell r="L1106" t="str">
            <v>829051</v>
          </cell>
          <cell r="M1106" t="str">
            <v/>
          </cell>
          <cell r="N1106" t="str">
            <v/>
          </cell>
          <cell r="O1106" t="str">
            <v/>
          </cell>
          <cell r="P1106" t="str">
            <v/>
          </cell>
          <cell r="Q1106" t="str">
            <v/>
          </cell>
          <cell r="R1106" t="str">
            <v/>
          </cell>
          <cell r="S1106" t="str">
            <v/>
          </cell>
          <cell r="T1106" t="str">
            <v/>
          </cell>
          <cell r="U1106" t="str">
            <v/>
          </cell>
          <cell r="V1106" t="str">
            <v>N38</v>
          </cell>
          <cell r="W1106" t="str">
            <v/>
          </cell>
          <cell r="X1106" t="str">
            <v/>
          </cell>
          <cell r="Y1106" t="str">
            <v/>
          </cell>
          <cell r="Z1106" t="str">
            <v/>
          </cell>
          <cell r="AA1106" t="str">
            <v/>
          </cell>
          <cell r="AB1106" t="str">
            <v>PA_4608862-UA.7004-3</v>
          </cell>
          <cell r="AC1106">
            <v>1</v>
          </cell>
          <cell r="AD1106" t="str">
            <v/>
          </cell>
          <cell r="AE1106">
            <v>0</v>
          </cell>
          <cell r="AF1106" t="str">
            <v/>
          </cell>
          <cell r="AG1106" t="str">
            <v>12556585</v>
          </cell>
          <cell r="AH1106">
            <v>44943.890682870369</v>
          </cell>
          <cell r="AI1106" t="str">
            <v>N38</v>
          </cell>
          <cell r="AJ1106" t="str">
            <v>F</v>
          </cell>
          <cell r="AK1106" t="str">
            <v/>
          </cell>
        </row>
        <row r="1107">
          <cell r="A1107" t="str">
            <v>70001498828521</v>
          </cell>
          <cell r="B1107" t="str">
            <v>BL20230413-2</v>
          </cell>
          <cell r="C1107" t="e">
            <v>#N/A</v>
          </cell>
          <cell r="D1107" t="str">
            <v>EK65</v>
          </cell>
          <cell r="E1107" t="str">
            <v>700482</v>
          </cell>
          <cell r="F1107" t="str">
            <v>E</v>
          </cell>
          <cell r="G1107" t="str">
            <v>70001498</v>
          </cell>
          <cell r="H1107" t="str">
            <v>PROFILE</v>
          </cell>
          <cell r="I1107">
            <v>180</v>
          </cell>
          <cell r="J1107" t="str">
            <v>Stk</v>
          </cell>
          <cell r="K1107">
            <v>45070</v>
          </cell>
          <cell r="L1107" t="str">
            <v>828521</v>
          </cell>
          <cell r="M1107" t="str">
            <v/>
          </cell>
          <cell r="N1107" t="str">
            <v/>
          </cell>
          <cell r="O1107" t="str">
            <v/>
          </cell>
          <cell r="P1107" t="str">
            <v/>
          </cell>
          <cell r="Q1107" t="str">
            <v>AW 6060 T66</v>
          </cell>
          <cell r="R1107" t="str">
            <v>EN 755</v>
          </cell>
          <cell r="S1107" t="str">
            <v/>
          </cell>
          <cell r="T1107" t="str">
            <v/>
          </cell>
          <cell r="U1107" t="str">
            <v>BB20032610002</v>
          </cell>
          <cell r="V1107" t="str">
            <v>A00</v>
          </cell>
          <cell r="W1107" t="str">
            <v/>
          </cell>
          <cell r="X1107" t="str">
            <v/>
          </cell>
          <cell r="Y1107" t="str">
            <v/>
          </cell>
          <cell r="Z1107" t="str">
            <v/>
          </cell>
          <cell r="AA1107" t="str">
            <v/>
          </cell>
          <cell r="AB1107" t="str">
            <v>70001498</v>
          </cell>
          <cell r="AC1107">
            <v>1</v>
          </cell>
          <cell r="AD1107" t="str">
            <v/>
          </cell>
          <cell r="AE1107">
            <v>0</v>
          </cell>
          <cell r="AF1107" t="str">
            <v/>
          </cell>
          <cell r="AG1107" t="str">
            <v>70001498</v>
          </cell>
          <cell r="AH1107">
            <v>44945.947951388887</v>
          </cell>
          <cell r="AI1107" t="str">
            <v>A00</v>
          </cell>
          <cell r="AJ1107" t="str">
            <v>F</v>
          </cell>
          <cell r="AK1107" t="str">
            <v>A0</v>
          </cell>
        </row>
        <row r="1108">
          <cell r="A1108" t="str">
            <v>70000256828521</v>
          </cell>
          <cell r="B1108" t="str">
            <v>BL20230413-2</v>
          </cell>
          <cell r="C1108" t="e">
            <v>#N/A</v>
          </cell>
          <cell r="D1108" t="str">
            <v>EK65</v>
          </cell>
          <cell r="E1108" t="str">
            <v>706702</v>
          </cell>
          <cell r="F1108" t="str">
            <v>E</v>
          </cell>
          <cell r="G1108" t="str">
            <v>70000256</v>
          </cell>
          <cell r="H1108" t="str">
            <v>SHEET</v>
          </cell>
          <cell r="I1108">
            <v>5220</v>
          </cell>
          <cell r="J1108" t="str">
            <v>Stk</v>
          </cell>
          <cell r="K1108">
            <v>45070</v>
          </cell>
          <cell r="L1108" t="str">
            <v>828521</v>
          </cell>
          <cell r="M1108" t="str">
            <v/>
          </cell>
          <cell r="N1108" t="str">
            <v/>
          </cell>
          <cell r="O1108" t="str">
            <v/>
          </cell>
          <cell r="P1108" t="str">
            <v/>
          </cell>
          <cell r="Q1108" t="str">
            <v/>
          </cell>
          <cell r="R1108" t="str">
            <v/>
          </cell>
          <cell r="S1108" t="str">
            <v/>
          </cell>
          <cell r="T1108" t="str">
            <v/>
          </cell>
          <cell r="U1108" t="str">
            <v>BB21232610018</v>
          </cell>
          <cell r="V1108" t="str">
            <v>B00</v>
          </cell>
          <cell r="W1108" t="str">
            <v/>
          </cell>
          <cell r="X1108" t="str">
            <v/>
          </cell>
          <cell r="Y1108" t="str">
            <v/>
          </cell>
          <cell r="Z1108" t="str">
            <v/>
          </cell>
          <cell r="AA1108" t="str">
            <v/>
          </cell>
          <cell r="AB1108" t="str">
            <v>70000256</v>
          </cell>
          <cell r="AC1108">
            <v>1</v>
          </cell>
          <cell r="AD1108" t="str">
            <v/>
          </cell>
          <cell r="AE1108">
            <v>0</v>
          </cell>
          <cell r="AF1108" t="str">
            <v/>
          </cell>
          <cell r="AG1108" t="str">
            <v>70000256</v>
          </cell>
          <cell r="AH1108">
            <v>44960.992488425924</v>
          </cell>
          <cell r="AI1108" t="str">
            <v>B00</v>
          </cell>
          <cell r="AJ1108" t="str">
            <v>F</v>
          </cell>
          <cell r="AK1108" t="str">
            <v>--</v>
          </cell>
        </row>
        <row r="1109">
          <cell r="A1109" t="str">
            <v>70000271828521</v>
          </cell>
          <cell r="B1109" t="str">
            <v>BL20230413-2</v>
          </cell>
          <cell r="C1109" t="e">
            <v>#N/A</v>
          </cell>
          <cell r="D1109" t="str">
            <v>EK65</v>
          </cell>
          <cell r="E1109" t="str">
            <v>706704</v>
          </cell>
          <cell r="F1109" t="str">
            <v>E</v>
          </cell>
          <cell r="G1109" t="str">
            <v>70000271</v>
          </cell>
          <cell r="H1109" t="str">
            <v>PAINTED STEEL PEELING SPECIMEN</v>
          </cell>
          <cell r="I1109">
            <v>180</v>
          </cell>
          <cell r="J1109" t="str">
            <v>Stk</v>
          </cell>
          <cell r="K1109">
            <v>45070</v>
          </cell>
          <cell r="L1109" t="str">
            <v>828521</v>
          </cell>
          <cell r="M1109" t="str">
            <v/>
          </cell>
          <cell r="N1109" t="str">
            <v/>
          </cell>
          <cell r="O1109" t="str">
            <v/>
          </cell>
          <cell r="P1109" t="str">
            <v/>
          </cell>
          <cell r="Q1109" t="str">
            <v/>
          </cell>
          <cell r="R1109" t="str">
            <v/>
          </cell>
          <cell r="S1109" t="str">
            <v/>
          </cell>
          <cell r="T1109" t="str">
            <v/>
          </cell>
          <cell r="U1109" t="str">
            <v>BB21232610020</v>
          </cell>
          <cell r="V1109" t="str">
            <v>B00</v>
          </cell>
          <cell r="W1109" t="str">
            <v/>
          </cell>
          <cell r="X1109" t="str">
            <v/>
          </cell>
          <cell r="Y1109" t="str">
            <v/>
          </cell>
          <cell r="Z1109" t="str">
            <v/>
          </cell>
          <cell r="AA1109" t="str">
            <v/>
          </cell>
          <cell r="AB1109" t="str">
            <v>70000271</v>
          </cell>
          <cell r="AC1109">
            <v>1</v>
          </cell>
          <cell r="AD1109" t="str">
            <v/>
          </cell>
          <cell r="AE1109">
            <v>0</v>
          </cell>
          <cell r="AF1109" t="str">
            <v/>
          </cell>
          <cell r="AG1109" t="str">
            <v>70000271</v>
          </cell>
          <cell r="AH1109">
            <v>44960.992835648147</v>
          </cell>
          <cell r="AI1109" t="str">
            <v>B00</v>
          </cell>
          <cell r="AJ1109" t="str">
            <v>F</v>
          </cell>
          <cell r="AK1109" t="str">
            <v>--</v>
          </cell>
        </row>
        <row r="1110">
          <cell r="A1110" t="str">
            <v>70001739828521</v>
          </cell>
          <cell r="B1110" t="str">
            <v>BL20230413-2</v>
          </cell>
          <cell r="C1110" t="e">
            <v>#N/A</v>
          </cell>
          <cell r="D1110" t="str">
            <v>EK65</v>
          </cell>
          <cell r="E1110" t="str">
            <v>706859</v>
          </cell>
          <cell r="F1110" t="str">
            <v>E</v>
          </cell>
          <cell r="G1110" t="str">
            <v>70001739</v>
          </cell>
          <cell r="H1110" t="str">
            <v>PLATE</v>
          </cell>
          <cell r="I1110">
            <v>90</v>
          </cell>
          <cell r="J1110" t="str">
            <v>Stk</v>
          </cell>
          <cell r="K1110">
            <v>45070</v>
          </cell>
          <cell r="L1110" t="str">
            <v>828521</v>
          </cell>
          <cell r="M1110" t="str">
            <v/>
          </cell>
          <cell r="N1110" t="str">
            <v/>
          </cell>
          <cell r="O1110" t="str">
            <v/>
          </cell>
          <cell r="P1110" t="str">
            <v/>
          </cell>
          <cell r="Q1110" t="str">
            <v>AW 5083 H111</v>
          </cell>
          <cell r="R1110" t="str">
            <v>EN 485</v>
          </cell>
          <cell r="S1110" t="str">
            <v/>
          </cell>
          <cell r="T1110" t="str">
            <v/>
          </cell>
          <cell r="U1110" t="str">
            <v>BB20034410022</v>
          </cell>
          <cell r="V1110" t="str">
            <v>B00</v>
          </cell>
          <cell r="W1110" t="str">
            <v/>
          </cell>
          <cell r="X1110" t="str">
            <v/>
          </cell>
          <cell r="Y1110" t="str">
            <v/>
          </cell>
          <cell r="Z1110" t="str">
            <v/>
          </cell>
          <cell r="AA1110" t="str">
            <v/>
          </cell>
          <cell r="AB1110" t="str">
            <v>70001739</v>
          </cell>
          <cell r="AC1110">
            <v>1</v>
          </cell>
          <cell r="AD1110" t="str">
            <v/>
          </cell>
          <cell r="AE1110">
            <v>0</v>
          </cell>
          <cell r="AF1110" t="str">
            <v/>
          </cell>
          <cell r="AG1110" t="str">
            <v>70001739</v>
          </cell>
          <cell r="AH1110">
            <v>44961.009942129633</v>
          </cell>
          <cell r="AI1110" t="str">
            <v>B00</v>
          </cell>
          <cell r="AJ1110" t="str">
            <v>F</v>
          </cell>
          <cell r="AK1110" t="str">
            <v>A0</v>
          </cell>
        </row>
        <row r="1111">
          <cell r="A1111" t="str">
            <v>12491497829053</v>
          </cell>
          <cell r="B1111" t="e">
            <v>#N/A</v>
          </cell>
          <cell r="C1111" t="e">
            <v>#N/A</v>
          </cell>
          <cell r="D1111" t="str">
            <v>EK65</v>
          </cell>
          <cell r="E1111" t="str">
            <v>699477</v>
          </cell>
          <cell r="F1111" t="str">
            <v>E</v>
          </cell>
          <cell r="G1111" t="str">
            <v>12491497</v>
          </cell>
          <cell r="H1111" t="str">
            <v>Halter vollst.</v>
          </cell>
          <cell r="I1111">
            <v>25</v>
          </cell>
          <cell r="J1111" t="str">
            <v>Stk</v>
          </cell>
          <cell r="K1111">
            <v>45204</v>
          </cell>
          <cell r="L1111" t="str">
            <v>829053</v>
          </cell>
          <cell r="M1111" t="str">
            <v/>
          </cell>
          <cell r="N1111" t="str">
            <v/>
          </cell>
          <cell r="O1111" t="str">
            <v/>
          </cell>
          <cell r="P1111" t="str">
            <v/>
          </cell>
          <cell r="Q1111" t="str">
            <v/>
          </cell>
          <cell r="R1111" t="str">
            <v/>
          </cell>
          <cell r="S1111" t="str">
            <v/>
          </cell>
          <cell r="T1111" t="str">
            <v/>
          </cell>
          <cell r="U1111" t="str">
            <v/>
          </cell>
          <cell r="V1111" t="str">
            <v>N38</v>
          </cell>
          <cell r="W1111" t="str">
            <v/>
          </cell>
          <cell r="X1111" t="str">
            <v/>
          </cell>
          <cell r="Y1111" t="str">
            <v/>
          </cell>
          <cell r="Z1111" t="str">
            <v/>
          </cell>
          <cell r="AA1111" t="str">
            <v/>
          </cell>
          <cell r="AB1111" t="str">
            <v>PA_4451520-QE.7005-4</v>
          </cell>
          <cell r="AC1111">
            <v>1</v>
          </cell>
          <cell r="AD1111" t="str">
            <v/>
          </cell>
          <cell r="AE1111">
            <v>0</v>
          </cell>
          <cell r="AF1111" t="str">
            <v/>
          </cell>
          <cell r="AG1111" t="str">
            <v>12491497</v>
          </cell>
          <cell r="AH1111">
            <v>44943.941030092596</v>
          </cell>
          <cell r="AI1111" t="str">
            <v>N38</v>
          </cell>
          <cell r="AJ1111" t="str">
            <v>F</v>
          </cell>
          <cell r="AK1111" t="str">
            <v/>
          </cell>
        </row>
        <row r="1112">
          <cell r="A1112" t="str">
            <v>12496422829053</v>
          </cell>
          <cell r="B1112" t="e">
            <v>#N/A</v>
          </cell>
          <cell r="C1112" t="e">
            <v>#N/A</v>
          </cell>
          <cell r="D1112" t="str">
            <v>EK65</v>
          </cell>
          <cell r="E1112" t="str">
            <v>699478</v>
          </cell>
          <cell r="F1112" t="str">
            <v>E</v>
          </cell>
          <cell r="G1112" t="str">
            <v>12496422</v>
          </cell>
          <cell r="H1112" t="str">
            <v>Halter vollst.</v>
          </cell>
          <cell r="I1112">
            <v>25</v>
          </cell>
          <cell r="J1112" t="str">
            <v>Stk</v>
          </cell>
          <cell r="K1112">
            <v>45211</v>
          </cell>
          <cell r="L1112" t="str">
            <v>829053</v>
          </cell>
          <cell r="M1112" t="str">
            <v/>
          </cell>
          <cell r="N1112" t="str">
            <v/>
          </cell>
          <cell r="O1112" t="str">
            <v/>
          </cell>
          <cell r="P1112" t="str">
            <v/>
          </cell>
          <cell r="Q1112" t="str">
            <v/>
          </cell>
          <cell r="R1112" t="str">
            <v/>
          </cell>
          <cell r="S1112" t="str">
            <v/>
          </cell>
          <cell r="T1112" t="str">
            <v/>
          </cell>
          <cell r="U1112" t="str">
            <v/>
          </cell>
          <cell r="V1112" t="str">
            <v>N38</v>
          </cell>
          <cell r="W1112" t="str">
            <v/>
          </cell>
          <cell r="X1112" t="str">
            <v/>
          </cell>
          <cell r="Y1112" t="str">
            <v/>
          </cell>
          <cell r="Z1112" t="str">
            <v/>
          </cell>
          <cell r="AA1112" t="str">
            <v/>
          </cell>
          <cell r="AB1112" t="str">
            <v>PA_4341065-LA.7005-3</v>
          </cell>
          <cell r="AC1112">
            <v>1</v>
          </cell>
          <cell r="AD1112" t="str">
            <v/>
          </cell>
          <cell r="AE1112">
            <v>0</v>
          </cell>
          <cell r="AF1112" t="str">
            <v/>
          </cell>
          <cell r="AG1112" t="str">
            <v>12496422</v>
          </cell>
          <cell r="AH1112">
            <v>44943.941828703704</v>
          </cell>
          <cell r="AI1112" t="str">
            <v>N38</v>
          </cell>
          <cell r="AJ1112" t="str">
            <v>F</v>
          </cell>
          <cell r="AK1112" t="str">
            <v/>
          </cell>
        </row>
        <row r="1113">
          <cell r="A1113" t="str">
            <v>12501306829053</v>
          </cell>
          <cell r="B1113" t="e">
            <v>#N/A</v>
          </cell>
          <cell r="C1113" t="e">
            <v>#N/A</v>
          </cell>
          <cell r="D1113" t="str">
            <v>EK65</v>
          </cell>
          <cell r="E1113" t="str">
            <v>699481</v>
          </cell>
          <cell r="F1113" t="str">
            <v>E</v>
          </cell>
          <cell r="G1113" t="str">
            <v>12501306</v>
          </cell>
          <cell r="H1113" t="str">
            <v>Halter vollst.</v>
          </cell>
          <cell r="I1113">
            <v>24</v>
          </cell>
          <cell r="J1113" t="str">
            <v>Stk</v>
          </cell>
          <cell r="K1113">
            <v>45324</v>
          </cell>
          <cell r="L1113" t="str">
            <v>829053</v>
          </cell>
          <cell r="M1113" t="str">
            <v/>
          </cell>
          <cell r="N1113" t="str">
            <v/>
          </cell>
          <cell r="O1113" t="str">
            <v/>
          </cell>
          <cell r="P1113" t="str">
            <v/>
          </cell>
          <cell r="Q1113" t="str">
            <v/>
          </cell>
          <cell r="R1113" t="str">
            <v/>
          </cell>
          <cell r="S1113" t="str">
            <v/>
          </cell>
          <cell r="T1113" t="str">
            <v/>
          </cell>
          <cell r="U1113" t="str">
            <v/>
          </cell>
          <cell r="V1113" t="str">
            <v>N38</v>
          </cell>
          <cell r="W1113" t="str">
            <v/>
          </cell>
          <cell r="X1113" t="str">
            <v/>
          </cell>
          <cell r="Y1113" t="str">
            <v/>
          </cell>
          <cell r="Z1113" t="str">
            <v/>
          </cell>
          <cell r="AA1113" t="str">
            <v/>
          </cell>
          <cell r="AB1113" t="str">
            <v>PA_4325515-TB.7005-3</v>
          </cell>
          <cell r="AC1113">
            <v>1</v>
          </cell>
          <cell r="AD1113" t="str">
            <v/>
          </cell>
          <cell r="AE1113">
            <v>0</v>
          </cell>
          <cell r="AF1113" t="str">
            <v/>
          </cell>
          <cell r="AG1113" t="str">
            <v>12501306</v>
          </cell>
          <cell r="AH1113">
            <v>44943.943240740744</v>
          </cell>
          <cell r="AI1113" t="str">
            <v>N38</v>
          </cell>
          <cell r="AJ1113" t="str">
            <v>F</v>
          </cell>
          <cell r="AK1113" t="str">
            <v/>
          </cell>
        </row>
        <row r="1114">
          <cell r="A1114" t="str">
            <v>12517571829053</v>
          </cell>
          <cell r="B1114" t="e">
            <v>#N/A</v>
          </cell>
          <cell r="C1114" t="e">
            <v>#N/A</v>
          </cell>
          <cell r="D1114" t="str">
            <v>EK65</v>
          </cell>
          <cell r="E1114" t="str">
            <v>699487</v>
          </cell>
          <cell r="F1114" t="str">
            <v>E</v>
          </cell>
          <cell r="G1114" t="str">
            <v>12517571</v>
          </cell>
          <cell r="H1114" t="str">
            <v>Halter vollst.</v>
          </cell>
          <cell r="I1114">
            <v>22</v>
          </cell>
          <cell r="J1114" t="str">
            <v>Stk</v>
          </cell>
          <cell r="K1114">
            <v>45226</v>
          </cell>
          <cell r="L1114" t="str">
            <v>829053</v>
          </cell>
          <cell r="M1114" t="str">
            <v/>
          </cell>
          <cell r="N1114" t="str">
            <v/>
          </cell>
          <cell r="O1114" t="str">
            <v/>
          </cell>
          <cell r="P1114" t="str">
            <v/>
          </cell>
          <cell r="Q1114" t="str">
            <v/>
          </cell>
          <cell r="R1114" t="str">
            <v/>
          </cell>
          <cell r="S1114" t="str">
            <v/>
          </cell>
          <cell r="T1114" t="str">
            <v/>
          </cell>
          <cell r="U1114" t="str">
            <v/>
          </cell>
          <cell r="V1114" t="str">
            <v>N38</v>
          </cell>
          <cell r="W1114" t="str">
            <v/>
          </cell>
          <cell r="X1114" t="str">
            <v/>
          </cell>
          <cell r="Y1114" t="str">
            <v/>
          </cell>
          <cell r="Z1114" t="str">
            <v/>
          </cell>
          <cell r="AA1114" t="str">
            <v/>
          </cell>
          <cell r="AB1114" t="str">
            <v>PA_4525985-UA.7005-3</v>
          </cell>
          <cell r="AC1114">
            <v>1</v>
          </cell>
          <cell r="AD1114" t="str">
            <v/>
          </cell>
          <cell r="AE1114">
            <v>0</v>
          </cell>
          <cell r="AF1114" t="str">
            <v/>
          </cell>
          <cell r="AG1114" t="str">
            <v>12517571</v>
          </cell>
          <cell r="AH1114">
            <v>44943.952708333331</v>
          </cell>
          <cell r="AI1114" t="str">
            <v>N38</v>
          </cell>
          <cell r="AJ1114" t="str">
            <v>F</v>
          </cell>
          <cell r="AK1114" t="str">
            <v/>
          </cell>
        </row>
        <row r="1115">
          <cell r="A1115" t="str">
            <v>12517571829054</v>
          </cell>
          <cell r="B1115" t="str">
            <v>BL20230413-2</v>
          </cell>
          <cell r="C1115" t="e">
            <v>#N/A</v>
          </cell>
          <cell r="D1115" t="str">
            <v>EK65</v>
          </cell>
          <cell r="E1115" t="str">
            <v>699488</v>
          </cell>
          <cell r="F1115" t="str">
            <v>E</v>
          </cell>
          <cell r="G1115" t="str">
            <v>12517571</v>
          </cell>
          <cell r="H1115" t="str">
            <v>Halter vollst.</v>
          </cell>
          <cell r="I1115">
            <v>7</v>
          </cell>
          <cell r="J1115" t="str">
            <v>Stk</v>
          </cell>
          <cell r="K1115">
            <v>45254</v>
          </cell>
          <cell r="L1115" t="str">
            <v>829054</v>
          </cell>
          <cell r="M1115" t="str">
            <v/>
          </cell>
          <cell r="N1115" t="str">
            <v/>
          </cell>
          <cell r="O1115" t="str">
            <v/>
          </cell>
          <cell r="P1115" t="str">
            <v/>
          </cell>
          <cell r="Q1115" t="str">
            <v/>
          </cell>
          <cell r="R1115" t="str">
            <v/>
          </cell>
          <cell r="S1115" t="str">
            <v/>
          </cell>
          <cell r="T1115" t="str">
            <v/>
          </cell>
          <cell r="U1115" t="str">
            <v/>
          </cell>
          <cell r="V1115" t="str">
            <v>N38</v>
          </cell>
          <cell r="W1115" t="str">
            <v/>
          </cell>
          <cell r="X1115" t="str">
            <v/>
          </cell>
          <cell r="Y1115" t="str">
            <v/>
          </cell>
          <cell r="Z1115" t="str">
            <v/>
          </cell>
          <cell r="AA1115" t="str">
            <v/>
          </cell>
          <cell r="AB1115" t="str">
            <v>PA_4525985-UA.7005-3</v>
          </cell>
          <cell r="AC1115">
            <v>1</v>
          </cell>
          <cell r="AD1115" t="str">
            <v/>
          </cell>
          <cell r="AE1115">
            <v>0</v>
          </cell>
          <cell r="AF1115" t="str">
            <v/>
          </cell>
          <cell r="AG1115" t="str">
            <v>12517571</v>
          </cell>
          <cell r="AH1115">
            <v>44943.952708333331</v>
          </cell>
          <cell r="AI1115" t="str">
            <v>N38</v>
          </cell>
          <cell r="AJ1115" t="str">
            <v>F</v>
          </cell>
          <cell r="AK1115" t="str">
            <v/>
          </cell>
        </row>
        <row r="1116">
          <cell r="A1116" t="str">
            <v>12517628829051</v>
          </cell>
          <cell r="B1116" t="e">
            <v>#N/A</v>
          </cell>
          <cell r="C1116" t="e">
            <v>#N/A</v>
          </cell>
          <cell r="D1116" t="str">
            <v>EK65</v>
          </cell>
          <cell r="E1116" t="str">
            <v>699489</v>
          </cell>
          <cell r="F1116" t="str">
            <v>E</v>
          </cell>
          <cell r="G1116" t="str">
            <v>12517628</v>
          </cell>
          <cell r="H1116" t="str">
            <v>Blech vollst.</v>
          </cell>
          <cell r="I1116">
            <v>3580</v>
          </cell>
          <cell r="J1116" t="str">
            <v>Stk</v>
          </cell>
          <cell r="K1116">
            <v>45324</v>
          </cell>
          <cell r="L1116" t="str">
            <v>829051</v>
          </cell>
          <cell r="M1116" t="str">
            <v/>
          </cell>
          <cell r="N1116" t="str">
            <v/>
          </cell>
          <cell r="O1116" t="str">
            <v/>
          </cell>
          <cell r="P1116" t="str">
            <v/>
          </cell>
          <cell r="Q1116" t="str">
            <v/>
          </cell>
          <cell r="R1116" t="str">
            <v/>
          </cell>
          <cell r="S1116" t="str">
            <v/>
          </cell>
          <cell r="T1116" t="str">
            <v/>
          </cell>
          <cell r="U1116" t="str">
            <v/>
          </cell>
          <cell r="V1116" t="str">
            <v>N38</v>
          </cell>
          <cell r="W1116" t="str">
            <v/>
          </cell>
          <cell r="X1116" t="str">
            <v/>
          </cell>
          <cell r="Y1116" t="str">
            <v/>
          </cell>
          <cell r="Z1116" t="str">
            <v/>
          </cell>
          <cell r="AA1116" t="str">
            <v/>
          </cell>
          <cell r="AB1116" t="str">
            <v>PA_4524721-UA.7005-4</v>
          </cell>
          <cell r="AC1116">
            <v>1</v>
          </cell>
          <cell r="AD1116" t="str">
            <v/>
          </cell>
          <cell r="AE1116">
            <v>0</v>
          </cell>
          <cell r="AF1116" t="str">
            <v/>
          </cell>
          <cell r="AG1116" t="str">
            <v>12517628</v>
          </cell>
          <cell r="AH1116">
            <v>44943.952766203707</v>
          </cell>
          <cell r="AI1116" t="str">
            <v>N38</v>
          </cell>
          <cell r="AJ1116" t="str">
            <v>F</v>
          </cell>
          <cell r="AK1116" t="str">
            <v/>
          </cell>
        </row>
        <row r="1117">
          <cell r="A1117" t="str">
            <v>12517628829053</v>
          </cell>
          <cell r="B1117" t="e">
            <v>#N/A</v>
          </cell>
          <cell r="C1117" t="e">
            <v>#N/A</v>
          </cell>
          <cell r="D1117" t="str">
            <v>EK65</v>
          </cell>
          <cell r="E1117" t="str">
            <v>699490</v>
          </cell>
          <cell r="F1117" t="str">
            <v>E</v>
          </cell>
          <cell r="G1117" t="str">
            <v>12517628</v>
          </cell>
          <cell r="H1117" t="str">
            <v>Blech vollst.</v>
          </cell>
          <cell r="I1117">
            <v>85</v>
          </cell>
          <cell r="J1117" t="str">
            <v>Stk</v>
          </cell>
          <cell r="K1117">
            <v>45365</v>
          </cell>
          <cell r="L1117" t="str">
            <v>829053</v>
          </cell>
          <cell r="M1117" t="str">
            <v/>
          </cell>
          <cell r="N1117" t="str">
            <v/>
          </cell>
          <cell r="O1117" t="str">
            <v/>
          </cell>
          <cell r="P1117" t="str">
            <v/>
          </cell>
          <cell r="Q1117" t="str">
            <v/>
          </cell>
          <cell r="R1117" t="str">
            <v/>
          </cell>
          <cell r="S1117" t="str">
            <v/>
          </cell>
          <cell r="T1117" t="str">
            <v/>
          </cell>
          <cell r="U1117" t="str">
            <v/>
          </cell>
          <cell r="V1117" t="str">
            <v>N38</v>
          </cell>
          <cell r="W1117" t="str">
            <v/>
          </cell>
          <cell r="X1117" t="str">
            <v/>
          </cell>
          <cell r="Y1117" t="str">
            <v/>
          </cell>
          <cell r="Z1117" t="str">
            <v/>
          </cell>
          <cell r="AA1117" t="str">
            <v/>
          </cell>
          <cell r="AB1117" t="str">
            <v>PA_4524721-UA.7005-4</v>
          </cell>
          <cell r="AC1117">
            <v>1</v>
          </cell>
          <cell r="AD1117" t="str">
            <v/>
          </cell>
          <cell r="AE1117">
            <v>0</v>
          </cell>
          <cell r="AF1117" t="str">
            <v/>
          </cell>
          <cell r="AG1117" t="str">
            <v>12517628</v>
          </cell>
          <cell r="AH1117">
            <v>44943.952766203707</v>
          </cell>
          <cell r="AI1117" t="str">
            <v>N38</v>
          </cell>
          <cell r="AJ1117" t="str">
            <v>F</v>
          </cell>
          <cell r="AK1117" t="str">
            <v/>
          </cell>
        </row>
        <row r="1118">
          <cell r="A1118" t="str">
            <v>12518049829053</v>
          </cell>
          <cell r="B1118" t="e">
            <v>#N/A</v>
          </cell>
          <cell r="C1118" t="e">
            <v>#N/A</v>
          </cell>
          <cell r="D1118" t="str">
            <v>EK65</v>
          </cell>
          <cell r="E1118" t="str">
            <v>699492</v>
          </cell>
          <cell r="F1118" t="str">
            <v>E</v>
          </cell>
          <cell r="G1118" t="str">
            <v>12518049</v>
          </cell>
          <cell r="H1118" t="str">
            <v>Halter vollst.</v>
          </cell>
          <cell r="I1118">
            <v>93</v>
          </cell>
          <cell r="J1118" t="str">
            <v>Stk</v>
          </cell>
          <cell r="K1118">
            <v>45190</v>
          </cell>
          <cell r="L1118" t="str">
            <v>829053</v>
          </cell>
          <cell r="M1118" t="str">
            <v/>
          </cell>
          <cell r="N1118" t="str">
            <v/>
          </cell>
          <cell r="O1118" t="str">
            <v/>
          </cell>
          <cell r="P1118" t="str">
            <v/>
          </cell>
          <cell r="Q1118" t="str">
            <v/>
          </cell>
          <cell r="R1118" t="str">
            <v/>
          </cell>
          <cell r="S1118" t="str">
            <v/>
          </cell>
          <cell r="T1118" t="str">
            <v/>
          </cell>
          <cell r="U1118" t="str">
            <v/>
          </cell>
          <cell r="V1118" t="str">
            <v>N38</v>
          </cell>
          <cell r="W1118" t="str">
            <v/>
          </cell>
          <cell r="X1118" t="str">
            <v/>
          </cell>
          <cell r="Y1118" t="str">
            <v/>
          </cell>
          <cell r="Z1118" t="str">
            <v/>
          </cell>
          <cell r="AA1118" t="str">
            <v/>
          </cell>
          <cell r="AB1118" t="str">
            <v>PA_4456042-TC.7005-3</v>
          </cell>
          <cell r="AC1118">
            <v>1</v>
          </cell>
          <cell r="AD1118" t="str">
            <v/>
          </cell>
          <cell r="AE1118">
            <v>0</v>
          </cell>
          <cell r="AF1118" t="str">
            <v/>
          </cell>
          <cell r="AG1118" t="str">
            <v>12518049</v>
          </cell>
          <cell r="AH1118">
            <v>44943.953715277778</v>
          </cell>
          <cell r="AI1118" t="str">
            <v>N38</v>
          </cell>
          <cell r="AJ1118" t="str">
            <v>F</v>
          </cell>
          <cell r="AK1118" t="str">
            <v/>
          </cell>
        </row>
        <row r="1119">
          <cell r="A1119" t="str">
            <v>12518049829051</v>
          </cell>
          <cell r="B1119" t="e">
            <v>#N/A</v>
          </cell>
          <cell r="C1119" t="e">
            <v>#N/A</v>
          </cell>
          <cell r="D1119" t="str">
            <v>EK65</v>
          </cell>
          <cell r="E1119" t="str">
            <v>699493</v>
          </cell>
          <cell r="F1119" t="str">
            <v>E</v>
          </cell>
          <cell r="G1119" t="str">
            <v>12518049</v>
          </cell>
          <cell r="H1119" t="str">
            <v>Halter vollst.</v>
          </cell>
          <cell r="I1119">
            <v>170</v>
          </cell>
          <cell r="J1119" t="str">
            <v>Stk</v>
          </cell>
          <cell r="K1119">
            <v>45393</v>
          </cell>
          <cell r="L1119" t="str">
            <v>829051</v>
          </cell>
          <cell r="M1119" t="str">
            <v/>
          </cell>
          <cell r="N1119" t="str">
            <v/>
          </cell>
          <cell r="O1119" t="str">
            <v/>
          </cell>
          <cell r="P1119" t="str">
            <v/>
          </cell>
          <cell r="Q1119" t="str">
            <v/>
          </cell>
          <cell r="R1119" t="str">
            <v/>
          </cell>
          <cell r="S1119" t="str">
            <v/>
          </cell>
          <cell r="T1119" t="str">
            <v/>
          </cell>
          <cell r="U1119" t="str">
            <v/>
          </cell>
          <cell r="V1119" t="str">
            <v>N38</v>
          </cell>
          <cell r="W1119" t="str">
            <v/>
          </cell>
          <cell r="X1119" t="str">
            <v/>
          </cell>
          <cell r="Y1119" t="str">
            <v/>
          </cell>
          <cell r="Z1119" t="str">
            <v/>
          </cell>
          <cell r="AA1119" t="str">
            <v/>
          </cell>
          <cell r="AB1119" t="str">
            <v>PA_4456042-TC.7005-3</v>
          </cell>
          <cell r="AC1119">
            <v>1</v>
          </cell>
          <cell r="AD1119" t="str">
            <v/>
          </cell>
          <cell r="AE1119">
            <v>0</v>
          </cell>
          <cell r="AF1119" t="str">
            <v/>
          </cell>
          <cell r="AG1119" t="str">
            <v>12518049</v>
          </cell>
          <cell r="AH1119">
            <v>44943.953715277778</v>
          </cell>
          <cell r="AI1119" t="str">
            <v>N38</v>
          </cell>
          <cell r="AJ1119" t="str">
            <v>F</v>
          </cell>
          <cell r="AK1119" t="str">
            <v/>
          </cell>
        </row>
        <row r="1120">
          <cell r="A1120" t="str">
            <v>12518435829053</v>
          </cell>
          <cell r="B1120" t="e">
            <v>#N/A</v>
          </cell>
          <cell r="C1120" t="e">
            <v>#N/A</v>
          </cell>
          <cell r="D1120" t="str">
            <v>EK65</v>
          </cell>
          <cell r="E1120" t="str">
            <v>699494</v>
          </cell>
          <cell r="F1120" t="str">
            <v>E</v>
          </cell>
          <cell r="G1120" t="str">
            <v>12518435</v>
          </cell>
          <cell r="H1120" t="str">
            <v>Halter vollst.fuer Rohrschellen</v>
          </cell>
          <cell r="I1120">
            <v>102</v>
          </cell>
          <cell r="J1120" t="str">
            <v>Stk</v>
          </cell>
          <cell r="K1120">
            <v>45196</v>
          </cell>
          <cell r="L1120" t="str">
            <v>829053</v>
          </cell>
          <cell r="M1120" t="str">
            <v/>
          </cell>
          <cell r="N1120" t="str">
            <v/>
          </cell>
          <cell r="O1120" t="str">
            <v/>
          </cell>
          <cell r="P1120" t="str">
            <v/>
          </cell>
          <cell r="Q1120" t="str">
            <v/>
          </cell>
          <cell r="R1120" t="str">
            <v/>
          </cell>
          <cell r="S1120" t="str">
            <v/>
          </cell>
          <cell r="T1120" t="str">
            <v/>
          </cell>
          <cell r="U1120" t="str">
            <v/>
          </cell>
          <cell r="V1120" t="str">
            <v>N38</v>
          </cell>
          <cell r="W1120" t="str">
            <v/>
          </cell>
          <cell r="X1120" t="str">
            <v/>
          </cell>
          <cell r="Y1120" t="str">
            <v/>
          </cell>
          <cell r="Z1120" t="str">
            <v/>
          </cell>
          <cell r="AA1120" t="str">
            <v/>
          </cell>
          <cell r="AB1120" t="str">
            <v>PA_4377535-QE.7005-3</v>
          </cell>
          <cell r="AC1120">
            <v>1</v>
          </cell>
          <cell r="AD1120" t="str">
            <v/>
          </cell>
          <cell r="AE1120">
            <v>0</v>
          </cell>
          <cell r="AF1120" t="str">
            <v/>
          </cell>
          <cell r="AG1120" t="str">
            <v>12518435</v>
          </cell>
          <cell r="AH1120">
            <v>44943.95412037037</v>
          </cell>
          <cell r="AI1120" t="str">
            <v>N38</v>
          </cell>
          <cell r="AJ1120" t="str">
            <v>F</v>
          </cell>
          <cell r="AK1120" t="str">
            <v/>
          </cell>
        </row>
        <row r="1121">
          <cell r="A1121" t="str">
            <v>12518435829054</v>
          </cell>
          <cell r="B1121" t="str">
            <v>BL20230413-2</v>
          </cell>
          <cell r="C1121" t="e">
            <v>#N/A</v>
          </cell>
          <cell r="D1121" t="str">
            <v>EK65</v>
          </cell>
          <cell r="E1121" t="str">
            <v>699495</v>
          </cell>
          <cell r="F1121" t="str">
            <v>E</v>
          </cell>
          <cell r="G1121" t="str">
            <v>12518435</v>
          </cell>
          <cell r="H1121" t="str">
            <v>Halter vollst.fuer Rohrschellen</v>
          </cell>
          <cell r="I1121">
            <v>28</v>
          </cell>
          <cell r="J1121" t="str">
            <v>Stk</v>
          </cell>
          <cell r="K1121">
            <v>45251</v>
          </cell>
          <cell r="L1121" t="str">
            <v>829054</v>
          </cell>
          <cell r="M1121" t="str">
            <v/>
          </cell>
          <cell r="N1121" t="str">
            <v/>
          </cell>
          <cell r="O1121" t="str">
            <v/>
          </cell>
          <cell r="P1121" t="str">
            <v/>
          </cell>
          <cell r="Q1121" t="str">
            <v/>
          </cell>
          <cell r="R1121" t="str">
            <v/>
          </cell>
          <cell r="S1121" t="str">
            <v/>
          </cell>
          <cell r="T1121" t="str">
            <v/>
          </cell>
          <cell r="U1121" t="str">
            <v/>
          </cell>
          <cell r="V1121" t="str">
            <v>N38</v>
          </cell>
          <cell r="W1121" t="str">
            <v/>
          </cell>
          <cell r="X1121" t="str">
            <v/>
          </cell>
          <cell r="Y1121" t="str">
            <v/>
          </cell>
          <cell r="Z1121" t="str">
            <v/>
          </cell>
          <cell r="AA1121" t="str">
            <v/>
          </cell>
          <cell r="AB1121" t="str">
            <v>PA_4377535-QE.7005-3</v>
          </cell>
          <cell r="AC1121">
            <v>1</v>
          </cell>
          <cell r="AD1121" t="str">
            <v/>
          </cell>
          <cell r="AE1121">
            <v>0</v>
          </cell>
          <cell r="AF1121" t="str">
            <v/>
          </cell>
          <cell r="AG1121" t="str">
            <v>12518435</v>
          </cell>
          <cell r="AH1121">
            <v>44943.95412037037</v>
          </cell>
          <cell r="AI1121" t="str">
            <v>N38</v>
          </cell>
          <cell r="AJ1121" t="str">
            <v>F</v>
          </cell>
          <cell r="AK1121" t="str">
            <v/>
          </cell>
        </row>
        <row r="1122">
          <cell r="A1122" t="str">
            <v>12518435829052</v>
          </cell>
          <cell r="B1122" t="e">
            <v>#N/A</v>
          </cell>
          <cell r="C1122" t="e">
            <v>#N/A</v>
          </cell>
          <cell r="D1122" t="str">
            <v>EK65</v>
          </cell>
          <cell r="E1122" t="str">
            <v>699496</v>
          </cell>
          <cell r="F1122" t="str">
            <v>E</v>
          </cell>
          <cell r="G1122" t="str">
            <v>12518435</v>
          </cell>
          <cell r="H1122" t="str">
            <v>Halter vollst.fuer Rohrschellen</v>
          </cell>
          <cell r="I1122">
            <v>61</v>
          </cell>
          <cell r="J1122" t="str">
            <v>Stk</v>
          </cell>
          <cell r="K1122">
            <v>45350</v>
          </cell>
          <cell r="L1122" t="str">
            <v>829052</v>
          </cell>
          <cell r="M1122" t="str">
            <v/>
          </cell>
          <cell r="N1122" t="str">
            <v/>
          </cell>
          <cell r="O1122" t="str">
            <v/>
          </cell>
          <cell r="P1122" t="str">
            <v/>
          </cell>
          <cell r="Q1122" t="str">
            <v/>
          </cell>
          <cell r="R1122" t="str">
            <v/>
          </cell>
          <cell r="S1122" t="str">
            <v/>
          </cell>
          <cell r="T1122" t="str">
            <v/>
          </cell>
          <cell r="U1122" t="str">
            <v/>
          </cell>
          <cell r="V1122" t="str">
            <v>N38</v>
          </cell>
          <cell r="W1122" t="str">
            <v/>
          </cell>
          <cell r="X1122" t="str">
            <v/>
          </cell>
          <cell r="Y1122" t="str">
            <v/>
          </cell>
          <cell r="Z1122" t="str">
            <v/>
          </cell>
          <cell r="AA1122" t="str">
            <v/>
          </cell>
          <cell r="AB1122" t="str">
            <v>PA_4377535-QE.7005-3</v>
          </cell>
          <cell r="AC1122">
            <v>1</v>
          </cell>
          <cell r="AD1122" t="str">
            <v/>
          </cell>
          <cell r="AE1122">
            <v>0</v>
          </cell>
          <cell r="AF1122" t="str">
            <v/>
          </cell>
          <cell r="AG1122" t="str">
            <v>12518435</v>
          </cell>
          <cell r="AH1122">
            <v>44943.954131944447</v>
          </cell>
          <cell r="AI1122" t="str">
            <v>N38</v>
          </cell>
          <cell r="AJ1122" t="str">
            <v>F</v>
          </cell>
          <cell r="AK1122" t="str">
            <v/>
          </cell>
        </row>
        <row r="1123">
          <cell r="A1123" t="str">
            <v>12518435829051</v>
          </cell>
          <cell r="B1123" t="e">
            <v>#N/A</v>
          </cell>
          <cell r="C1123" t="e">
            <v>#N/A</v>
          </cell>
          <cell r="D1123" t="str">
            <v>EK65</v>
          </cell>
          <cell r="E1123" t="str">
            <v>699497</v>
          </cell>
          <cell r="F1123" t="str">
            <v>E</v>
          </cell>
          <cell r="G1123" t="str">
            <v>12518435</v>
          </cell>
          <cell r="H1123" t="str">
            <v>Halter vollst.fuer Rohrschellen</v>
          </cell>
          <cell r="I1123">
            <v>162</v>
          </cell>
          <cell r="J1123" t="str">
            <v>Stk</v>
          </cell>
          <cell r="K1123">
            <v>45364</v>
          </cell>
          <cell r="L1123" t="str">
            <v>829051</v>
          </cell>
          <cell r="M1123" t="str">
            <v/>
          </cell>
          <cell r="N1123" t="str">
            <v/>
          </cell>
          <cell r="O1123" t="str">
            <v/>
          </cell>
          <cell r="P1123" t="str">
            <v/>
          </cell>
          <cell r="Q1123" t="str">
            <v/>
          </cell>
          <cell r="R1123" t="str">
            <v/>
          </cell>
          <cell r="S1123" t="str">
            <v/>
          </cell>
          <cell r="T1123" t="str">
            <v/>
          </cell>
          <cell r="U1123" t="str">
            <v/>
          </cell>
          <cell r="V1123" t="str">
            <v>N38</v>
          </cell>
          <cell r="W1123" t="str">
            <v/>
          </cell>
          <cell r="X1123" t="str">
            <v/>
          </cell>
          <cell r="Y1123" t="str">
            <v/>
          </cell>
          <cell r="Z1123" t="str">
            <v/>
          </cell>
          <cell r="AA1123" t="str">
            <v/>
          </cell>
          <cell r="AB1123" t="str">
            <v>PA_4377535-QE.7005-3</v>
          </cell>
          <cell r="AC1123">
            <v>1</v>
          </cell>
          <cell r="AD1123" t="str">
            <v/>
          </cell>
          <cell r="AE1123">
            <v>0</v>
          </cell>
          <cell r="AF1123" t="str">
            <v/>
          </cell>
          <cell r="AG1123" t="str">
            <v>12518435</v>
          </cell>
          <cell r="AH1123">
            <v>44943.954131944447</v>
          </cell>
          <cell r="AI1123" t="str">
            <v>N38</v>
          </cell>
          <cell r="AJ1123" t="str">
            <v>F</v>
          </cell>
          <cell r="AK1123" t="str">
            <v/>
          </cell>
        </row>
        <row r="1124">
          <cell r="A1124" t="str">
            <v>12520036829053</v>
          </cell>
          <cell r="B1124" t="e">
            <v>#N/A</v>
          </cell>
          <cell r="C1124" t="e">
            <v>#N/A</v>
          </cell>
          <cell r="D1124" t="str">
            <v>EK65</v>
          </cell>
          <cell r="E1124" t="str">
            <v>699499</v>
          </cell>
          <cell r="F1124" t="str">
            <v>E</v>
          </cell>
          <cell r="G1124" t="str">
            <v>12520036</v>
          </cell>
          <cell r="H1124" t="str">
            <v>Halter vollst.</v>
          </cell>
          <cell r="I1124">
            <v>25</v>
          </cell>
          <cell r="J1124" t="str">
            <v>Stk</v>
          </cell>
          <cell r="K1124">
            <v>45204</v>
          </cell>
          <cell r="L1124" t="str">
            <v>829053</v>
          </cell>
          <cell r="M1124" t="str">
            <v/>
          </cell>
          <cell r="N1124" t="str">
            <v/>
          </cell>
          <cell r="O1124" t="str">
            <v/>
          </cell>
          <cell r="P1124" t="str">
            <v/>
          </cell>
          <cell r="Q1124" t="str">
            <v/>
          </cell>
          <cell r="R1124" t="str">
            <v/>
          </cell>
          <cell r="S1124" t="str">
            <v/>
          </cell>
          <cell r="T1124" t="str">
            <v/>
          </cell>
          <cell r="U1124" t="str">
            <v/>
          </cell>
          <cell r="V1124" t="str">
            <v>N38</v>
          </cell>
          <cell r="W1124" t="str">
            <v/>
          </cell>
          <cell r="X1124" t="str">
            <v/>
          </cell>
          <cell r="Y1124" t="str">
            <v/>
          </cell>
          <cell r="Z1124" t="str">
            <v/>
          </cell>
          <cell r="AA1124" t="str">
            <v/>
          </cell>
          <cell r="AB1124" t="str">
            <v>PA_4386664-UA.7005-3</v>
          </cell>
          <cell r="AC1124">
            <v>1</v>
          </cell>
          <cell r="AD1124" t="str">
            <v/>
          </cell>
          <cell r="AE1124">
            <v>0</v>
          </cell>
          <cell r="AF1124" t="str">
            <v/>
          </cell>
          <cell r="AG1124" t="str">
            <v>12520036</v>
          </cell>
          <cell r="AH1124">
            <v>44943.954837962963</v>
          </cell>
          <cell r="AI1124" t="str">
            <v>N38</v>
          </cell>
          <cell r="AJ1124" t="str">
            <v>F</v>
          </cell>
          <cell r="AK1124" t="str">
            <v/>
          </cell>
        </row>
        <row r="1125">
          <cell r="A1125" t="str">
            <v>12520735829053</v>
          </cell>
          <cell r="B1125" t="e">
            <v>#N/A</v>
          </cell>
          <cell r="C1125" t="e">
            <v>#N/A</v>
          </cell>
          <cell r="D1125" t="str">
            <v>EK65</v>
          </cell>
          <cell r="E1125" t="str">
            <v>699500</v>
          </cell>
          <cell r="F1125" t="str">
            <v>E</v>
          </cell>
          <cell r="G1125" t="str">
            <v>12520735</v>
          </cell>
          <cell r="H1125" t="str">
            <v>Blech vollst.</v>
          </cell>
          <cell r="I1125">
            <v>48</v>
          </cell>
          <cell r="J1125" t="str">
            <v>Stk</v>
          </cell>
          <cell r="K1125">
            <v>45217</v>
          </cell>
          <cell r="L1125" t="str">
            <v>829053</v>
          </cell>
          <cell r="M1125" t="str">
            <v/>
          </cell>
          <cell r="N1125" t="str">
            <v/>
          </cell>
          <cell r="O1125" t="str">
            <v/>
          </cell>
          <cell r="P1125" t="str">
            <v/>
          </cell>
          <cell r="Q1125" t="str">
            <v/>
          </cell>
          <cell r="R1125" t="str">
            <v/>
          </cell>
          <cell r="S1125" t="str">
            <v/>
          </cell>
          <cell r="T1125" t="str">
            <v/>
          </cell>
          <cell r="U1125" t="str">
            <v/>
          </cell>
          <cell r="V1125" t="str">
            <v>N38</v>
          </cell>
          <cell r="W1125" t="str">
            <v/>
          </cell>
          <cell r="X1125" t="str">
            <v/>
          </cell>
          <cell r="Y1125" t="str">
            <v/>
          </cell>
          <cell r="Z1125" t="str">
            <v/>
          </cell>
          <cell r="AA1125" t="str">
            <v/>
          </cell>
          <cell r="AB1125" t="str">
            <v>PA_4515759-UA.7005-3</v>
          </cell>
          <cell r="AC1125">
            <v>1</v>
          </cell>
          <cell r="AD1125" t="str">
            <v/>
          </cell>
          <cell r="AE1125">
            <v>0</v>
          </cell>
          <cell r="AF1125" t="str">
            <v/>
          </cell>
          <cell r="AG1125" t="str">
            <v>12520735</v>
          </cell>
          <cell r="AH1125">
            <v>44943.955069444448</v>
          </cell>
          <cell r="AI1125" t="str">
            <v>N38</v>
          </cell>
          <cell r="AJ1125" t="str">
            <v>F</v>
          </cell>
          <cell r="AK1125" t="str">
            <v>A</v>
          </cell>
        </row>
        <row r="1126">
          <cell r="A1126" t="str">
            <v>12520735829054</v>
          </cell>
          <cell r="B1126" t="str">
            <v>BL20230413-2</v>
          </cell>
          <cell r="C1126" t="e">
            <v>#N/A</v>
          </cell>
          <cell r="D1126" t="str">
            <v>EK65</v>
          </cell>
          <cell r="E1126" t="str">
            <v>699501</v>
          </cell>
          <cell r="F1126" t="str">
            <v>E</v>
          </cell>
          <cell r="G1126" t="str">
            <v>12520735</v>
          </cell>
          <cell r="H1126" t="str">
            <v>Blech vollst.</v>
          </cell>
          <cell r="I1126">
            <v>14</v>
          </cell>
          <cell r="J1126" t="str">
            <v>Stk</v>
          </cell>
          <cell r="K1126">
            <v>45253</v>
          </cell>
          <cell r="L1126" t="str">
            <v>829054</v>
          </cell>
          <cell r="M1126" t="str">
            <v/>
          </cell>
          <cell r="N1126" t="str">
            <v/>
          </cell>
          <cell r="O1126" t="str">
            <v/>
          </cell>
          <cell r="P1126" t="str">
            <v/>
          </cell>
          <cell r="Q1126" t="str">
            <v/>
          </cell>
          <cell r="R1126" t="str">
            <v/>
          </cell>
          <cell r="S1126" t="str">
            <v/>
          </cell>
          <cell r="T1126" t="str">
            <v/>
          </cell>
          <cell r="U1126" t="str">
            <v/>
          </cell>
          <cell r="V1126" t="str">
            <v>N38</v>
          </cell>
          <cell r="W1126" t="str">
            <v/>
          </cell>
          <cell r="X1126" t="str">
            <v/>
          </cell>
          <cell r="Y1126" t="str">
            <v/>
          </cell>
          <cell r="Z1126" t="str">
            <v/>
          </cell>
          <cell r="AA1126" t="str">
            <v/>
          </cell>
          <cell r="AB1126" t="str">
            <v>PA_4515759-UA.7005-3</v>
          </cell>
          <cell r="AC1126">
            <v>1</v>
          </cell>
          <cell r="AD1126" t="str">
            <v/>
          </cell>
          <cell r="AE1126">
            <v>0</v>
          </cell>
          <cell r="AF1126" t="str">
            <v/>
          </cell>
          <cell r="AG1126" t="str">
            <v>12520735</v>
          </cell>
          <cell r="AH1126">
            <v>44943.955081018517</v>
          </cell>
          <cell r="AI1126" t="str">
            <v>N38</v>
          </cell>
          <cell r="AJ1126" t="str">
            <v>F</v>
          </cell>
          <cell r="AK1126" t="str">
            <v>A</v>
          </cell>
        </row>
        <row r="1127">
          <cell r="A1127" t="str">
            <v>12520877829054</v>
          </cell>
          <cell r="B1127" t="str">
            <v>BL20230413-2</v>
          </cell>
          <cell r="C1127" t="e">
            <v>#N/A</v>
          </cell>
          <cell r="D1127" t="str">
            <v>EK65</v>
          </cell>
          <cell r="E1127" t="str">
            <v>699502</v>
          </cell>
          <cell r="F1127" t="str">
            <v>E</v>
          </cell>
          <cell r="G1127" t="str">
            <v>12520877</v>
          </cell>
          <cell r="H1127" t="str">
            <v>Blech vollst.</v>
          </cell>
          <cell r="I1127">
            <v>137</v>
          </cell>
          <cell r="J1127" t="str">
            <v>Stk</v>
          </cell>
          <cell r="K1127">
            <v>45274</v>
          </cell>
          <cell r="L1127" t="str">
            <v>829054</v>
          </cell>
          <cell r="M1127" t="str">
            <v/>
          </cell>
          <cell r="N1127" t="str">
            <v/>
          </cell>
          <cell r="O1127" t="str">
            <v/>
          </cell>
          <cell r="P1127" t="str">
            <v/>
          </cell>
          <cell r="Q1127" t="str">
            <v/>
          </cell>
          <cell r="R1127" t="str">
            <v/>
          </cell>
          <cell r="S1127" t="str">
            <v/>
          </cell>
          <cell r="T1127" t="str">
            <v/>
          </cell>
          <cell r="U1127" t="str">
            <v/>
          </cell>
          <cell r="V1127" t="str">
            <v>N38</v>
          </cell>
          <cell r="W1127" t="str">
            <v/>
          </cell>
          <cell r="X1127" t="str">
            <v/>
          </cell>
          <cell r="Y1127" t="str">
            <v/>
          </cell>
          <cell r="Z1127" t="str">
            <v/>
          </cell>
          <cell r="AA1127" t="str">
            <v/>
          </cell>
          <cell r="AB1127" t="str">
            <v>PA_4504691-UA.7005-3</v>
          </cell>
          <cell r="AC1127">
            <v>1</v>
          </cell>
          <cell r="AD1127" t="str">
            <v/>
          </cell>
          <cell r="AE1127">
            <v>0</v>
          </cell>
          <cell r="AF1127" t="str">
            <v/>
          </cell>
          <cell r="AG1127" t="str">
            <v>12520877</v>
          </cell>
          <cell r="AH1127">
            <v>44943.955092592594</v>
          </cell>
          <cell r="AI1127" t="str">
            <v>N38</v>
          </cell>
          <cell r="AJ1127" t="str">
            <v>F</v>
          </cell>
          <cell r="AK1127" t="str">
            <v>A</v>
          </cell>
        </row>
        <row r="1128">
          <cell r="A1128" t="str">
            <v>12520877829053</v>
          </cell>
          <cell r="B1128" t="e">
            <v>#N/A</v>
          </cell>
          <cell r="C1128" t="e">
            <v>#N/A</v>
          </cell>
          <cell r="D1128" t="str">
            <v>EK65</v>
          </cell>
          <cell r="E1128" t="str">
            <v>699503</v>
          </cell>
          <cell r="F1128" t="str">
            <v>E</v>
          </cell>
          <cell r="G1128" t="str">
            <v>12520877</v>
          </cell>
          <cell r="H1128" t="str">
            <v>Blech vollst.</v>
          </cell>
          <cell r="I1128">
            <v>268</v>
          </cell>
          <cell r="J1128" t="str">
            <v>Stk</v>
          </cell>
          <cell r="K1128">
            <v>45318</v>
          </cell>
          <cell r="L1128" t="str">
            <v>829053</v>
          </cell>
          <cell r="M1128" t="str">
            <v/>
          </cell>
          <cell r="N1128" t="str">
            <v/>
          </cell>
          <cell r="O1128" t="str">
            <v/>
          </cell>
          <cell r="P1128" t="str">
            <v/>
          </cell>
          <cell r="Q1128" t="str">
            <v/>
          </cell>
          <cell r="R1128" t="str">
            <v/>
          </cell>
          <cell r="S1128" t="str">
            <v/>
          </cell>
          <cell r="T1128" t="str">
            <v/>
          </cell>
          <cell r="U1128" t="str">
            <v/>
          </cell>
          <cell r="V1128" t="str">
            <v>N38</v>
          </cell>
          <cell r="W1128" t="str">
            <v/>
          </cell>
          <cell r="X1128" t="str">
            <v/>
          </cell>
          <cell r="Y1128" t="str">
            <v/>
          </cell>
          <cell r="Z1128" t="str">
            <v/>
          </cell>
          <cell r="AA1128" t="str">
            <v/>
          </cell>
          <cell r="AB1128" t="str">
            <v>PA_4504691-UA.7005-3</v>
          </cell>
          <cell r="AC1128">
            <v>1</v>
          </cell>
          <cell r="AD1128" t="str">
            <v/>
          </cell>
          <cell r="AE1128">
            <v>0</v>
          </cell>
          <cell r="AF1128" t="str">
            <v/>
          </cell>
          <cell r="AG1128" t="str">
            <v>12520877</v>
          </cell>
          <cell r="AH1128">
            <v>44943.955092592594</v>
          </cell>
          <cell r="AI1128" t="str">
            <v>N38</v>
          </cell>
          <cell r="AJ1128" t="str">
            <v>F</v>
          </cell>
          <cell r="AK1128" t="str">
            <v>A</v>
          </cell>
        </row>
        <row r="1129">
          <cell r="A1129" t="str">
            <v>12520945829054</v>
          </cell>
          <cell r="B1129" t="str">
            <v>BL20230413-2</v>
          </cell>
          <cell r="C1129" t="e">
            <v>#N/A</v>
          </cell>
          <cell r="D1129" t="str">
            <v>EK65</v>
          </cell>
          <cell r="E1129" t="str">
            <v>699504</v>
          </cell>
          <cell r="F1129" t="str">
            <v>E</v>
          </cell>
          <cell r="G1129" t="str">
            <v>12520945</v>
          </cell>
          <cell r="H1129" t="str">
            <v>Halter vollst.</v>
          </cell>
          <cell r="I1129">
            <v>206</v>
          </cell>
          <cell r="J1129" t="str">
            <v>Stk</v>
          </cell>
          <cell r="K1129">
            <v>45238</v>
          </cell>
          <cell r="L1129" t="str">
            <v>829054</v>
          </cell>
          <cell r="M1129" t="str">
            <v/>
          </cell>
          <cell r="N1129" t="str">
            <v/>
          </cell>
          <cell r="O1129" t="str">
            <v/>
          </cell>
          <cell r="P1129" t="str">
            <v/>
          </cell>
          <cell r="Q1129" t="str">
            <v/>
          </cell>
          <cell r="R1129" t="str">
            <v/>
          </cell>
          <cell r="S1129" t="str">
            <v/>
          </cell>
          <cell r="T1129" t="str">
            <v/>
          </cell>
          <cell r="U1129" t="str">
            <v/>
          </cell>
          <cell r="V1129" t="str">
            <v>N38</v>
          </cell>
          <cell r="W1129" t="str">
            <v/>
          </cell>
          <cell r="X1129" t="str">
            <v/>
          </cell>
          <cell r="Y1129" t="str">
            <v/>
          </cell>
          <cell r="Z1129" t="str">
            <v/>
          </cell>
          <cell r="AA1129" t="str">
            <v/>
          </cell>
          <cell r="AB1129" t="str">
            <v>PA_4530372-LD.7005-4</v>
          </cell>
          <cell r="AC1129">
            <v>1</v>
          </cell>
          <cell r="AD1129" t="str">
            <v/>
          </cell>
          <cell r="AE1129">
            <v>0</v>
          </cell>
          <cell r="AF1129" t="str">
            <v/>
          </cell>
          <cell r="AG1129" t="str">
            <v>12520945</v>
          </cell>
          <cell r="AH1129">
            <v>44943.95516203704</v>
          </cell>
          <cell r="AI1129" t="str">
            <v>N38</v>
          </cell>
          <cell r="AJ1129" t="str">
            <v>F</v>
          </cell>
          <cell r="AK1129" t="str">
            <v/>
          </cell>
        </row>
        <row r="1130">
          <cell r="A1130" t="str">
            <v>12520945829053</v>
          </cell>
          <cell r="B1130" t="e">
            <v>#N/A</v>
          </cell>
          <cell r="C1130" t="e">
            <v>#N/A</v>
          </cell>
          <cell r="D1130" t="str">
            <v>EK65</v>
          </cell>
          <cell r="E1130" t="str">
            <v>699505</v>
          </cell>
          <cell r="F1130" t="str">
            <v>E</v>
          </cell>
          <cell r="G1130" t="str">
            <v>12520945</v>
          </cell>
          <cell r="H1130" t="str">
            <v>Halter vollst.</v>
          </cell>
          <cell r="I1130">
            <v>360</v>
          </cell>
          <cell r="J1130" t="str">
            <v>Stk</v>
          </cell>
          <cell r="K1130">
            <v>45267</v>
          </cell>
          <cell r="L1130" t="str">
            <v>829053</v>
          </cell>
          <cell r="M1130" t="str">
            <v/>
          </cell>
          <cell r="N1130" t="str">
            <v/>
          </cell>
          <cell r="O1130" t="str">
            <v/>
          </cell>
          <cell r="P1130" t="str">
            <v/>
          </cell>
          <cell r="Q1130" t="str">
            <v/>
          </cell>
          <cell r="R1130" t="str">
            <v/>
          </cell>
          <cell r="S1130" t="str">
            <v/>
          </cell>
          <cell r="T1130" t="str">
            <v/>
          </cell>
          <cell r="U1130" t="str">
            <v/>
          </cell>
          <cell r="V1130" t="str">
            <v>N38</v>
          </cell>
          <cell r="W1130" t="str">
            <v/>
          </cell>
          <cell r="X1130" t="str">
            <v/>
          </cell>
          <cell r="Y1130" t="str">
            <v/>
          </cell>
          <cell r="Z1130" t="str">
            <v/>
          </cell>
          <cell r="AA1130" t="str">
            <v/>
          </cell>
          <cell r="AB1130" t="str">
            <v>PA_4530372-LD.7005-4</v>
          </cell>
          <cell r="AC1130">
            <v>1</v>
          </cell>
          <cell r="AD1130" t="str">
            <v/>
          </cell>
          <cell r="AE1130">
            <v>0</v>
          </cell>
          <cell r="AF1130" t="str">
            <v/>
          </cell>
          <cell r="AG1130" t="str">
            <v>12520945</v>
          </cell>
          <cell r="AH1130">
            <v>44943.95516203704</v>
          </cell>
          <cell r="AI1130" t="str">
            <v>N38</v>
          </cell>
          <cell r="AJ1130" t="str">
            <v>F</v>
          </cell>
          <cell r="AK1130" t="str">
            <v/>
          </cell>
        </row>
        <row r="1131">
          <cell r="A1131" t="str">
            <v>12520945829051</v>
          </cell>
          <cell r="B1131" t="e">
            <v>#N/A</v>
          </cell>
          <cell r="C1131" t="e">
            <v>#N/A</v>
          </cell>
          <cell r="D1131" t="str">
            <v>EK65</v>
          </cell>
          <cell r="E1131" t="str">
            <v>699506</v>
          </cell>
          <cell r="F1131" t="str">
            <v>E</v>
          </cell>
          <cell r="G1131" t="str">
            <v>12520945</v>
          </cell>
          <cell r="H1131" t="str">
            <v>Halter vollst.</v>
          </cell>
          <cell r="I1131">
            <v>82</v>
          </cell>
          <cell r="J1131" t="str">
            <v>Stk</v>
          </cell>
          <cell r="K1131">
            <v>45358</v>
          </cell>
          <cell r="L1131" t="str">
            <v>829051</v>
          </cell>
          <cell r="M1131" t="str">
            <v/>
          </cell>
          <cell r="N1131" t="str">
            <v/>
          </cell>
          <cell r="O1131" t="str">
            <v/>
          </cell>
          <cell r="P1131" t="str">
            <v/>
          </cell>
          <cell r="Q1131" t="str">
            <v/>
          </cell>
          <cell r="R1131" t="str">
            <v/>
          </cell>
          <cell r="S1131" t="str">
            <v/>
          </cell>
          <cell r="T1131" t="str">
            <v/>
          </cell>
          <cell r="U1131" t="str">
            <v/>
          </cell>
          <cell r="V1131" t="str">
            <v>N38</v>
          </cell>
          <cell r="W1131" t="str">
            <v/>
          </cell>
          <cell r="X1131" t="str">
            <v/>
          </cell>
          <cell r="Y1131" t="str">
            <v/>
          </cell>
          <cell r="Z1131" t="str">
            <v/>
          </cell>
          <cell r="AA1131" t="str">
            <v/>
          </cell>
          <cell r="AB1131" t="str">
            <v>PA_4530372-LD.7005-4</v>
          </cell>
          <cell r="AC1131">
            <v>1</v>
          </cell>
          <cell r="AD1131" t="str">
            <v/>
          </cell>
          <cell r="AE1131">
            <v>0</v>
          </cell>
          <cell r="AF1131" t="str">
            <v/>
          </cell>
          <cell r="AG1131" t="str">
            <v>12520945</v>
          </cell>
          <cell r="AH1131">
            <v>44943.95516203704</v>
          </cell>
          <cell r="AI1131" t="str">
            <v>N38</v>
          </cell>
          <cell r="AJ1131" t="str">
            <v>F</v>
          </cell>
          <cell r="AK1131" t="str">
            <v/>
          </cell>
        </row>
        <row r="1132">
          <cell r="A1132" t="str">
            <v>12520945829052</v>
          </cell>
          <cell r="B1132" t="e">
            <v>#N/A</v>
          </cell>
          <cell r="C1132" t="e">
            <v>#N/A</v>
          </cell>
          <cell r="D1132" t="str">
            <v>EK65</v>
          </cell>
          <cell r="E1132" t="str">
            <v>699507</v>
          </cell>
          <cell r="F1132" t="str">
            <v>E</v>
          </cell>
          <cell r="G1132" t="str">
            <v>12520945</v>
          </cell>
          <cell r="H1132" t="str">
            <v>Halter vollst.</v>
          </cell>
          <cell r="I1132">
            <v>20</v>
          </cell>
          <cell r="J1132" t="str">
            <v>Stk</v>
          </cell>
          <cell r="K1132">
            <v>45443</v>
          </cell>
          <cell r="L1132" t="str">
            <v>829052</v>
          </cell>
          <cell r="M1132" t="str">
            <v/>
          </cell>
          <cell r="N1132" t="str">
            <v/>
          </cell>
          <cell r="O1132" t="str">
            <v/>
          </cell>
          <cell r="P1132" t="str">
            <v/>
          </cell>
          <cell r="Q1132" t="str">
            <v/>
          </cell>
          <cell r="R1132" t="str">
            <v/>
          </cell>
          <cell r="S1132" t="str">
            <v/>
          </cell>
          <cell r="T1132" t="str">
            <v/>
          </cell>
          <cell r="U1132" t="str">
            <v/>
          </cell>
          <cell r="V1132" t="str">
            <v>N38</v>
          </cell>
          <cell r="W1132" t="str">
            <v/>
          </cell>
          <cell r="X1132" t="str">
            <v/>
          </cell>
          <cell r="Y1132" t="str">
            <v/>
          </cell>
          <cell r="Z1132" t="str">
            <v/>
          </cell>
          <cell r="AA1132" t="str">
            <v/>
          </cell>
          <cell r="AB1132" t="str">
            <v>PA_4530372-LD.7005-4</v>
          </cell>
          <cell r="AC1132">
            <v>1</v>
          </cell>
          <cell r="AD1132" t="str">
            <v/>
          </cell>
          <cell r="AE1132">
            <v>0</v>
          </cell>
          <cell r="AF1132" t="str">
            <v/>
          </cell>
          <cell r="AG1132" t="str">
            <v>12520945</v>
          </cell>
          <cell r="AH1132">
            <v>44943.95516203704</v>
          </cell>
          <cell r="AI1132" t="str">
            <v>N38</v>
          </cell>
          <cell r="AJ1132" t="str">
            <v>F</v>
          </cell>
          <cell r="AK1132" t="str">
            <v/>
          </cell>
        </row>
        <row r="1133">
          <cell r="A1133" t="str">
            <v>12521008829054</v>
          </cell>
          <cell r="B1133" t="str">
            <v>BL20230413-2</v>
          </cell>
          <cell r="C1133" t="e">
            <v>#N/A</v>
          </cell>
          <cell r="D1133" t="str">
            <v>EK65</v>
          </cell>
          <cell r="E1133" t="str">
            <v>699508</v>
          </cell>
          <cell r="F1133" t="str">
            <v>E</v>
          </cell>
          <cell r="G1133" t="str">
            <v>12521008</v>
          </cell>
          <cell r="H1133" t="str">
            <v>Winkel vollst.</v>
          </cell>
          <cell r="I1133">
            <v>284</v>
          </cell>
          <cell r="J1133" t="str">
            <v>Stk</v>
          </cell>
          <cell r="K1133">
            <v>45213</v>
          </cell>
          <cell r="L1133" t="str">
            <v>829054</v>
          </cell>
          <cell r="M1133" t="str">
            <v/>
          </cell>
          <cell r="N1133" t="str">
            <v/>
          </cell>
          <cell r="O1133" t="str">
            <v/>
          </cell>
          <cell r="P1133" t="str">
            <v/>
          </cell>
          <cell r="Q1133" t="str">
            <v/>
          </cell>
          <cell r="R1133" t="str">
            <v/>
          </cell>
          <cell r="S1133" t="str">
            <v/>
          </cell>
          <cell r="T1133" t="str">
            <v/>
          </cell>
          <cell r="U1133" t="str">
            <v/>
          </cell>
          <cell r="V1133" t="str">
            <v>N38</v>
          </cell>
          <cell r="W1133" t="str">
            <v/>
          </cell>
          <cell r="X1133" t="str">
            <v/>
          </cell>
          <cell r="Y1133" t="str">
            <v/>
          </cell>
          <cell r="Z1133" t="str">
            <v/>
          </cell>
          <cell r="AA1133" t="str">
            <v/>
          </cell>
          <cell r="AB1133" t="str">
            <v>BU_4579744-LD.7005-4</v>
          </cell>
          <cell r="AC1133">
            <v>1</v>
          </cell>
          <cell r="AD1133" t="str">
            <v/>
          </cell>
          <cell r="AE1133">
            <v>0</v>
          </cell>
          <cell r="AF1133" t="str">
            <v/>
          </cell>
          <cell r="AG1133" t="str">
            <v>12521008</v>
          </cell>
          <cell r="AH1133">
            <v>44943.955196759256</v>
          </cell>
          <cell r="AI1133" t="str">
            <v>N38</v>
          </cell>
          <cell r="AJ1133" t="str">
            <v>F</v>
          </cell>
          <cell r="AK1133" t="str">
            <v/>
          </cell>
        </row>
        <row r="1134">
          <cell r="A1134" t="str">
            <v>12521008829053</v>
          </cell>
          <cell r="B1134" t="e">
            <v>#N/A</v>
          </cell>
          <cell r="C1134" t="e">
            <v>#N/A</v>
          </cell>
          <cell r="D1134" t="str">
            <v>EK65</v>
          </cell>
          <cell r="E1134" t="str">
            <v>699509</v>
          </cell>
          <cell r="F1134" t="str">
            <v>E</v>
          </cell>
          <cell r="G1134" t="str">
            <v>12521008</v>
          </cell>
          <cell r="H1134" t="str">
            <v>Winkel vollst.</v>
          </cell>
          <cell r="I1134">
            <v>338</v>
          </cell>
          <cell r="J1134" t="str">
            <v>Stk</v>
          </cell>
          <cell r="K1134">
            <v>45240</v>
          </cell>
          <cell r="L1134" t="str">
            <v>829053</v>
          </cell>
          <cell r="M1134" t="str">
            <v/>
          </cell>
          <cell r="N1134" t="str">
            <v/>
          </cell>
          <cell r="O1134" t="str">
            <v/>
          </cell>
          <cell r="P1134" t="str">
            <v/>
          </cell>
          <cell r="Q1134" t="str">
            <v/>
          </cell>
          <cell r="R1134" t="str">
            <v/>
          </cell>
          <cell r="S1134" t="str">
            <v/>
          </cell>
          <cell r="T1134" t="str">
            <v/>
          </cell>
          <cell r="U1134" t="str">
            <v/>
          </cell>
          <cell r="V1134" t="str">
            <v>N38</v>
          </cell>
          <cell r="W1134" t="str">
            <v/>
          </cell>
          <cell r="X1134" t="str">
            <v/>
          </cell>
          <cell r="Y1134" t="str">
            <v/>
          </cell>
          <cell r="Z1134" t="str">
            <v/>
          </cell>
          <cell r="AA1134" t="str">
            <v/>
          </cell>
          <cell r="AB1134" t="str">
            <v>BU_4579744-LD.7005-4</v>
          </cell>
          <cell r="AC1134">
            <v>1</v>
          </cell>
          <cell r="AD1134" t="str">
            <v/>
          </cell>
          <cell r="AE1134">
            <v>0</v>
          </cell>
          <cell r="AF1134" t="str">
            <v/>
          </cell>
          <cell r="AG1134" t="str">
            <v>12521008</v>
          </cell>
          <cell r="AH1134">
            <v>44943.955196759256</v>
          </cell>
          <cell r="AI1134" t="str">
            <v>N38</v>
          </cell>
          <cell r="AJ1134" t="str">
            <v>F</v>
          </cell>
          <cell r="AK1134" t="str">
            <v/>
          </cell>
        </row>
        <row r="1135">
          <cell r="A1135" t="str">
            <v>12527264829053</v>
          </cell>
          <cell r="B1135" t="e">
            <v>#N/A</v>
          </cell>
          <cell r="C1135" t="e">
            <v>#N/A</v>
          </cell>
          <cell r="D1135" t="str">
            <v>EK65</v>
          </cell>
          <cell r="E1135" t="str">
            <v>699510</v>
          </cell>
          <cell r="F1135" t="str">
            <v>E</v>
          </cell>
          <cell r="G1135" t="str">
            <v>12527264</v>
          </cell>
          <cell r="H1135" t="str">
            <v>Halter vollst.</v>
          </cell>
          <cell r="I1135">
            <v>25</v>
          </cell>
          <cell r="J1135" t="str">
            <v>Stk</v>
          </cell>
          <cell r="K1135">
            <v>45204</v>
          </cell>
          <cell r="L1135" t="str">
            <v>829053</v>
          </cell>
          <cell r="M1135" t="str">
            <v/>
          </cell>
          <cell r="N1135" t="str">
            <v/>
          </cell>
          <cell r="O1135" t="str">
            <v/>
          </cell>
          <cell r="P1135" t="str">
            <v/>
          </cell>
          <cell r="Q1135" t="str">
            <v/>
          </cell>
          <cell r="R1135" t="str">
            <v/>
          </cell>
          <cell r="S1135" t="str">
            <v/>
          </cell>
          <cell r="T1135" t="str">
            <v/>
          </cell>
          <cell r="U1135" t="str">
            <v/>
          </cell>
          <cell r="V1135" t="str">
            <v>N38</v>
          </cell>
          <cell r="W1135" t="str">
            <v/>
          </cell>
          <cell r="X1135" t="str">
            <v/>
          </cell>
          <cell r="Y1135" t="str">
            <v/>
          </cell>
          <cell r="Z1135" t="str">
            <v/>
          </cell>
          <cell r="AA1135" t="str">
            <v/>
          </cell>
          <cell r="AB1135" t="str">
            <v>PA_4399826-UA.7005-3</v>
          </cell>
          <cell r="AC1135">
            <v>1</v>
          </cell>
          <cell r="AD1135" t="str">
            <v/>
          </cell>
          <cell r="AE1135">
            <v>0</v>
          </cell>
          <cell r="AF1135" t="str">
            <v/>
          </cell>
          <cell r="AG1135" t="str">
            <v>12527264</v>
          </cell>
          <cell r="AH1135">
            <v>44943.955740740741</v>
          </cell>
          <cell r="AI1135" t="str">
            <v>N38</v>
          </cell>
          <cell r="AJ1135" t="str">
            <v>F</v>
          </cell>
          <cell r="AK1135" t="str">
            <v>A</v>
          </cell>
        </row>
        <row r="1136">
          <cell r="A1136" t="str">
            <v>12528079829053</v>
          </cell>
          <cell r="B1136" t="e">
            <v>#N/A</v>
          </cell>
          <cell r="C1136" t="e">
            <v>#N/A</v>
          </cell>
          <cell r="D1136" t="str">
            <v>EK65</v>
          </cell>
          <cell r="E1136" t="str">
            <v>699511</v>
          </cell>
          <cell r="F1136" t="str">
            <v>E</v>
          </cell>
          <cell r="G1136" t="str">
            <v>12528079</v>
          </cell>
          <cell r="H1136" t="str">
            <v>Halter vollst.</v>
          </cell>
          <cell r="I1136">
            <v>51</v>
          </cell>
          <cell r="J1136" t="str">
            <v>Stk</v>
          </cell>
          <cell r="K1136">
            <v>45195</v>
          </cell>
          <cell r="L1136" t="str">
            <v>829053</v>
          </cell>
          <cell r="M1136" t="str">
            <v/>
          </cell>
          <cell r="N1136" t="str">
            <v/>
          </cell>
          <cell r="O1136" t="str">
            <v/>
          </cell>
          <cell r="P1136" t="str">
            <v/>
          </cell>
          <cell r="Q1136" t="str">
            <v/>
          </cell>
          <cell r="R1136" t="str">
            <v/>
          </cell>
          <cell r="S1136" t="str">
            <v/>
          </cell>
          <cell r="T1136" t="str">
            <v/>
          </cell>
          <cell r="U1136" t="str">
            <v/>
          </cell>
          <cell r="V1136" t="str">
            <v>N38</v>
          </cell>
          <cell r="W1136" t="str">
            <v/>
          </cell>
          <cell r="X1136" t="str">
            <v/>
          </cell>
          <cell r="Y1136" t="str">
            <v/>
          </cell>
          <cell r="Z1136" t="str">
            <v/>
          </cell>
          <cell r="AA1136" t="str">
            <v/>
          </cell>
          <cell r="AB1136" t="str">
            <v>PA_4427666-UA.7005-3</v>
          </cell>
          <cell r="AC1136">
            <v>1</v>
          </cell>
          <cell r="AD1136" t="str">
            <v/>
          </cell>
          <cell r="AE1136">
            <v>0</v>
          </cell>
          <cell r="AF1136" t="str">
            <v/>
          </cell>
          <cell r="AG1136" t="str">
            <v>12528079</v>
          </cell>
          <cell r="AH1136">
            <v>44943.956412037034</v>
          </cell>
          <cell r="AI1136" t="str">
            <v>N38</v>
          </cell>
          <cell r="AJ1136" t="str">
            <v>F</v>
          </cell>
          <cell r="AK1136" t="str">
            <v/>
          </cell>
        </row>
        <row r="1137">
          <cell r="A1137" t="str">
            <v>12531453829053</v>
          </cell>
          <cell r="B1137" t="e">
            <v>#N/A</v>
          </cell>
          <cell r="C1137" t="e">
            <v>#N/A</v>
          </cell>
          <cell r="D1137" t="str">
            <v>EK65</v>
          </cell>
          <cell r="E1137" t="str">
            <v>699512</v>
          </cell>
          <cell r="F1137" t="str">
            <v>E</v>
          </cell>
          <cell r="G1137" t="str">
            <v>12531453</v>
          </cell>
          <cell r="H1137" t="str">
            <v>Halter aussen vollst. SG mechan.</v>
          </cell>
          <cell r="I1137">
            <v>105</v>
          </cell>
          <cell r="J1137" t="str">
            <v>Stk</v>
          </cell>
          <cell r="K1137">
            <v>45296</v>
          </cell>
          <cell r="L1137" t="str">
            <v>829053</v>
          </cell>
          <cell r="M1137" t="str">
            <v/>
          </cell>
          <cell r="N1137" t="str">
            <v/>
          </cell>
          <cell r="O1137" t="str">
            <v/>
          </cell>
          <cell r="P1137" t="str">
            <v/>
          </cell>
          <cell r="Q1137" t="str">
            <v/>
          </cell>
          <cell r="R1137" t="str">
            <v/>
          </cell>
          <cell r="S1137" t="str">
            <v/>
          </cell>
          <cell r="T1137" t="str">
            <v/>
          </cell>
          <cell r="U1137" t="str">
            <v/>
          </cell>
          <cell r="V1137" t="str">
            <v>N38</v>
          </cell>
          <cell r="W1137" t="str">
            <v/>
          </cell>
          <cell r="X1137" t="str">
            <v/>
          </cell>
          <cell r="Y1137" t="str">
            <v/>
          </cell>
          <cell r="Z1137" t="str">
            <v/>
          </cell>
          <cell r="AA1137" t="str">
            <v/>
          </cell>
          <cell r="AB1137" t="str">
            <v>PA_4440286-UA.7005-3</v>
          </cell>
          <cell r="AC1137">
            <v>1</v>
          </cell>
          <cell r="AD1137" t="str">
            <v/>
          </cell>
          <cell r="AE1137">
            <v>0</v>
          </cell>
          <cell r="AF1137" t="str">
            <v/>
          </cell>
          <cell r="AG1137" t="str">
            <v>12531453</v>
          </cell>
          <cell r="AH1137">
            <v>44943.957997685182</v>
          </cell>
          <cell r="AI1137" t="str">
            <v>N38</v>
          </cell>
          <cell r="AJ1137" t="str">
            <v>F</v>
          </cell>
          <cell r="AK1137" t="str">
            <v/>
          </cell>
        </row>
        <row r="1138">
          <cell r="A1138" t="str">
            <v>12531453829051</v>
          </cell>
          <cell r="B1138" t="e">
            <v>#N/A</v>
          </cell>
          <cell r="C1138" t="e">
            <v>#N/A</v>
          </cell>
          <cell r="D1138" t="str">
            <v>EK65</v>
          </cell>
          <cell r="E1138" t="str">
            <v>699513</v>
          </cell>
          <cell r="F1138" t="str">
            <v>E</v>
          </cell>
          <cell r="G1138" t="str">
            <v>12531453</v>
          </cell>
          <cell r="H1138" t="str">
            <v>Halter aussen vollst. SG mechan.</v>
          </cell>
          <cell r="I1138">
            <v>726</v>
          </cell>
          <cell r="J1138" t="str">
            <v>Stk</v>
          </cell>
          <cell r="K1138">
            <v>45317</v>
          </cell>
          <cell r="L1138" t="str">
            <v>829051</v>
          </cell>
          <cell r="M1138" t="str">
            <v/>
          </cell>
          <cell r="N1138" t="str">
            <v/>
          </cell>
          <cell r="O1138" t="str">
            <v/>
          </cell>
          <cell r="P1138" t="str">
            <v/>
          </cell>
          <cell r="Q1138" t="str">
            <v/>
          </cell>
          <cell r="R1138" t="str">
            <v/>
          </cell>
          <cell r="S1138" t="str">
            <v/>
          </cell>
          <cell r="T1138" t="str">
            <v/>
          </cell>
          <cell r="U1138" t="str">
            <v/>
          </cell>
          <cell r="V1138" t="str">
            <v>N38</v>
          </cell>
          <cell r="W1138" t="str">
            <v/>
          </cell>
          <cell r="X1138" t="str">
            <v/>
          </cell>
          <cell r="Y1138" t="str">
            <v/>
          </cell>
          <cell r="Z1138" t="str">
            <v/>
          </cell>
          <cell r="AA1138" t="str">
            <v/>
          </cell>
          <cell r="AB1138" t="str">
            <v>PA_4440286-UA.7005-3</v>
          </cell>
          <cell r="AC1138">
            <v>1</v>
          </cell>
          <cell r="AD1138" t="str">
            <v/>
          </cell>
          <cell r="AE1138">
            <v>0</v>
          </cell>
          <cell r="AF1138" t="str">
            <v/>
          </cell>
          <cell r="AG1138" t="str">
            <v>12531453</v>
          </cell>
          <cell r="AH1138">
            <v>44943.957997685182</v>
          </cell>
          <cell r="AI1138" t="str">
            <v>N38</v>
          </cell>
          <cell r="AJ1138" t="str">
            <v>F</v>
          </cell>
          <cell r="AK1138" t="str">
            <v/>
          </cell>
        </row>
        <row r="1139">
          <cell r="A1139" t="str">
            <v>12531453829052</v>
          </cell>
          <cell r="B1139" t="e">
            <v>#N/A</v>
          </cell>
          <cell r="C1139" t="e">
            <v>#N/A</v>
          </cell>
          <cell r="D1139" t="str">
            <v>EK65</v>
          </cell>
          <cell r="E1139" t="str">
            <v>699514</v>
          </cell>
          <cell r="F1139" t="str">
            <v>E</v>
          </cell>
          <cell r="G1139" t="str">
            <v>12531453</v>
          </cell>
          <cell r="H1139" t="str">
            <v>Halter aussen vollst. SG mechan.</v>
          </cell>
          <cell r="I1139">
            <v>240</v>
          </cell>
          <cell r="J1139" t="str">
            <v>Stk</v>
          </cell>
          <cell r="K1139">
            <v>45363</v>
          </cell>
          <cell r="L1139" t="str">
            <v>829052</v>
          </cell>
          <cell r="M1139" t="str">
            <v/>
          </cell>
          <cell r="N1139" t="str">
            <v/>
          </cell>
          <cell r="O1139" t="str">
            <v/>
          </cell>
          <cell r="P1139" t="str">
            <v/>
          </cell>
          <cell r="Q1139" t="str">
            <v/>
          </cell>
          <cell r="R1139" t="str">
            <v/>
          </cell>
          <cell r="S1139" t="str">
            <v/>
          </cell>
          <cell r="T1139" t="str">
            <v/>
          </cell>
          <cell r="U1139" t="str">
            <v/>
          </cell>
          <cell r="V1139" t="str">
            <v>N38</v>
          </cell>
          <cell r="W1139" t="str">
            <v/>
          </cell>
          <cell r="X1139" t="str">
            <v/>
          </cell>
          <cell r="Y1139" t="str">
            <v/>
          </cell>
          <cell r="Z1139" t="str">
            <v/>
          </cell>
          <cell r="AA1139" t="str">
            <v/>
          </cell>
          <cell r="AB1139" t="str">
            <v>PA_4440286-UA.7005-3</v>
          </cell>
          <cell r="AC1139">
            <v>1</v>
          </cell>
          <cell r="AD1139" t="str">
            <v/>
          </cell>
          <cell r="AE1139">
            <v>0</v>
          </cell>
          <cell r="AF1139" t="str">
            <v/>
          </cell>
          <cell r="AG1139" t="str">
            <v>12531453</v>
          </cell>
          <cell r="AH1139">
            <v>44943.957997685182</v>
          </cell>
          <cell r="AI1139" t="str">
            <v>N38</v>
          </cell>
          <cell r="AJ1139" t="str">
            <v>F</v>
          </cell>
          <cell r="AK1139" t="str">
            <v/>
          </cell>
        </row>
        <row r="1140">
          <cell r="A1140" t="str">
            <v>12533929829053</v>
          </cell>
          <cell r="B1140" t="e">
            <v>#N/A</v>
          </cell>
          <cell r="C1140" t="e">
            <v>#N/A</v>
          </cell>
          <cell r="D1140" t="str">
            <v>EK65</v>
          </cell>
          <cell r="E1140" t="str">
            <v>699515</v>
          </cell>
          <cell r="F1140" t="str">
            <v>E</v>
          </cell>
          <cell r="G1140" t="str">
            <v>12533929</v>
          </cell>
          <cell r="H1140" t="str">
            <v>Halter vollst.</v>
          </cell>
          <cell r="I1140">
            <v>48</v>
          </cell>
          <cell r="J1140" t="str">
            <v>Stk</v>
          </cell>
          <cell r="K1140">
            <v>45213</v>
          </cell>
          <cell r="L1140" t="str">
            <v>829053</v>
          </cell>
          <cell r="M1140" t="str">
            <v/>
          </cell>
          <cell r="N1140" t="str">
            <v/>
          </cell>
          <cell r="O1140" t="str">
            <v/>
          </cell>
          <cell r="P1140" t="str">
            <v/>
          </cell>
          <cell r="Q1140" t="str">
            <v/>
          </cell>
          <cell r="R1140" t="str">
            <v/>
          </cell>
          <cell r="S1140" t="str">
            <v/>
          </cell>
          <cell r="T1140" t="str">
            <v/>
          </cell>
          <cell r="U1140" t="str">
            <v/>
          </cell>
          <cell r="V1140" t="str">
            <v>N38</v>
          </cell>
          <cell r="W1140" t="str">
            <v/>
          </cell>
          <cell r="X1140" t="str">
            <v/>
          </cell>
          <cell r="Y1140" t="str">
            <v/>
          </cell>
          <cell r="Z1140" t="str">
            <v/>
          </cell>
          <cell r="AA1140" t="str">
            <v/>
          </cell>
          <cell r="AB1140" t="str">
            <v>PA_4528724-UA.7005-3</v>
          </cell>
          <cell r="AC1140">
            <v>1</v>
          </cell>
          <cell r="AD1140" t="str">
            <v/>
          </cell>
          <cell r="AE1140">
            <v>0</v>
          </cell>
          <cell r="AF1140" t="str">
            <v/>
          </cell>
          <cell r="AG1140" t="str">
            <v>12533929</v>
          </cell>
          <cell r="AH1140">
            <v>44943.959560185183</v>
          </cell>
          <cell r="AI1140" t="str">
            <v>N38</v>
          </cell>
          <cell r="AJ1140" t="str">
            <v>F</v>
          </cell>
          <cell r="AK1140" t="str">
            <v>A</v>
          </cell>
        </row>
        <row r="1141">
          <cell r="A1141" t="str">
            <v>12533929829054</v>
          </cell>
          <cell r="B1141" t="str">
            <v>BL20230413-2</v>
          </cell>
          <cell r="C1141" t="e">
            <v>#N/A</v>
          </cell>
          <cell r="D1141" t="str">
            <v>EK65</v>
          </cell>
          <cell r="E1141" t="str">
            <v>699516</v>
          </cell>
          <cell r="F1141" t="str">
            <v>E</v>
          </cell>
          <cell r="G1141" t="str">
            <v>12533929</v>
          </cell>
          <cell r="H1141" t="str">
            <v>Halter vollst.</v>
          </cell>
          <cell r="I1141">
            <v>14</v>
          </cell>
          <cell r="J1141" t="str">
            <v>Stk</v>
          </cell>
          <cell r="K1141">
            <v>45251</v>
          </cell>
          <cell r="L1141" t="str">
            <v>829054</v>
          </cell>
          <cell r="M1141" t="str">
            <v/>
          </cell>
          <cell r="N1141" t="str">
            <v/>
          </cell>
          <cell r="O1141" t="str">
            <v/>
          </cell>
          <cell r="P1141" t="str">
            <v/>
          </cell>
          <cell r="Q1141" t="str">
            <v/>
          </cell>
          <cell r="R1141" t="str">
            <v/>
          </cell>
          <cell r="S1141" t="str">
            <v/>
          </cell>
          <cell r="T1141" t="str">
            <v/>
          </cell>
          <cell r="U1141" t="str">
            <v/>
          </cell>
          <cell r="V1141" t="str">
            <v>N38</v>
          </cell>
          <cell r="W1141" t="str">
            <v/>
          </cell>
          <cell r="X1141" t="str">
            <v/>
          </cell>
          <cell r="Y1141" t="str">
            <v/>
          </cell>
          <cell r="Z1141" t="str">
            <v/>
          </cell>
          <cell r="AA1141" t="str">
            <v/>
          </cell>
          <cell r="AB1141" t="str">
            <v>PA_4528724-UA.7005-3</v>
          </cell>
          <cell r="AC1141">
            <v>1</v>
          </cell>
          <cell r="AD1141" t="str">
            <v/>
          </cell>
          <cell r="AE1141">
            <v>0</v>
          </cell>
          <cell r="AF1141" t="str">
            <v/>
          </cell>
          <cell r="AG1141" t="str">
            <v>12533929</v>
          </cell>
          <cell r="AH1141">
            <v>44943.959560185183</v>
          </cell>
          <cell r="AI1141" t="str">
            <v>N38</v>
          </cell>
          <cell r="AJ1141" t="str">
            <v>F</v>
          </cell>
          <cell r="AK1141" t="str">
            <v>A</v>
          </cell>
        </row>
        <row r="1142">
          <cell r="A1142" t="str">
            <v>12533942829054</v>
          </cell>
          <cell r="B1142" t="str">
            <v>BL20230413-2</v>
          </cell>
          <cell r="C1142" t="e">
            <v>#N/A</v>
          </cell>
          <cell r="D1142" t="str">
            <v>EK65</v>
          </cell>
          <cell r="E1142" t="str">
            <v>699517</v>
          </cell>
          <cell r="F1142" t="str">
            <v>E</v>
          </cell>
          <cell r="G1142" t="str">
            <v>12533942</v>
          </cell>
          <cell r="H1142" t="str">
            <v>Halter vollst.</v>
          </cell>
          <cell r="I1142">
            <v>9</v>
          </cell>
          <cell r="J1142" t="str">
            <v>Stk</v>
          </cell>
          <cell r="K1142">
            <v>45304</v>
          </cell>
          <cell r="L1142" t="str">
            <v>829054</v>
          </cell>
          <cell r="M1142" t="str">
            <v/>
          </cell>
          <cell r="N1142" t="str">
            <v/>
          </cell>
          <cell r="O1142" t="str">
            <v/>
          </cell>
          <cell r="P1142" t="str">
            <v/>
          </cell>
          <cell r="Q1142" t="str">
            <v/>
          </cell>
          <cell r="R1142" t="str">
            <v/>
          </cell>
          <cell r="S1142" t="str">
            <v/>
          </cell>
          <cell r="T1142" t="str">
            <v/>
          </cell>
          <cell r="U1142" t="str">
            <v/>
          </cell>
          <cell r="V1142" t="str">
            <v>N38</v>
          </cell>
          <cell r="W1142" t="str">
            <v/>
          </cell>
          <cell r="X1142" t="str">
            <v/>
          </cell>
          <cell r="Y1142" t="str">
            <v/>
          </cell>
          <cell r="Z1142" t="str">
            <v/>
          </cell>
          <cell r="AA1142" t="str">
            <v/>
          </cell>
          <cell r="AB1142" t="str">
            <v>PA_4522865-UA.7005-3</v>
          </cell>
          <cell r="AC1142">
            <v>1</v>
          </cell>
          <cell r="AD1142" t="str">
            <v/>
          </cell>
          <cell r="AE1142">
            <v>0</v>
          </cell>
          <cell r="AF1142" t="str">
            <v/>
          </cell>
          <cell r="AG1142" t="str">
            <v>12533942</v>
          </cell>
          <cell r="AH1142">
            <v>44943.95957175926</v>
          </cell>
          <cell r="AI1142" t="str">
            <v>N38</v>
          </cell>
          <cell r="AJ1142" t="str">
            <v>F</v>
          </cell>
          <cell r="AK1142" t="str">
            <v/>
          </cell>
        </row>
        <row r="1143">
          <cell r="A1143" t="str">
            <v>12533949829054</v>
          </cell>
          <cell r="B1143" t="str">
            <v>BL20230413-2</v>
          </cell>
          <cell r="C1143" t="e">
            <v>#N/A</v>
          </cell>
          <cell r="D1143" t="str">
            <v>EK65</v>
          </cell>
          <cell r="E1143" t="str">
            <v>699518</v>
          </cell>
          <cell r="F1143" t="str">
            <v>E</v>
          </cell>
          <cell r="G1143" t="str">
            <v>12533949</v>
          </cell>
          <cell r="H1143" t="str">
            <v>Halter vollst.</v>
          </cell>
          <cell r="I1143">
            <v>9</v>
          </cell>
          <cell r="J1143" t="str">
            <v>Stk</v>
          </cell>
          <cell r="K1143">
            <v>45304</v>
          </cell>
          <cell r="L1143" t="str">
            <v>829054</v>
          </cell>
          <cell r="M1143" t="str">
            <v/>
          </cell>
          <cell r="N1143" t="str">
            <v/>
          </cell>
          <cell r="O1143" t="str">
            <v/>
          </cell>
          <cell r="P1143" t="str">
            <v/>
          </cell>
          <cell r="Q1143" t="str">
            <v/>
          </cell>
          <cell r="R1143" t="str">
            <v/>
          </cell>
          <cell r="S1143" t="str">
            <v/>
          </cell>
          <cell r="T1143" t="str">
            <v/>
          </cell>
          <cell r="U1143" t="str">
            <v/>
          </cell>
          <cell r="V1143" t="str">
            <v>N38</v>
          </cell>
          <cell r="W1143" t="str">
            <v/>
          </cell>
          <cell r="X1143" t="str">
            <v/>
          </cell>
          <cell r="Y1143" t="str">
            <v/>
          </cell>
          <cell r="Z1143" t="str">
            <v/>
          </cell>
          <cell r="AA1143" t="str">
            <v/>
          </cell>
          <cell r="AB1143" t="str">
            <v>PA_4522762-UA.7005-3</v>
          </cell>
          <cell r="AC1143">
            <v>1</v>
          </cell>
          <cell r="AD1143" t="str">
            <v/>
          </cell>
          <cell r="AE1143">
            <v>0</v>
          </cell>
          <cell r="AF1143" t="str">
            <v/>
          </cell>
          <cell r="AG1143" t="str">
            <v>12533949</v>
          </cell>
          <cell r="AH1143">
            <v>44943.959583333337</v>
          </cell>
          <cell r="AI1143" t="str">
            <v>N38</v>
          </cell>
          <cell r="AJ1143" t="str">
            <v>F</v>
          </cell>
          <cell r="AK1143" t="str">
            <v/>
          </cell>
        </row>
        <row r="1144">
          <cell r="A1144" t="str">
            <v>12533956829053</v>
          </cell>
          <cell r="B1144" t="e">
            <v>#N/A</v>
          </cell>
          <cell r="C1144" t="e">
            <v>#N/A</v>
          </cell>
          <cell r="D1144" t="str">
            <v>EK65</v>
          </cell>
          <cell r="E1144" t="str">
            <v>699519</v>
          </cell>
          <cell r="F1144" t="str">
            <v>E</v>
          </cell>
          <cell r="G1144" t="str">
            <v>12533956</v>
          </cell>
          <cell r="H1144" t="str">
            <v>Halter vollst.</v>
          </cell>
          <cell r="I1144">
            <v>51</v>
          </cell>
          <cell r="J1144" t="str">
            <v>Stk</v>
          </cell>
          <cell r="K1144">
            <v>45196</v>
          </cell>
          <cell r="L1144" t="str">
            <v>829053</v>
          </cell>
          <cell r="M1144" t="str">
            <v/>
          </cell>
          <cell r="N1144" t="str">
            <v/>
          </cell>
          <cell r="O1144" t="str">
            <v/>
          </cell>
          <cell r="P1144" t="str">
            <v/>
          </cell>
          <cell r="Q1144" t="str">
            <v/>
          </cell>
          <cell r="R1144" t="str">
            <v/>
          </cell>
          <cell r="S1144" t="str">
            <v/>
          </cell>
          <cell r="T1144" t="str">
            <v/>
          </cell>
          <cell r="U1144" t="str">
            <v/>
          </cell>
          <cell r="V1144" t="str">
            <v>N38</v>
          </cell>
          <cell r="W1144" t="str">
            <v/>
          </cell>
          <cell r="X1144" t="str">
            <v/>
          </cell>
          <cell r="Y1144" t="str">
            <v/>
          </cell>
          <cell r="Z1144" t="str">
            <v/>
          </cell>
          <cell r="AA1144" t="str">
            <v/>
          </cell>
          <cell r="AB1144" t="str">
            <v>PA_4519469-UA.7005-3</v>
          </cell>
          <cell r="AC1144">
            <v>1</v>
          </cell>
          <cell r="AD1144" t="str">
            <v/>
          </cell>
          <cell r="AE1144">
            <v>0</v>
          </cell>
          <cell r="AF1144" t="str">
            <v/>
          </cell>
          <cell r="AG1144" t="str">
            <v>12533956</v>
          </cell>
          <cell r="AH1144">
            <v>44943.959606481483</v>
          </cell>
          <cell r="AI1144" t="str">
            <v>N38</v>
          </cell>
          <cell r="AJ1144" t="str">
            <v>F</v>
          </cell>
          <cell r="AK1144" t="str">
            <v/>
          </cell>
        </row>
        <row r="1145">
          <cell r="A1145" t="str">
            <v>12533956829054</v>
          </cell>
          <cell r="B1145" t="str">
            <v>BL20230413-2</v>
          </cell>
          <cell r="C1145" t="e">
            <v>#N/A</v>
          </cell>
          <cell r="D1145" t="str">
            <v>EK65</v>
          </cell>
          <cell r="E1145" t="str">
            <v>699520</v>
          </cell>
          <cell r="F1145" t="str">
            <v>E</v>
          </cell>
          <cell r="G1145" t="str">
            <v>12533956</v>
          </cell>
          <cell r="H1145" t="str">
            <v>Halter vollst.</v>
          </cell>
          <cell r="I1145">
            <v>17</v>
          </cell>
          <cell r="J1145" t="str">
            <v>Stk</v>
          </cell>
          <cell r="K1145">
            <v>45206</v>
          </cell>
          <cell r="L1145" t="str">
            <v>829054</v>
          </cell>
          <cell r="M1145" t="str">
            <v/>
          </cell>
          <cell r="N1145" t="str">
            <v/>
          </cell>
          <cell r="O1145" t="str">
            <v/>
          </cell>
          <cell r="P1145" t="str">
            <v/>
          </cell>
          <cell r="Q1145" t="str">
            <v/>
          </cell>
          <cell r="R1145" t="str">
            <v/>
          </cell>
          <cell r="S1145" t="str">
            <v/>
          </cell>
          <cell r="T1145" t="str">
            <v/>
          </cell>
          <cell r="U1145" t="str">
            <v/>
          </cell>
          <cell r="V1145" t="str">
            <v>N38</v>
          </cell>
          <cell r="W1145" t="str">
            <v/>
          </cell>
          <cell r="X1145" t="str">
            <v/>
          </cell>
          <cell r="Y1145" t="str">
            <v/>
          </cell>
          <cell r="Z1145" t="str">
            <v/>
          </cell>
          <cell r="AA1145" t="str">
            <v/>
          </cell>
          <cell r="AB1145" t="str">
            <v>PA_4519469-UA.7005-3</v>
          </cell>
          <cell r="AC1145">
            <v>1</v>
          </cell>
          <cell r="AD1145" t="str">
            <v/>
          </cell>
          <cell r="AE1145">
            <v>0</v>
          </cell>
          <cell r="AF1145" t="str">
            <v/>
          </cell>
          <cell r="AG1145" t="str">
            <v>12533956</v>
          </cell>
          <cell r="AH1145">
            <v>44943.959606481483</v>
          </cell>
          <cell r="AI1145" t="str">
            <v>N38</v>
          </cell>
          <cell r="AJ1145" t="str">
            <v>F</v>
          </cell>
          <cell r="AK1145" t="str">
            <v/>
          </cell>
        </row>
        <row r="1146">
          <cell r="A1146" t="str">
            <v>12533972829054</v>
          </cell>
          <cell r="B1146" t="str">
            <v>BL20230413-2</v>
          </cell>
          <cell r="C1146" t="e">
            <v>#N/A</v>
          </cell>
          <cell r="D1146" t="str">
            <v>EK65</v>
          </cell>
          <cell r="E1146" t="str">
            <v>699521</v>
          </cell>
          <cell r="F1146" t="str">
            <v>E</v>
          </cell>
          <cell r="G1146" t="str">
            <v>12533972</v>
          </cell>
          <cell r="H1146" t="str">
            <v>Halter vollst.</v>
          </cell>
          <cell r="I1146">
            <v>25</v>
          </cell>
          <cell r="J1146" t="str">
            <v>Stk</v>
          </cell>
          <cell r="K1146">
            <v>45252</v>
          </cell>
          <cell r="L1146" t="str">
            <v>829054</v>
          </cell>
          <cell r="M1146" t="str">
            <v/>
          </cell>
          <cell r="N1146" t="str">
            <v/>
          </cell>
          <cell r="O1146" t="str">
            <v/>
          </cell>
          <cell r="P1146" t="str">
            <v/>
          </cell>
          <cell r="Q1146" t="str">
            <v/>
          </cell>
          <cell r="R1146" t="str">
            <v/>
          </cell>
          <cell r="S1146" t="str">
            <v/>
          </cell>
          <cell r="T1146" t="str">
            <v/>
          </cell>
          <cell r="U1146" t="str">
            <v/>
          </cell>
          <cell r="V1146" t="str">
            <v>N38</v>
          </cell>
          <cell r="W1146" t="str">
            <v/>
          </cell>
          <cell r="X1146" t="str">
            <v/>
          </cell>
          <cell r="Y1146" t="str">
            <v/>
          </cell>
          <cell r="Z1146" t="str">
            <v/>
          </cell>
          <cell r="AA1146" t="str">
            <v/>
          </cell>
          <cell r="AB1146" t="str">
            <v>PA_4478524-UA.7005-3</v>
          </cell>
          <cell r="AC1146">
            <v>1</v>
          </cell>
          <cell r="AD1146" t="str">
            <v/>
          </cell>
          <cell r="AE1146">
            <v>0</v>
          </cell>
          <cell r="AF1146" t="str">
            <v/>
          </cell>
          <cell r="AG1146" t="str">
            <v>12533972</v>
          </cell>
          <cell r="AH1146">
            <v>44943.959618055553</v>
          </cell>
          <cell r="AI1146" t="str">
            <v>N38</v>
          </cell>
          <cell r="AJ1146" t="str">
            <v>F</v>
          </cell>
          <cell r="AK1146" t="str">
            <v/>
          </cell>
        </row>
        <row r="1147">
          <cell r="A1147" t="str">
            <v>12533972829053</v>
          </cell>
          <cell r="B1147" t="e">
            <v>#N/A</v>
          </cell>
          <cell r="C1147" t="e">
            <v>#N/A</v>
          </cell>
          <cell r="D1147" t="str">
            <v>EK65</v>
          </cell>
          <cell r="E1147" t="str">
            <v>699522</v>
          </cell>
          <cell r="F1147" t="str">
            <v>E</v>
          </cell>
          <cell r="G1147" t="str">
            <v>12533972</v>
          </cell>
          <cell r="H1147" t="str">
            <v>Halter vollst.</v>
          </cell>
          <cell r="I1147">
            <v>26</v>
          </cell>
          <cell r="J1147" t="str">
            <v>Stk</v>
          </cell>
          <cell r="K1147">
            <v>45302</v>
          </cell>
          <cell r="L1147" t="str">
            <v>829053</v>
          </cell>
          <cell r="M1147" t="str">
            <v/>
          </cell>
          <cell r="N1147" t="str">
            <v/>
          </cell>
          <cell r="O1147" t="str">
            <v/>
          </cell>
          <cell r="P1147" t="str">
            <v/>
          </cell>
          <cell r="Q1147" t="str">
            <v/>
          </cell>
          <cell r="R1147" t="str">
            <v/>
          </cell>
          <cell r="S1147" t="str">
            <v/>
          </cell>
          <cell r="T1147" t="str">
            <v/>
          </cell>
          <cell r="U1147" t="str">
            <v/>
          </cell>
          <cell r="V1147" t="str">
            <v>N38</v>
          </cell>
          <cell r="W1147" t="str">
            <v/>
          </cell>
          <cell r="X1147" t="str">
            <v/>
          </cell>
          <cell r="Y1147" t="str">
            <v/>
          </cell>
          <cell r="Z1147" t="str">
            <v/>
          </cell>
          <cell r="AA1147" t="str">
            <v/>
          </cell>
          <cell r="AB1147" t="str">
            <v>PA_4478524-UA.7005-3</v>
          </cell>
          <cell r="AC1147">
            <v>1</v>
          </cell>
          <cell r="AD1147" t="str">
            <v/>
          </cell>
          <cell r="AE1147">
            <v>0</v>
          </cell>
          <cell r="AF1147" t="str">
            <v/>
          </cell>
          <cell r="AG1147" t="str">
            <v>12533972</v>
          </cell>
          <cell r="AH1147">
            <v>44943.959618055553</v>
          </cell>
          <cell r="AI1147" t="str">
            <v>N38</v>
          </cell>
          <cell r="AJ1147" t="str">
            <v>F</v>
          </cell>
          <cell r="AK1147" t="str">
            <v/>
          </cell>
        </row>
        <row r="1148">
          <cell r="A1148" t="str">
            <v>12533977829053</v>
          </cell>
          <cell r="B1148" t="e">
            <v>#N/A</v>
          </cell>
          <cell r="C1148" t="e">
            <v>#N/A</v>
          </cell>
          <cell r="D1148" t="str">
            <v>EK65</v>
          </cell>
          <cell r="E1148" t="str">
            <v>699523</v>
          </cell>
          <cell r="F1148" t="str">
            <v>E</v>
          </cell>
          <cell r="G1148" t="str">
            <v>12533977</v>
          </cell>
          <cell r="H1148" t="str">
            <v>Halter vollst.</v>
          </cell>
          <cell r="I1148">
            <v>48</v>
          </cell>
          <cell r="J1148" t="str">
            <v>Stk</v>
          </cell>
          <cell r="K1148">
            <v>45213</v>
          </cell>
          <cell r="L1148" t="str">
            <v>829053</v>
          </cell>
          <cell r="M1148" t="str">
            <v/>
          </cell>
          <cell r="N1148" t="str">
            <v/>
          </cell>
          <cell r="O1148" t="str">
            <v/>
          </cell>
          <cell r="P1148" t="str">
            <v/>
          </cell>
          <cell r="Q1148" t="str">
            <v/>
          </cell>
          <cell r="R1148" t="str">
            <v/>
          </cell>
          <cell r="S1148" t="str">
            <v/>
          </cell>
          <cell r="T1148" t="str">
            <v/>
          </cell>
          <cell r="U1148" t="str">
            <v/>
          </cell>
          <cell r="V1148" t="str">
            <v>N38</v>
          </cell>
          <cell r="W1148" t="str">
            <v/>
          </cell>
          <cell r="X1148" t="str">
            <v/>
          </cell>
          <cell r="Y1148" t="str">
            <v/>
          </cell>
          <cell r="Z1148" t="str">
            <v/>
          </cell>
          <cell r="AA1148" t="str">
            <v/>
          </cell>
          <cell r="AB1148" t="str">
            <v>PA_4474261-UA.7005-3</v>
          </cell>
          <cell r="AC1148">
            <v>1</v>
          </cell>
          <cell r="AD1148" t="str">
            <v/>
          </cell>
          <cell r="AE1148">
            <v>0</v>
          </cell>
          <cell r="AF1148" t="str">
            <v/>
          </cell>
          <cell r="AG1148" t="str">
            <v>12533977</v>
          </cell>
          <cell r="AH1148">
            <v>44943.959641203706</v>
          </cell>
          <cell r="AI1148" t="str">
            <v>N38</v>
          </cell>
          <cell r="AJ1148" t="str">
            <v>F</v>
          </cell>
          <cell r="AK1148" t="str">
            <v/>
          </cell>
        </row>
        <row r="1149">
          <cell r="A1149" t="str">
            <v>12533977829054</v>
          </cell>
          <cell r="B1149" t="str">
            <v>BL20230413-2</v>
          </cell>
          <cell r="C1149" t="e">
            <v>#N/A</v>
          </cell>
          <cell r="D1149" t="str">
            <v>EK65</v>
          </cell>
          <cell r="E1149" t="str">
            <v>699524</v>
          </cell>
          <cell r="F1149" t="str">
            <v>E</v>
          </cell>
          <cell r="G1149" t="str">
            <v>12533977</v>
          </cell>
          <cell r="H1149" t="str">
            <v>Halter vollst.</v>
          </cell>
          <cell r="I1149">
            <v>30</v>
          </cell>
          <cell r="J1149" t="str">
            <v>Stk</v>
          </cell>
          <cell r="K1149">
            <v>45230</v>
          </cell>
          <cell r="L1149" t="str">
            <v>829054</v>
          </cell>
          <cell r="M1149" t="str">
            <v/>
          </cell>
          <cell r="N1149" t="str">
            <v/>
          </cell>
          <cell r="O1149" t="str">
            <v/>
          </cell>
          <cell r="P1149" t="str">
            <v/>
          </cell>
          <cell r="Q1149" t="str">
            <v/>
          </cell>
          <cell r="R1149" t="str">
            <v/>
          </cell>
          <cell r="S1149" t="str">
            <v/>
          </cell>
          <cell r="T1149" t="str">
            <v/>
          </cell>
          <cell r="U1149" t="str">
            <v/>
          </cell>
          <cell r="V1149" t="str">
            <v>N38</v>
          </cell>
          <cell r="W1149" t="str">
            <v/>
          </cell>
          <cell r="X1149" t="str">
            <v/>
          </cell>
          <cell r="Y1149" t="str">
            <v/>
          </cell>
          <cell r="Z1149" t="str">
            <v/>
          </cell>
          <cell r="AA1149" t="str">
            <v/>
          </cell>
          <cell r="AB1149" t="str">
            <v>PA_4474261-UA.7005-3</v>
          </cell>
          <cell r="AC1149">
            <v>1</v>
          </cell>
          <cell r="AD1149" t="str">
            <v/>
          </cell>
          <cell r="AE1149">
            <v>0</v>
          </cell>
          <cell r="AF1149" t="str">
            <v/>
          </cell>
          <cell r="AG1149" t="str">
            <v>12533977</v>
          </cell>
          <cell r="AH1149">
            <v>44943.959641203706</v>
          </cell>
          <cell r="AI1149" t="str">
            <v>N38</v>
          </cell>
          <cell r="AJ1149" t="str">
            <v>F</v>
          </cell>
          <cell r="AK1149" t="str">
            <v/>
          </cell>
        </row>
        <row r="1150">
          <cell r="A1150" t="str">
            <v>12533978829053</v>
          </cell>
          <cell r="B1150" t="e">
            <v>#N/A</v>
          </cell>
          <cell r="C1150" t="e">
            <v>#N/A</v>
          </cell>
          <cell r="D1150" t="str">
            <v>EK65</v>
          </cell>
          <cell r="E1150" t="str">
            <v>699525</v>
          </cell>
          <cell r="F1150" t="str">
            <v>E</v>
          </cell>
          <cell r="G1150" t="str">
            <v>12533978</v>
          </cell>
          <cell r="H1150" t="str">
            <v>Halter vollst.</v>
          </cell>
          <cell r="I1150">
            <v>51</v>
          </cell>
          <cell r="J1150" t="str">
            <v>Stk</v>
          </cell>
          <cell r="K1150">
            <v>45196</v>
          </cell>
          <cell r="L1150" t="str">
            <v>829053</v>
          </cell>
          <cell r="M1150" t="str">
            <v/>
          </cell>
          <cell r="N1150" t="str">
            <v/>
          </cell>
          <cell r="O1150" t="str">
            <v/>
          </cell>
          <cell r="P1150" t="str">
            <v/>
          </cell>
          <cell r="Q1150" t="str">
            <v/>
          </cell>
          <cell r="R1150" t="str">
            <v/>
          </cell>
          <cell r="S1150" t="str">
            <v/>
          </cell>
          <cell r="T1150" t="str">
            <v/>
          </cell>
          <cell r="U1150" t="str">
            <v/>
          </cell>
          <cell r="V1150" t="str">
            <v>N38</v>
          </cell>
          <cell r="W1150" t="str">
            <v/>
          </cell>
          <cell r="X1150" t="str">
            <v/>
          </cell>
          <cell r="Y1150" t="str">
            <v/>
          </cell>
          <cell r="Z1150" t="str">
            <v/>
          </cell>
          <cell r="AA1150" t="str">
            <v/>
          </cell>
          <cell r="AB1150" t="str">
            <v>PA_4421400-UA.7005-3</v>
          </cell>
          <cell r="AC1150">
            <v>1</v>
          </cell>
          <cell r="AD1150" t="str">
            <v/>
          </cell>
          <cell r="AE1150">
            <v>0</v>
          </cell>
          <cell r="AF1150" t="str">
            <v/>
          </cell>
          <cell r="AG1150" t="str">
            <v>12533978</v>
          </cell>
          <cell r="AH1150">
            <v>44943.959652777776</v>
          </cell>
          <cell r="AI1150" t="str">
            <v>N38</v>
          </cell>
          <cell r="AJ1150" t="str">
            <v>F</v>
          </cell>
          <cell r="AK1150" t="str">
            <v>A</v>
          </cell>
        </row>
        <row r="1151">
          <cell r="A1151" t="str">
            <v>12533978829054</v>
          </cell>
          <cell r="B1151" t="str">
            <v>BL20230413-2</v>
          </cell>
          <cell r="C1151" t="e">
            <v>#N/A</v>
          </cell>
          <cell r="D1151" t="str">
            <v>EK65</v>
          </cell>
          <cell r="E1151" t="str">
            <v>699526</v>
          </cell>
          <cell r="F1151" t="str">
            <v>E</v>
          </cell>
          <cell r="G1151" t="str">
            <v>12533978</v>
          </cell>
          <cell r="H1151" t="str">
            <v>Halter vollst.</v>
          </cell>
          <cell r="I1151">
            <v>17</v>
          </cell>
          <cell r="J1151" t="str">
            <v>Stk</v>
          </cell>
          <cell r="K1151">
            <v>45206</v>
          </cell>
          <cell r="L1151" t="str">
            <v>829054</v>
          </cell>
          <cell r="M1151" t="str">
            <v/>
          </cell>
          <cell r="N1151" t="str">
            <v/>
          </cell>
          <cell r="O1151" t="str">
            <v/>
          </cell>
          <cell r="P1151" t="str">
            <v/>
          </cell>
          <cell r="Q1151" t="str">
            <v/>
          </cell>
          <cell r="R1151" t="str">
            <v/>
          </cell>
          <cell r="S1151" t="str">
            <v/>
          </cell>
          <cell r="T1151" t="str">
            <v/>
          </cell>
          <cell r="U1151" t="str">
            <v/>
          </cell>
          <cell r="V1151" t="str">
            <v>N38</v>
          </cell>
          <cell r="W1151" t="str">
            <v/>
          </cell>
          <cell r="X1151" t="str">
            <v/>
          </cell>
          <cell r="Y1151" t="str">
            <v/>
          </cell>
          <cell r="Z1151" t="str">
            <v/>
          </cell>
          <cell r="AA1151" t="str">
            <v/>
          </cell>
          <cell r="AB1151" t="str">
            <v>PA_4421400-UA.7005-3</v>
          </cell>
          <cell r="AC1151">
            <v>1</v>
          </cell>
          <cell r="AD1151" t="str">
            <v/>
          </cell>
          <cell r="AE1151">
            <v>0</v>
          </cell>
          <cell r="AF1151" t="str">
            <v/>
          </cell>
          <cell r="AG1151" t="str">
            <v>12533978</v>
          </cell>
          <cell r="AH1151">
            <v>44943.959652777776</v>
          </cell>
          <cell r="AI1151" t="str">
            <v>N38</v>
          </cell>
          <cell r="AJ1151" t="str">
            <v>F</v>
          </cell>
          <cell r="AK1151" t="str">
            <v>A</v>
          </cell>
        </row>
        <row r="1152">
          <cell r="A1152" t="str">
            <v>12533984829053</v>
          </cell>
          <cell r="B1152" t="e">
            <v>#N/A</v>
          </cell>
          <cell r="C1152" t="e">
            <v>#N/A</v>
          </cell>
          <cell r="D1152" t="str">
            <v>EK65</v>
          </cell>
          <cell r="E1152" t="str">
            <v>699527</v>
          </cell>
          <cell r="F1152" t="str">
            <v>E</v>
          </cell>
          <cell r="G1152" t="str">
            <v>12533984</v>
          </cell>
          <cell r="H1152" t="str">
            <v>Halter vollst.</v>
          </cell>
          <cell r="I1152">
            <v>48</v>
          </cell>
          <cell r="J1152" t="str">
            <v>Stk</v>
          </cell>
          <cell r="K1152">
            <v>45213</v>
          </cell>
          <cell r="L1152" t="str">
            <v>829053</v>
          </cell>
          <cell r="M1152" t="str">
            <v/>
          </cell>
          <cell r="N1152" t="str">
            <v/>
          </cell>
          <cell r="O1152" t="str">
            <v/>
          </cell>
          <cell r="P1152" t="str">
            <v/>
          </cell>
          <cell r="Q1152" t="str">
            <v/>
          </cell>
          <cell r="R1152" t="str">
            <v/>
          </cell>
          <cell r="S1152" t="str">
            <v/>
          </cell>
          <cell r="T1152" t="str">
            <v/>
          </cell>
          <cell r="U1152" t="str">
            <v/>
          </cell>
          <cell r="V1152" t="str">
            <v>N38</v>
          </cell>
          <cell r="W1152" t="str">
            <v/>
          </cell>
          <cell r="X1152" t="str">
            <v/>
          </cell>
          <cell r="Y1152" t="str">
            <v/>
          </cell>
          <cell r="Z1152" t="str">
            <v/>
          </cell>
          <cell r="AA1152" t="str">
            <v/>
          </cell>
          <cell r="AB1152" t="str">
            <v>PA_2331339-UA.7005-3</v>
          </cell>
          <cell r="AC1152">
            <v>1</v>
          </cell>
          <cell r="AD1152" t="str">
            <v/>
          </cell>
          <cell r="AE1152">
            <v>0</v>
          </cell>
          <cell r="AF1152" t="str">
            <v/>
          </cell>
          <cell r="AG1152" t="str">
            <v>12533984</v>
          </cell>
          <cell r="AH1152">
            <v>44943.959745370368</v>
          </cell>
          <cell r="AI1152" t="str">
            <v>N38</v>
          </cell>
          <cell r="AJ1152" t="str">
            <v>F</v>
          </cell>
          <cell r="AK1152" t="str">
            <v/>
          </cell>
        </row>
        <row r="1153">
          <cell r="A1153" t="str">
            <v>12533984829054</v>
          </cell>
          <cell r="B1153" t="str">
            <v>BL20230413-2</v>
          </cell>
          <cell r="C1153" t="e">
            <v>#N/A</v>
          </cell>
          <cell r="D1153" t="str">
            <v>EK65</v>
          </cell>
          <cell r="E1153" t="str">
            <v>699528</v>
          </cell>
          <cell r="F1153" t="str">
            <v>E</v>
          </cell>
          <cell r="G1153" t="str">
            <v>12533984</v>
          </cell>
          <cell r="H1153" t="str">
            <v>Halter vollst.</v>
          </cell>
          <cell r="I1153">
            <v>30</v>
          </cell>
          <cell r="J1153" t="str">
            <v>Stk</v>
          </cell>
          <cell r="K1153">
            <v>45230</v>
          </cell>
          <cell r="L1153" t="str">
            <v>829054</v>
          </cell>
          <cell r="M1153" t="str">
            <v/>
          </cell>
          <cell r="N1153" t="str">
            <v/>
          </cell>
          <cell r="O1153" t="str">
            <v/>
          </cell>
          <cell r="P1153" t="str">
            <v/>
          </cell>
          <cell r="Q1153" t="str">
            <v/>
          </cell>
          <cell r="R1153" t="str">
            <v/>
          </cell>
          <cell r="S1153" t="str">
            <v/>
          </cell>
          <cell r="T1153" t="str">
            <v/>
          </cell>
          <cell r="U1153" t="str">
            <v/>
          </cell>
          <cell r="V1153" t="str">
            <v>N38</v>
          </cell>
          <cell r="W1153" t="str">
            <v/>
          </cell>
          <cell r="X1153" t="str">
            <v/>
          </cell>
          <cell r="Y1153" t="str">
            <v/>
          </cell>
          <cell r="Z1153" t="str">
            <v/>
          </cell>
          <cell r="AA1153" t="str">
            <v/>
          </cell>
          <cell r="AB1153" t="str">
            <v>PA_2331339-UA.7005-3</v>
          </cell>
          <cell r="AC1153">
            <v>1</v>
          </cell>
          <cell r="AD1153" t="str">
            <v/>
          </cell>
          <cell r="AE1153">
            <v>0</v>
          </cell>
          <cell r="AF1153" t="str">
            <v/>
          </cell>
          <cell r="AG1153" t="str">
            <v>12533984</v>
          </cell>
          <cell r="AH1153">
            <v>44943.959745370368</v>
          </cell>
          <cell r="AI1153" t="str">
            <v>N38</v>
          </cell>
          <cell r="AJ1153" t="str">
            <v>F</v>
          </cell>
          <cell r="AK1153" t="str">
            <v/>
          </cell>
        </row>
        <row r="1154">
          <cell r="A1154" t="str">
            <v>12604646829053</v>
          </cell>
          <cell r="B1154" t="e">
            <v>#N/A</v>
          </cell>
          <cell r="C1154" t="e">
            <v>#N/A</v>
          </cell>
          <cell r="D1154" t="str">
            <v>EK65</v>
          </cell>
          <cell r="E1154" t="str">
            <v>699532</v>
          </cell>
          <cell r="F1154" t="str">
            <v>E</v>
          </cell>
          <cell r="G1154" t="str">
            <v>12604646</v>
          </cell>
          <cell r="H1154" t="str">
            <v>Halter vollst.</v>
          </cell>
          <cell r="I1154">
            <v>48</v>
          </cell>
          <cell r="J1154" t="str">
            <v>Stk</v>
          </cell>
          <cell r="K1154">
            <v>45230</v>
          </cell>
          <cell r="L1154" t="str">
            <v>829053</v>
          </cell>
          <cell r="M1154" t="str">
            <v/>
          </cell>
          <cell r="N1154" t="str">
            <v/>
          </cell>
          <cell r="O1154" t="str">
            <v/>
          </cell>
          <cell r="P1154" t="str">
            <v/>
          </cell>
          <cell r="Q1154" t="str">
            <v/>
          </cell>
          <cell r="R1154" t="str">
            <v/>
          </cell>
          <cell r="S1154" t="str">
            <v/>
          </cell>
          <cell r="T1154" t="str">
            <v/>
          </cell>
          <cell r="U1154" t="str">
            <v/>
          </cell>
          <cell r="V1154" t="str">
            <v>N38</v>
          </cell>
          <cell r="W1154" t="str">
            <v/>
          </cell>
          <cell r="X1154" t="str">
            <v/>
          </cell>
          <cell r="Y1154" t="str">
            <v/>
          </cell>
          <cell r="Z1154" t="str">
            <v/>
          </cell>
          <cell r="AA1154" t="str">
            <v/>
          </cell>
          <cell r="AB1154" t="str">
            <v>PA_4974170-LD.7005-4</v>
          </cell>
          <cell r="AC1154">
            <v>1</v>
          </cell>
          <cell r="AD1154" t="str">
            <v/>
          </cell>
          <cell r="AE1154">
            <v>0</v>
          </cell>
          <cell r="AF1154" t="str">
            <v/>
          </cell>
          <cell r="AG1154" t="str">
            <v>12604646</v>
          </cell>
          <cell r="AH1154">
            <v>44943.962164351855</v>
          </cell>
          <cell r="AI1154" t="str">
            <v>N38</v>
          </cell>
          <cell r="AJ1154" t="str">
            <v>F</v>
          </cell>
          <cell r="AK1154" t="str">
            <v/>
          </cell>
        </row>
        <row r="1155">
          <cell r="A1155" t="str">
            <v>12604659829053</v>
          </cell>
          <cell r="B1155" t="e">
            <v>#N/A</v>
          </cell>
          <cell r="C1155" t="e">
            <v>#N/A</v>
          </cell>
          <cell r="D1155" t="str">
            <v>EK65</v>
          </cell>
          <cell r="E1155" t="str">
            <v>699533</v>
          </cell>
          <cell r="F1155" t="str">
            <v>E</v>
          </cell>
          <cell r="G1155" t="str">
            <v>12604659</v>
          </cell>
          <cell r="H1155" t="str">
            <v>Halter vollst.</v>
          </cell>
          <cell r="I1155">
            <v>48</v>
          </cell>
          <cell r="J1155" t="str">
            <v>Stk</v>
          </cell>
          <cell r="K1155">
            <v>45230</v>
          </cell>
          <cell r="L1155" t="str">
            <v>829053</v>
          </cell>
          <cell r="M1155" t="str">
            <v/>
          </cell>
          <cell r="N1155" t="str">
            <v/>
          </cell>
          <cell r="O1155" t="str">
            <v/>
          </cell>
          <cell r="P1155" t="str">
            <v/>
          </cell>
          <cell r="Q1155" t="str">
            <v/>
          </cell>
          <cell r="R1155" t="str">
            <v/>
          </cell>
          <cell r="S1155" t="str">
            <v/>
          </cell>
          <cell r="T1155" t="str">
            <v/>
          </cell>
          <cell r="U1155" t="str">
            <v/>
          </cell>
          <cell r="V1155" t="str">
            <v>N38</v>
          </cell>
          <cell r="W1155" t="str">
            <v/>
          </cell>
          <cell r="X1155" t="str">
            <v/>
          </cell>
          <cell r="Y1155" t="str">
            <v/>
          </cell>
          <cell r="Z1155" t="str">
            <v/>
          </cell>
          <cell r="AA1155" t="str">
            <v/>
          </cell>
          <cell r="AB1155" t="str">
            <v>PA_4974222-LD.7005-4</v>
          </cell>
          <cell r="AC1155">
            <v>1</v>
          </cell>
          <cell r="AD1155" t="str">
            <v/>
          </cell>
          <cell r="AE1155">
            <v>0</v>
          </cell>
          <cell r="AF1155" t="str">
            <v/>
          </cell>
          <cell r="AG1155" t="str">
            <v>12604659</v>
          </cell>
          <cell r="AH1155">
            <v>44943.962187500001</v>
          </cell>
          <cell r="AI1155" t="str">
            <v>N38</v>
          </cell>
          <cell r="AJ1155" t="str">
            <v>F</v>
          </cell>
          <cell r="AK1155" t="str">
            <v/>
          </cell>
        </row>
        <row r="1156">
          <cell r="A1156" t="str">
            <v>12626289829053</v>
          </cell>
          <cell r="B1156" t="e">
            <v>#N/A</v>
          </cell>
          <cell r="C1156" t="e">
            <v>#N/A</v>
          </cell>
          <cell r="D1156" t="str">
            <v>EK65</v>
          </cell>
          <cell r="E1156" t="str">
            <v>699549</v>
          </cell>
          <cell r="F1156" t="str">
            <v>E</v>
          </cell>
          <cell r="G1156" t="str">
            <v>12626289</v>
          </cell>
          <cell r="H1156" t="str">
            <v>Werkzeughalter vollst.</v>
          </cell>
          <cell r="I1156">
            <v>53</v>
          </cell>
          <cell r="J1156" t="str">
            <v>Stk</v>
          </cell>
          <cell r="K1156">
            <v>45212</v>
          </cell>
          <cell r="L1156" t="str">
            <v>829053</v>
          </cell>
          <cell r="M1156" t="str">
            <v/>
          </cell>
          <cell r="N1156" t="str">
            <v/>
          </cell>
          <cell r="O1156" t="str">
            <v/>
          </cell>
          <cell r="P1156" t="str">
            <v/>
          </cell>
          <cell r="Q1156" t="str">
            <v/>
          </cell>
          <cell r="R1156" t="str">
            <v/>
          </cell>
          <cell r="S1156" t="str">
            <v/>
          </cell>
          <cell r="T1156" t="str">
            <v/>
          </cell>
          <cell r="U1156" t="str">
            <v/>
          </cell>
          <cell r="V1156" t="str">
            <v>N38</v>
          </cell>
          <cell r="W1156" t="str">
            <v/>
          </cell>
          <cell r="X1156" t="str">
            <v/>
          </cell>
          <cell r="Y1156" t="str">
            <v/>
          </cell>
          <cell r="Z1156" t="str">
            <v/>
          </cell>
          <cell r="AA1156" t="str">
            <v/>
          </cell>
          <cell r="AB1156" t="str">
            <v>PA_5065287-DF.7004-4</v>
          </cell>
          <cell r="AC1156">
            <v>1</v>
          </cell>
          <cell r="AD1156" t="str">
            <v/>
          </cell>
          <cell r="AE1156">
            <v>0</v>
          </cell>
          <cell r="AF1156" t="str">
            <v/>
          </cell>
          <cell r="AG1156" t="str">
            <v>12626289</v>
          </cell>
          <cell r="AH1156">
            <v>44943.962812500002</v>
          </cell>
          <cell r="AI1156" t="str">
            <v>N38</v>
          </cell>
          <cell r="AJ1156" t="str">
            <v>F</v>
          </cell>
          <cell r="AK1156" t="str">
            <v/>
          </cell>
        </row>
        <row r="1157">
          <cell r="A1157" t="str">
            <v>12626289829051</v>
          </cell>
          <cell r="B1157" t="e">
            <v>#N/A</v>
          </cell>
          <cell r="C1157" t="e">
            <v>#N/A</v>
          </cell>
          <cell r="D1157" t="str">
            <v>EK65</v>
          </cell>
          <cell r="E1157" t="str">
            <v>699550</v>
          </cell>
          <cell r="F1157" t="str">
            <v>E</v>
          </cell>
          <cell r="G1157" t="str">
            <v>12626289</v>
          </cell>
          <cell r="H1157" t="str">
            <v>Werkzeughalter vollst.</v>
          </cell>
          <cell r="I1157">
            <v>80</v>
          </cell>
          <cell r="J1157" t="str">
            <v>Stk</v>
          </cell>
          <cell r="K1157">
            <v>45387</v>
          </cell>
          <cell r="L1157" t="str">
            <v>829051</v>
          </cell>
          <cell r="M1157" t="str">
            <v/>
          </cell>
          <cell r="N1157" t="str">
            <v/>
          </cell>
          <cell r="O1157" t="str">
            <v/>
          </cell>
          <cell r="P1157" t="str">
            <v/>
          </cell>
          <cell r="Q1157" t="str">
            <v/>
          </cell>
          <cell r="R1157" t="str">
            <v/>
          </cell>
          <cell r="S1157" t="str">
            <v/>
          </cell>
          <cell r="T1157" t="str">
            <v/>
          </cell>
          <cell r="U1157" t="str">
            <v/>
          </cell>
          <cell r="V1157" t="str">
            <v>N38</v>
          </cell>
          <cell r="W1157" t="str">
            <v/>
          </cell>
          <cell r="X1157" t="str">
            <v/>
          </cell>
          <cell r="Y1157" t="str">
            <v/>
          </cell>
          <cell r="Z1157" t="str">
            <v/>
          </cell>
          <cell r="AA1157" t="str">
            <v/>
          </cell>
          <cell r="AB1157" t="str">
            <v>PA_5065287-DF.7004-4</v>
          </cell>
          <cell r="AC1157">
            <v>1</v>
          </cell>
          <cell r="AD1157" t="str">
            <v/>
          </cell>
          <cell r="AE1157">
            <v>0</v>
          </cell>
          <cell r="AF1157" t="str">
            <v/>
          </cell>
          <cell r="AG1157" t="str">
            <v>12626289</v>
          </cell>
          <cell r="AH1157">
            <v>44943.962812500002</v>
          </cell>
          <cell r="AI1157" t="str">
            <v>N38</v>
          </cell>
          <cell r="AJ1157" t="str">
            <v>F</v>
          </cell>
          <cell r="AK1157" t="str">
            <v/>
          </cell>
        </row>
        <row r="1158">
          <cell r="A1158" t="str">
            <v>12482060829053</v>
          </cell>
          <cell r="B1158" t="e">
            <v>#N/A</v>
          </cell>
          <cell r="C1158">
            <v>14</v>
          </cell>
          <cell r="D1158" t="str">
            <v>EK65</v>
          </cell>
          <cell r="E1158" t="str">
            <v>699935</v>
          </cell>
          <cell r="F1158" t="str">
            <v>E</v>
          </cell>
          <cell r="G1158" t="str">
            <v>12482060</v>
          </cell>
          <cell r="H1158" t="str">
            <v>Haltewinkel Fahrzielanzeige</v>
          </cell>
          <cell r="I1158">
            <v>6</v>
          </cell>
          <cell r="J1158" t="str">
            <v>Stk</v>
          </cell>
          <cell r="K1158">
            <v>45377</v>
          </cell>
          <cell r="L1158" t="str">
            <v>829053</v>
          </cell>
          <cell r="M1158" t="str">
            <v/>
          </cell>
          <cell r="N1158" t="str">
            <v/>
          </cell>
          <cell r="O1158" t="str">
            <v/>
          </cell>
          <cell r="P1158" t="str">
            <v/>
          </cell>
          <cell r="Q1158" t="str">
            <v/>
          </cell>
          <cell r="R1158" t="str">
            <v/>
          </cell>
          <cell r="S1158" t="str">
            <v/>
          </cell>
          <cell r="T1158" t="str">
            <v/>
          </cell>
          <cell r="U1158" t="str">
            <v/>
          </cell>
          <cell r="V1158" t="str">
            <v>N52</v>
          </cell>
          <cell r="W1158" t="str">
            <v/>
          </cell>
          <cell r="X1158" t="str">
            <v/>
          </cell>
          <cell r="Y1158" t="str">
            <v/>
          </cell>
          <cell r="Z1158" t="str">
            <v/>
          </cell>
          <cell r="AA1158" t="str">
            <v/>
          </cell>
          <cell r="AB1158" t="str">
            <v>PA_4353489-PB.7005-3</v>
          </cell>
          <cell r="AC1158">
            <v>1</v>
          </cell>
          <cell r="AD1158" t="str">
            <v/>
          </cell>
          <cell r="AE1158">
            <v>0</v>
          </cell>
          <cell r="AF1158" t="str">
            <v/>
          </cell>
          <cell r="AG1158" t="str">
            <v>12482060</v>
          </cell>
          <cell r="AH1158">
            <v>44943.999872685185</v>
          </cell>
          <cell r="AI1158" t="str">
            <v>N52</v>
          </cell>
          <cell r="AJ1158" t="str">
            <v>F</v>
          </cell>
          <cell r="AK1158" t="str">
            <v>A</v>
          </cell>
        </row>
        <row r="1159">
          <cell r="A1159" t="str">
            <v>12482060829051</v>
          </cell>
          <cell r="B1159" t="e">
            <v>#N/A</v>
          </cell>
          <cell r="C1159">
            <v>14</v>
          </cell>
          <cell r="D1159" t="str">
            <v>EK65</v>
          </cell>
          <cell r="E1159" t="str">
            <v>699936</v>
          </cell>
          <cell r="F1159" t="str">
            <v>E</v>
          </cell>
          <cell r="G1159" t="str">
            <v>12482060</v>
          </cell>
          <cell r="H1159" t="str">
            <v>Haltewinkel Fahrzielanzeige</v>
          </cell>
          <cell r="I1159">
            <v>19</v>
          </cell>
          <cell r="J1159" t="str">
            <v>Stk</v>
          </cell>
          <cell r="K1159">
            <v>45491</v>
          </cell>
          <cell r="L1159" t="str">
            <v>829051</v>
          </cell>
          <cell r="M1159" t="str">
            <v/>
          </cell>
          <cell r="N1159" t="str">
            <v/>
          </cell>
          <cell r="O1159" t="str">
            <v/>
          </cell>
          <cell r="P1159" t="str">
            <v/>
          </cell>
          <cell r="Q1159" t="str">
            <v/>
          </cell>
          <cell r="R1159" t="str">
            <v/>
          </cell>
          <cell r="S1159" t="str">
            <v/>
          </cell>
          <cell r="T1159" t="str">
            <v/>
          </cell>
          <cell r="U1159" t="str">
            <v/>
          </cell>
          <cell r="V1159" t="str">
            <v>N52</v>
          </cell>
          <cell r="W1159" t="str">
            <v/>
          </cell>
          <cell r="X1159" t="str">
            <v/>
          </cell>
          <cell r="Y1159" t="str">
            <v/>
          </cell>
          <cell r="Z1159" t="str">
            <v/>
          </cell>
          <cell r="AA1159" t="str">
            <v/>
          </cell>
          <cell r="AB1159" t="str">
            <v>PA_4353489-PB.7005-3</v>
          </cell>
          <cell r="AC1159">
            <v>1</v>
          </cell>
          <cell r="AD1159" t="str">
            <v/>
          </cell>
          <cell r="AE1159">
            <v>0</v>
          </cell>
          <cell r="AF1159" t="str">
            <v/>
          </cell>
          <cell r="AG1159" t="str">
            <v>12482060</v>
          </cell>
          <cell r="AH1159">
            <v>44943.999872685185</v>
          </cell>
          <cell r="AI1159" t="str">
            <v>N52</v>
          </cell>
          <cell r="AJ1159" t="str">
            <v>F</v>
          </cell>
          <cell r="AK1159" t="str">
            <v>A</v>
          </cell>
        </row>
        <row r="1160">
          <cell r="A1160" t="str">
            <v>0418105</v>
          </cell>
          <cell r="B1160" t="str">
            <v>BL20230412-1</v>
          </cell>
          <cell r="C1160" t="e">
            <v>#N/A</v>
          </cell>
          <cell r="D1160" t="str">
            <v>EK65</v>
          </cell>
          <cell r="E1160" t="str">
            <v>699961</v>
          </cell>
          <cell r="F1160" t="str">
            <v>B</v>
          </cell>
          <cell r="G1160" t="str">
            <v>0418105</v>
          </cell>
          <cell r="H1160" t="str">
            <v>Ausgleichsplatte</v>
          </cell>
          <cell r="I1160">
            <v>10</v>
          </cell>
          <cell r="J1160" t="str">
            <v>Stk</v>
          </cell>
          <cell r="K1160">
            <v>44946</v>
          </cell>
          <cell r="L1160" t="str">
            <v/>
          </cell>
          <cell r="M1160" t="str">
            <v/>
          </cell>
          <cell r="N1160" t="str">
            <v/>
          </cell>
          <cell r="O1160" t="str">
            <v/>
          </cell>
          <cell r="P1160" t="str">
            <v/>
          </cell>
          <cell r="Q1160" t="str">
            <v/>
          </cell>
          <cell r="R1160" t="str">
            <v/>
          </cell>
          <cell r="S1160" t="str">
            <v/>
          </cell>
          <cell r="T1160" t="str">
            <v/>
          </cell>
          <cell r="U1160" t="str">
            <v/>
          </cell>
          <cell r="V1160" t="str">
            <v>N32</v>
          </cell>
          <cell r="W1160" t="str">
            <v/>
          </cell>
          <cell r="X1160" t="str">
            <v/>
          </cell>
          <cell r="Y1160" t="str">
            <v/>
          </cell>
          <cell r="Z1160" t="str">
            <v/>
          </cell>
          <cell r="AA1160" t="str">
            <v/>
          </cell>
          <cell r="AB1160" t="str">
            <v>PA_2186430-BG.7500-3P.3</v>
          </cell>
          <cell r="AC1160">
            <v>4</v>
          </cell>
          <cell r="AD1160" t="str">
            <v/>
          </cell>
          <cell r="AE1160">
            <v>0</v>
          </cell>
          <cell r="AF1160" t="str">
            <v/>
          </cell>
          <cell r="AG1160" t="str">
            <v>0418105</v>
          </cell>
          <cell r="AH1160">
            <v>44944.834027777775</v>
          </cell>
          <cell r="AI1160" t="str">
            <v>N32</v>
          </cell>
          <cell r="AJ1160" t="str">
            <v>F</v>
          </cell>
          <cell r="AK1160" t="str">
            <v>B</v>
          </cell>
        </row>
        <row r="1161">
          <cell r="A1161" t="str">
            <v>0735999</v>
          </cell>
          <cell r="B1161" t="str">
            <v>BL20230413-2</v>
          </cell>
          <cell r="C1161" t="e">
            <v>#N/A</v>
          </cell>
          <cell r="D1161" t="str">
            <v>EK65</v>
          </cell>
          <cell r="E1161" t="str">
            <v>699964</v>
          </cell>
          <cell r="F1161" t="str">
            <v>B</v>
          </cell>
          <cell r="G1161" t="str">
            <v>0735999</v>
          </cell>
          <cell r="H1161" t="str">
            <v>Dehnhuelse 37mm M12</v>
          </cell>
          <cell r="I1161">
            <v>17</v>
          </cell>
          <cell r="J1161" t="str">
            <v>Stk</v>
          </cell>
          <cell r="K1161">
            <v>44946</v>
          </cell>
          <cell r="L1161" t="str">
            <v/>
          </cell>
          <cell r="M1161" t="str">
            <v/>
          </cell>
          <cell r="N1161" t="str">
            <v/>
          </cell>
          <cell r="O1161" t="str">
            <v/>
          </cell>
          <cell r="P1161" t="str">
            <v/>
          </cell>
          <cell r="Q1161" t="str">
            <v/>
          </cell>
          <cell r="R1161" t="str">
            <v/>
          </cell>
          <cell r="S1161" t="str">
            <v/>
          </cell>
          <cell r="T1161" t="str">
            <v/>
          </cell>
          <cell r="U1161" t="str">
            <v/>
          </cell>
          <cell r="V1161" t="str">
            <v>N52</v>
          </cell>
          <cell r="W1161" t="str">
            <v/>
          </cell>
          <cell r="X1161" t="str">
            <v/>
          </cell>
          <cell r="Y1161" t="str">
            <v/>
          </cell>
          <cell r="Z1161" t="str">
            <v/>
          </cell>
          <cell r="AA1161" t="str">
            <v/>
          </cell>
          <cell r="AB1161" t="str">
            <v>PA_2177839-TB.7500-4</v>
          </cell>
          <cell r="AC1161">
            <v>4</v>
          </cell>
          <cell r="AD1161" t="str">
            <v/>
          </cell>
          <cell r="AE1161">
            <v>0</v>
          </cell>
          <cell r="AF1161" t="str">
            <v/>
          </cell>
          <cell r="AG1161" t="str">
            <v>0735999</v>
          </cell>
          <cell r="AH1161">
            <v>44944.834560185183</v>
          </cell>
          <cell r="AI1161" t="str">
            <v>N52</v>
          </cell>
          <cell r="AJ1161" t="str">
            <v>F</v>
          </cell>
          <cell r="AK1161" t="str">
            <v/>
          </cell>
        </row>
        <row r="1162">
          <cell r="A1162" t="str">
            <v>1292604</v>
          </cell>
          <cell r="B1162" t="e">
            <v>#N/A</v>
          </cell>
          <cell r="C1162" t="e">
            <v>#N/A</v>
          </cell>
          <cell r="D1162" t="str">
            <v>EK65</v>
          </cell>
          <cell r="E1162" t="str">
            <v>699972</v>
          </cell>
          <cell r="F1162" t="str">
            <v>B</v>
          </cell>
          <cell r="G1162" t="str">
            <v>1292604</v>
          </cell>
          <cell r="H1162" t="str">
            <v>DISTANZBLECH 1MM</v>
          </cell>
          <cell r="I1162">
            <v>800</v>
          </cell>
          <cell r="J1162" t="str">
            <v>Stk</v>
          </cell>
          <cell r="K1162">
            <v>44946</v>
          </cell>
          <cell r="L1162" t="str">
            <v/>
          </cell>
          <cell r="M1162" t="str">
            <v/>
          </cell>
          <cell r="N1162" t="str">
            <v/>
          </cell>
          <cell r="O1162" t="str">
            <v/>
          </cell>
          <cell r="P1162" t="str">
            <v/>
          </cell>
          <cell r="Q1162" t="str">
            <v/>
          </cell>
          <cell r="R1162" t="str">
            <v/>
          </cell>
          <cell r="S1162" t="str">
            <v/>
          </cell>
          <cell r="T1162" t="str">
            <v/>
          </cell>
          <cell r="U1162" t="str">
            <v/>
          </cell>
          <cell r="V1162" t="str">
            <v>N52</v>
          </cell>
          <cell r="W1162" t="str">
            <v/>
          </cell>
          <cell r="X1162" t="str">
            <v/>
          </cell>
          <cell r="Y1162" t="str">
            <v/>
          </cell>
          <cell r="Z1162" t="str">
            <v/>
          </cell>
          <cell r="AA1162" t="str">
            <v/>
          </cell>
          <cell r="AB1162" t="str">
            <v>PA_1172669-CD.4005-4</v>
          </cell>
          <cell r="AC1162">
            <v>4</v>
          </cell>
          <cell r="AD1162" t="str">
            <v/>
          </cell>
          <cell r="AE1162">
            <v>0</v>
          </cell>
          <cell r="AF1162" t="str">
            <v/>
          </cell>
          <cell r="AG1162" t="str">
            <v>1292604</v>
          </cell>
          <cell r="AH1162">
            <v>44944.835335648146</v>
          </cell>
          <cell r="AI1162" t="str">
            <v>N52</v>
          </cell>
          <cell r="AJ1162" t="str">
            <v>F</v>
          </cell>
          <cell r="AK1162" t="str">
            <v/>
          </cell>
        </row>
        <row r="1163">
          <cell r="A1163" t="str">
            <v>70001740828521</v>
          </cell>
          <cell r="B1163" t="str">
            <v>BL20230413-2</v>
          </cell>
          <cell r="C1163" t="e">
            <v>#N/A</v>
          </cell>
          <cell r="D1163" t="str">
            <v>EK65</v>
          </cell>
          <cell r="E1163" t="str">
            <v>706860</v>
          </cell>
          <cell r="F1163" t="str">
            <v>E</v>
          </cell>
          <cell r="G1163" t="str">
            <v>70001740</v>
          </cell>
          <cell r="H1163" t="str">
            <v>PLATE</v>
          </cell>
          <cell r="I1163">
            <v>360</v>
          </cell>
          <cell r="J1163" t="str">
            <v>Stk</v>
          </cell>
          <cell r="K1163">
            <v>45070</v>
          </cell>
          <cell r="L1163" t="str">
            <v>828521</v>
          </cell>
          <cell r="M1163" t="str">
            <v/>
          </cell>
          <cell r="N1163" t="str">
            <v/>
          </cell>
          <cell r="O1163" t="str">
            <v/>
          </cell>
          <cell r="P1163" t="str">
            <v/>
          </cell>
          <cell r="Q1163" t="str">
            <v/>
          </cell>
          <cell r="R1163" t="str">
            <v/>
          </cell>
          <cell r="S1163" t="str">
            <v/>
          </cell>
          <cell r="T1163" t="str">
            <v/>
          </cell>
          <cell r="U1163" t="str">
            <v>BB20034410062</v>
          </cell>
          <cell r="V1163" t="str">
            <v>B00</v>
          </cell>
          <cell r="W1163" t="str">
            <v/>
          </cell>
          <cell r="X1163" t="str">
            <v/>
          </cell>
          <cell r="Y1163" t="str">
            <v/>
          </cell>
          <cell r="Z1163" t="str">
            <v/>
          </cell>
          <cell r="AA1163" t="str">
            <v/>
          </cell>
          <cell r="AB1163" t="str">
            <v>70001740</v>
          </cell>
          <cell r="AC1163">
            <v>1</v>
          </cell>
          <cell r="AD1163" t="str">
            <v/>
          </cell>
          <cell r="AE1163">
            <v>0</v>
          </cell>
          <cell r="AF1163" t="str">
            <v/>
          </cell>
          <cell r="AG1163" t="str">
            <v>70001740</v>
          </cell>
          <cell r="AH1163">
            <v>44961.009953703702</v>
          </cell>
          <cell r="AI1163" t="str">
            <v>B00</v>
          </cell>
          <cell r="AJ1163" t="str">
            <v>F</v>
          </cell>
          <cell r="AK1163" t="str">
            <v>--</v>
          </cell>
        </row>
        <row r="1164">
          <cell r="A1164" t="str">
            <v>70001741828521</v>
          </cell>
          <cell r="B1164" t="str">
            <v>BL20230413-2</v>
          </cell>
          <cell r="C1164" t="e">
            <v>#N/A</v>
          </cell>
          <cell r="D1164" t="str">
            <v>EK65</v>
          </cell>
          <cell r="E1164" t="str">
            <v>706861</v>
          </cell>
          <cell r="F1164" t="str">
            <v>E</v>
          </cell>
          <cell r="G1164" t="str">
            <v>70001741</v>
          </cell>
          <cell r="H1164" t="str">
            <v>PLATE</v>
          </cell>
          <cell r="I1164">
            <v>180</v>
          </cell>
          <cell r="J1164" t="str">
            <v>Stk</v>
          </cell>
          <cell r="K1164">
            <v>45070</v>
          </cell>
          <cell r="L1164" t="str">
            <v>828521</v>
          </cell>
          <cell r="M1164" t="str">
            <v/>
          </cell>
          <cell r="N1164" t="str">
            <v/>
          </cell>
          <cell r="O1164" t="str">
            <v/>
          </cell>
          <cell r="P1164" t="str">
            <v/>
          </cell>
          <cell r="Q1164" t="str">
            <v/>
          </cell>
          <cell r="R1164" t="str">
            <v/>
          </cell>
          <cell r="S1164" t="str">
            <v/>
          </cell>
          <cell r="T1164" t="str">
            <v/>
          </cell>
          <cell r="U1164" t="str">
            <v>BB20034410031</v>
          </cell>
          <cell r="V1164" t="str">
            <v>B00</v>
          </cell>
          <cell r="W1164" t="str">
            <v/>
          </cell>
          <cell r="X1164" t="str">
            <v/>
          </cell>
          <cell r="Y1164" t="str">
            <v/>
          </cell>
          <cell r="Z1164" t="str">
            <v/>
          </cell>
          <cell r="AA1164" t="str">
            <v/>
          </cell>
          <cell r="AB1164" t="str">
            <v>70001741</v>
          </cell>
          <cell r="AC1164">
            <v>1</v>
          </cell>
          <cell r="AD1164" t="str">
            <v/>
          </cell>
          <cell r="AE1164">
            <v>0</v>
          </cell>
          <cell r="AF1164" t="str">
            <v/>
          </cell>
          <cell r="AG1164" t="str">
            <v>70001741</v>
          </cell>
          <cell r="AH1164">
            <v>44961.009965277779</v>
          </cell>
          <cell r="AI1164" t="str">
            <v>B00</v>
          </cell>
          <cell r="AJ1164" t="str">
            <v>F</v>
          </cell>
          <cell r="AK1164" t="str">
            <v>--</v>
          </cell>
        </row>
        <row r="1165">
          <cell r="A1165" t="str">
            <v>70001745828521</v>
          </cell>
          <cell r="B1165" t="str">
            <v>BL20230413-2</v>
          </cell>
          <cell r="C1165" t="e">
            <v>#N/A</v>
          </cell>
          <cell r="D1165" t="str">
            <v>EK65</v>
          </cell>
          <cell r="E1165" t="str">
            <v>706862</v>
          </cell>
          <cell r="F1165" t="str">
            <v>E</v>
          </cell>
          <cell r="G1165" t="str">
            <v>70001745</v>
          </cell>
          <cell r="H1165" t="str">
            <v>PLATE</v>
          </cell>
          <cell r="I1165">
            <v>90</v>
          </cell>
          <cell r="J1165" t="str">
            <v>Stk</v>
          </cell>
          <cell r="K1165">
            <v>45070</v>
          </cell>
          <cell r="L1165" t="str">
            <v>828521</v>
          </cell>
          <cell r="M1165" t="str">
            <v/>
          </cell>
          <cell r="N1165" t="str">
            <v/>
          </cell>
          <cell r="O1165" t="str">
            <v/>
          </cell>
          <cell r="P1165" t="str">
            <v/>
          </cell>
          <cell r="Q1165" t="str">
            <v/>
          </cell>
          <cell r="R1165" t="str">
            <v/>
          </cell>
          <cell r="S1165" t="str">
            <v/>
          </cell>
          <cell r="T1165" t="str">
            <v/>
          </cell>
          <cell r="U1165" t="str">
            <v>BB20034410029</v>
          </cell>
          <cell r="V1165" t="str">
            <v>B00</v>
          </cell>
          <cell r="W1165" t="str">
            <v/>
          </cell>
          <cell r="X1165" t="str">
            <v/>
          </cell>
          <cell r="Y1165" t="str">
            <v/>
          </cell>
          <cell r="Z1165" t="str">
            <v/>
          </cell>
          <cell r="AA1165" t="str">
            <v/>
          </cell>
          <cell r="AB1165" t="str">
            <v>70001745</v>
          </cell>
          <cell r="AC1165">
            <v>1</v>
          </cell>
          <cell r="AD1165" t="str">
            <v/>
          </cell>
          <cell r="AE1165">
            <v>0</v>
          </cell>
          <cell r="AF1165" t="str">
            <v/>
          </cell>
          <cell r="AG1165" t="str">
            <v>70001745</v>
          </cell>
          <cell r="AH1165">
            <v>44961.010023148148</v>
          </cell>
          <cell r="AI1165" t="str">
            <v>B00</v>
          </cell>
          <cell r="AJ1165" t="str">
            <v>F</v>
          </cell>
          <cell r="AK1165" t="str">
            <v>--</v>
          </cell>
        </row>
        <row r="1166">
          <cell r="A1166" t="str">
            <v>70001746828521</v>
          </cell>
          <cell r="B1166" t="str">
            <v>BL20230413-2</v>
          </cell>
          <cell r="C1166" t="e">
            <v>#N/A</v>
          </cell>
          <cell r="D1166" t="str">
            <v>EK65</v>
          </cell>
          <cell r="E1166" t="str">
            <v>706863</v>
          </cell>
          <cell r="F1166" t="str">
            <v>E</v>
          </cell>
          <cell r="G1166" t="str">
            <v>70001746</v>
          </cell>
          <cell r="H1166" t="str">
            <v>PLATE</v>
          </cell>
          <cell r="I1166">
            <v>90</v>
          </cell>
          <cell r="J1166" t="str">
            <v>Stk</v>
          </cell>
          <cell r="K1166">
            <v>45070</v>
          </cell>
          <cell r="L1166" t="str">
            <v>828521</v>
          </cell>
          <cell r="M1166" t="str">
            <v/>
          </cell>
          <cell r="N1166" t="str">
            <v/>
          </cell>
          <cell r="O1166" t="str">
            <v/>
          </cell>
          <cell r="P1166" t="str">
            <v/>
          </cell>
          <cell r="Q1166" t="str">
            <v/>
          </cell>
          <cell r="R1166" t="str">
            <v/>
          </cell>
          <cell r="S1166" t="str">
            <v/>
          </cell>
          <cell r="T1166" t="str">
            <v/>
          </cell>
          <cell r="U1166" t="str">
            <v>BB20034410030</v>
          </cell>
          <cell r="V1166" t="str">
            <v>B00</v>
          </cell>
          <cell r="W1166" t="str">
            <v/>
          </cell>
          <cell r="X1166" t="str">
            <v/>
          </cell>
          <cell r="Y1166" t="str">
            <v/>
          </cell>
          <cell r="Z1166" t="str">
            <v/>
          </cell>
          <cell r="AA1166" t="str">
            <v/>
          </cell>
          <cell r="AB1166" t="str">
            <v>70001746</v>
          </cell>
          <cell r="AC1166">
            <v>1</v>
          </cell>
          <cell r="AD1166" t="str">
            <v/>
          </cell>
          <cell r="AE1166">
            <v>0</v>
          </cell>
          <cell r="AF1166" t="str">
            <v/>
          </cell>
          <cell r="AG1166" t="str">
            <v>70001746</v>
          </cell>
          <cell r="AH1166">
            <v>44961.010034722225</v>
          </cell>
          <cell r="AI1166" t="str">
            <v>B00</v>
          </cell>
          <cell r="AJ1166" t="str">
            <v>F</v>
          </cell>
          <cell r="AK1166" t="str">
            <v>--</v>
          </cell>
        </row>
        <row r="1167">
          <cell r="A1167" t="str">
            <v>70001747828521</v>
          </cell>
          <cell r="B1167" t="str">
            <v>BL20230413-2</v>
          </cell>
          <cell r="C1167" t="e">
            <v>#N/A</v>
          </cell>
          <cell r="D1167" t="str">
            <v>EK65</v>
          </cell>
          <cell r="E1167" t="str">
            <v>706864</v>
          </cell>
          <cell r="F1167" t="str">
            <v>E</v>
          </cell>
          <cell r="G1167" t="str">
            <v>70001747</v>
          </cell>
          <cell r="H1167" t="str">
            <v>PLATE</v>
          </cell>
          <cell r="I1167">
            <v>90</v>
          </cell>
          <cell r="J1167" t="str">
            <v>Stk</v>
          </cell>
          <cell r="K1167">
            <v>45070</v>
          </cell>
          <cell r="L1167" t="str">
            <v>828521</v>
          </cell>
          <cell r="M1167" t="str">
            <v/>
          </cell>
          <cell r="N1167" t="str">
            <v/>
          </cell>
          <cell r="O1167" t="str">
            <v/>
          </cell>
          <cell r="P1167" t="str">
            <v/>
          </cell>
          <cell r="Q1167" t="str">
            <v/>
          </cell>
          <cell r="R1167" t="str">
            <v/>
          </cell>
          <cell r="S1167" t="str">
            <v/>
          </cell>
          <cell r="T1167" t="str">
            <v/>
          </cell>
          <cell r="U1167" t="str">
            <v>BB20034410028</v>
          </cell>
          <cell r="V1167" t="str">
            <v>B00</v>
          </cell>
          <cell r="W1167" t="str">
            <v/>
          </cell>
          <cell r="X1167" t="str">
            <v/>
          </cell>
          <cell r="Y1167" t="str">
            <v/>
          </cell>
          <cell r="Z1167" t="str">
            <v/>
          </cell>
          <cell r="AA1167" t="str">
            <v/>
          </cell>
          <cell r="AB1167" t="str">
            <v>70001747</v>
          </cell>
          <cell r="AC1167">
            <v>1</v>
          </cell>
          <cell r="AD1167" t="str">
            <v/>
          </cell>
          <cell r="AE1167">
            <v>0</v>
          </cell>
          <cell r="AF1167" t="str">
            <v/>
          </cell>
          <cell r="AG1167" t="str">
            <v>70001747</v>
          </cell>
          <cell r="AH1167">
            <v>44961.010046296295</v>
          </cell>
          <cell r="AI1167" t="str">
            <v>B00</v>
          </cell>
          <cell r="AJ1167" t="str">
            <v>F</v>
          </cell>
          <cell r="AK1167" t="str">
            <v>--</v>
          </cell>
        </row>
        <row r="1168">
          <cell r="A1168" t="str">
            <v>70001748828521</v>
          </cell>
          <cell r="B1168" t="str">
            <v>BL20230413-2</v>
          </cell>
          <cell r="C1168" t="e">
            <v>#N/A</v>
          </cell>
          <cell r="D1168" t="str">
            <v>EK65</v>
          </cell>
          <cell r="E1168" t="str">
            <v>706865</v>
          </cell>
          <cell r="F1168" t="str">
            <v>E</v>
          </cell>
          <cell r="G1168" t="str">
            <v>70001748</v>
          </cell>
          <cell r="H1168" t="str">
            <v>PLATE</v>
          </cell>
          <cell r="I1168">
            <v>90</v>
          </cell>
          <cell r="J1168" t="str">
            <v>Stk</v>
          </cell>
          <cell r="K1168">
            <v>45070</v>
          </cell>
          <cell r="L1168" t="str">
            <v>828521</v>
          </cell>
          <cell r="M1168" t="str">
            <v/>
          </cell>
          <cell r="N1168" t="str">
            <v/>
          </cell>
          <cell r="O1168" t="str">
            <v/>
          </cell>
          <cell r="P1168" t="str">
            <v/>
          </cell>
          <cell r="Q1168" t="str">
            <v/>
          </cell>
          <cell r="R1168" t="str">
            <v/>
          </cell>
          <cell r="S1168" t="str">
            <v/>
          </cell>
          <cell r="T1168" t="str">
            <v/>
          </cell>
          <cell r="U1168" t="str">
            <v>BB20034410027</v>
          </cell>
          <cell r="V1168" t="str">
            <v>B00</v>
          </cell>
          <cell r="W1168" t="str">
            <v/>
          </cell>
          <cell r="X1168" t="str">
            <v/>
          </cell>
          <cell r="Y1168" t="str">
            <v/>
          </cell>
          <cell r="Z1168" t="str">
            <v/>
          </cell>
          <cell r="AA1168" t="str">
            <v/>
          </cell>
          <cell r="AB1168" t="str">
            <v>70001748</v>
          </cell>
          <cell r="AC1168">
            <v>1</v>
          </cell>
          <cell r="AD1168" t="str">
            <v/>
          </cell>
          <cell r="AE1168">
            <v>0</v>
          </cell>
          <cell r="AF1168" t="str">
            <v/>
          </cell>
          <cell r="AG1168" t="str">
            <v>70001748</v>
          </cell>
          <cell r="AH1168">
            <v>44961.010069444441</v>
          </cell>
          <cell r="AI1168" t="str">
            <v>B00</v>
          </cell>
          <cell r="AJ1168" t="str">
            <v>F</v>
          </cell>
          <cell r="AK1168" t="str">
            <v>--</v>
          </cell>
        </row>
        <row r="1169">
          <cell r="A1169" t="str">
            <v>12506397829053</v>
          </cell>
          <cell r="B1169" t="e">
            <v>#N/A</v>
          </cell>
          <cell r="C1169" t="e">
            <v>#N/A</v>
          </cell>
          <cell r="D1169" t="str">
            <v>EK65</v>
          </cell>
          <cell r="E1169" t="str">
            <v>700274</v>
          </cell>
          <cell r="F1169" t="str">
            <v>E</v>
          </cell>
          <cell r="G1169" t="str">
            <v>12506397</v>
          </cell>
          <cell r="H1169" t="str">
            <v>Tragblech kpl.</v>
          </cell>
          <cell r="I1169">
            <v>23</v>
          </cell>
          <cell r="J1169" t="str">
            <v>Stk</v>
          </cell>
          <cell r="K1169">
            <v>45114</v>
          </cell>
          <cell r="L1169" t="str">
            <v>829053</v>
          </cell>
          <cell r="M1169" t="str">
            <v/>
          </cell>
          <cell r="N1169" t="str">
            <v/>
          </cell>
          <cell r="O1169" t="str">
            <v/>
          </cell>
          <cell r="P1169" t="str">
            <v/>
          </cell>
          <cell r="Q1169" t="str">
            <v/>
          </cell>
          <cell r="R1169" t="str">
            <v/>
          </cell>
          <cell r="S1169" t="str">
            <v/>
          </cell>
          <cell r="T1169" t="str">
            <v/>
          </cell>
          <cell r="U1169" t="str">
            <v/>
          </cell>
          <cell r="V1169" t="str">
            <v>N38</v>
          </cell>
          <cell r="W1169" t="str">
            <v/>
          </cell>
          <cell r="X1169" t="str">
            <v/>
          </cell>
          <cell r="Y1169" t="str">
            <v/>
          </cell>
          <cell r="Z1169" t="str">
            <v/>
          </cell>
          <cell r="AA1169" t="str">
            <v/>
          </cell>
          <cell r="AB1169" t="str">
            <v>PA_2343649-TA.7005-3</v>
          </cell>
          <cell r="AC1169">
            <v>1</v>
          </cell>
          <cell r="AD1169" t="str">
            <v/>
          </cell>
          <cell r="AE1169">
            <v>0</v>
          </cell>
          <cell r="AF1169" t="str">
            <v/>
          </cell>
          <cell r="AG1169" t="str">
            <v>12506397</v>
          </cell>
          <cell r="AH1169">
            <v>44945.886469907404</v>
          </cell>
          <cell r="AI1169" t="str">
            <v>N38</v>
          </cell>
          <cell r="AJ1169" t="str">
            <v>F</v>
          </cell>
          <cell r="AK1169" t="str">
            <v/>
          </cell>
        </row>
        <row r="1170">
          <cell r="A1170" t="str">
            <v>12506429829051</v>
          </cell>
          <cell r="B1170" t="str">
            <v>Übergabe Task Force</v>
          </cell>
          <cell r="C1170" t="e">
            <v>#N/A</v>
          </cell>
          <cell r="D1170" t="str">
            <v>EK65</v>
          </cell>
          <cell r="E1170" t="str">
            <v>700276</v>
          </cell>
          <cell r="F1170" t="str">
            <v>E</v>
          </cell>
          <cell r="G1170" t="str">
            <v>12506429</v>
          </cell>
          <cell r="H1170" t="str">
            <v>Klemmleistenblech kpl.</v>
          </cell>
          <cell r="I1170">
            <v>52</v>
          </cell>
          <cell r="J1170" t="str">
            <v>Stk</v>
          </cell>
          <cell r="K1170">
            <v>45156</v>
          </cell>
          <cell r="L1170" t="str">
            <v>829051</v>
          </cell>
          <cell r="M1170" t="str">
            <v/>
          </cell>
          <cell r="N1170" t="str">
            <v/>
          </cell>
          <cell r="O1170" t="str">
            <v/>
          </cell>
          <cell r="P1170" t="str">
            <v/>
          </cell>
          <cell r="Q1170" t="str">
            <v/>
          </cell>
          <cell r="R1170" t="str">
            <v/>
          </cell>
          <cell r="S1170" t="str">
            <v/>
          </cell>
          <cell r="T1170" t="str">
            <v/>
          </cell>
          <cell r="U1170" t="str">
            <v/>
          </cell>
          <cell r="V1170" t="str">
            <v>N38</v>
          </cell>
          <cell r="W1170" t="str">
            <v/>
          </cell>
          <cell r="X1170" t="str">
            <v/>
          </cell>
          <cell r="Y1170" t="str">
            <v/>
          </cell>
          <cell r="Z1170" t="str">
            <v/>
          </cell>
          <cell r="AA1170" t="str">
            <v/>
          </cell>
          <cell r="AB1170" t="str">
            <v>PA_4486156-TA.7005-4</v>
          </cell>
          <cell r="AC1170">
            <v>1</v>
          </cell>
          <cell r="AD1170" t="str">
            <v/>
          </cell>
          <cell r="AE1170">
            <v>0</v>
          </cell>
          <cell r="AF1170" t="str">
            <v/>
          </cell>
          <cell r="AG1170" t="str">
            <v>12506429</v>
          </cell>
          <cell r="AH1170">
            <v>44945.886493055557</v>
          </cell>
          <cell r="AI1170" t="str">
            <v>N38</v>
          </cell>
          <cell r="AJ1170" t="str">
            <v>F</v>
          </cell>
          <cell r="AK1170" t="str">
            <v/>
          </cell>
        </row>
        <row r="1171">
          <cell r="A1171" t="str">
            <v>12557392829051</v>
          </cell>
          <cell r="B1171" t="e">
            <v>#N/A</v>
          </cell>
          <cell r="C1171" t="e">
            <v>#N/A</v>
          </cell>
          <cell r="D1171" t="str">
            <v>EK65</v>
          </cell>
          <cell r="E1171" t="str">
            <v>700281</v>
          </cell>
          <cell r="F1171" t="str">
            <v>E</v>
          </cell>
          <cell r="G1171" t="str">
            <v>12557392</v>
          </cell>
          <cell r="H1171" t="str">
            <v>Halter vollst.</v>
          </cell>
          <cell r="I1171">
            <v>49</v>
          </cell>
          <cell r="J1171" t="str">
            <v>Stk</v>
          </cell>
          <cell r="K1171">
            <v>45294</v>
          </cell>
          <cell r="L1171" t="str">
            <v>829051</v>
          </cell>
          <cell r="M1171" t="str">
            <v/>
          </cell>
          <cell r="N1171" t="str">
            <v/>
          </cell>
          <cell r="O1171" t="str">
            <v/>
          </cell>
          <cell r="P1171" t="str">
            <v/>
          </cell>
          <cell r="Q1171" t="str">
            <v/>
          </cell>
          <cell r="R1171" t="str">
            <v/>
          </cell>
          <cell r="S1171" t="str">
            <v/>
          </cell>
          <cell r="T1171" t="str">
            <v/>
          </cell>
          <cell r="U1171" t="str">
            <v/>
          </cell>
          <cell r="V1171" t="str">
            <v>N38</v>
          </cell>
          <cell r="W1171" t="str">
            <v/>
          </cell>
          <cell r="X1171" t="str">
            <v/>
          </cell>
          <cell r="Y1171" t="str">
            <v/>
          </cell>
          <cell r="Z1171" t="str">
            <v/>
          </cell>
          <cell r="AA1171" t="str">
            <v/>
          </cell>
          <cell r="AB1171" t="str">
            <v>PA_4606841-UA.7004-3</v>
          </cell>
          <cell r="AC1171">
            <v>1</v>
          </cell>
          <cell r="AD1171" t="str">
            <v/>
          </cell>
          <cell r="AE1171">
            <v>0</v>
          </cell>
          <cell r="AF1171" t="str">
            <v/>
          </cell>
          <cell r="AG1171" t="str">
            <v>12557392</v>
          </cell>
          <cell r="AH1171">
            <v>44945.89166666667</v>
          </cell>
          <cell r="AI1171" t="str">
            <v>N38</v>
          </cell>
          <cell r="AJ1171" t="str">
            <v>F</v>
          </cell>
          <cell r="AK1171" t="str">
            <v/>
          </cell>
        </row>
        <row r="1172">
          <cell r="A1172" t="str">
            <v>1395490</v>
          </cell>
          <cell r="B1172" t="str">
            <v>BL20230413-2</v>
          </cell>
          <cell r="C1172" t="e">
            <v>#N/A</v>
          </cell>
          <cell r="D1172" t="str">
            <v>EK65</v>
          </cell>
          <cell r="E1172" t="str">
            <v>700287</v>
          </cell>
          <cell r="F1172" t="str">
            <v>B</v>
          </cell>
          <cell r="G1172" t="str">
            <v>1395490</v>
          </cell>
          <cell r="H1172" t="str">
            <v>Distanzstueck</v>
          </cell>
          <cell r="I1172">
            <v>122</v>
          </cell>
          <cell r="J1172" t="str">
            <v>Stk</v>
          </cell>
          <cell r="K1172">
            <v>44946</v>
          </cell>
          <cell r="L1172" t="str">
            <v/>
          </cell>
          <cell r="M1172" t="str">
            <v/>
          </cell>
          <cell r="N1172" t="str">
            <v/>
          </cell>
          <cell r="O1172" t="str">
            <v/>
          </cell>
          <cell r="P1172" t="str">
            <v/>
          </cell>
          <cell r="Q1172" t="str">
            <v/>
          </cell>
          <cell r="R1172" t="str">
            <v/>
          </cell>
          <cell r="S1172" t="str">
            <v/>
          </cell>
          <cell r="T1172" t="str">
            <v/>
          </cell>
          <cell r="U1172" t="str">
            <v/>
          </cell>
          <cell r="V1172" t="str">
            <v>N52</v>
          </cell>
          <cell r="W1172" t="str">
            <v/>
          </cell>
          <cell r="X1172" t="str">
            <v/>
          </cell>
          <cell r="Y1172" t="str">
            <v/>
          </cell>
          <cell r="Z1172" t="str">
            <v/>
          </cell>
          <cell r="AA1172" t="str">
            <v/>
          </cell>
          <cell r="AB1172" t="str">
            <v>PA_2316689-CC.3044-4P.2</v>
          </cell>
          <cell r="AC1172">
            <v>1</v>
          </cell>
          <cell r="AD1172" t="str">
            <v/>
          </cell>
          <cell r="AE1172">
            <v>0</v>
          </cell>
          <cell r="AF1172" t="str">
            <v/>
          </cell>
          <cell r="AG1172" t="str">
            <v>1395490</v>
          </cell>
          <cell r="AH1172">
            <v>44945.894999999997</v>
          </cell>
          <cell r="AI1172" t="str">
            <v>N52</v>
          </cell>
          <cell r="AJ1172" t="str">
            <v>F</v>
          </cell>
          <cell r="AK1172" t="str">
            <v/>
          </cell>
        </row>
        <row r="1173">
          <cell r="A1173" t="str">
            <v>1860470820541</v>
          </cell>
          <cell r="B1173" t="str">
            <v>BL20230413-2</v>
          </cell>
          <cell r="C1173" t="e">
            <v>#N/A</v>
          </cell>
          <cell r="D1173" t="str">
            <v>EK65</v>
          </cell>
          <cell r="E1173" t="str">
            <v>700426</v>
          </cell>
          <cell r="F1173" t="str">
            <v>E</v>
          </cell>
          <cell r="G1173" t="str">
            <v>1860470</v>
          </cell>
          <cell r="H1173" t="str">
            <v>Doppelklemmbuchse</v>
          </cell>
          <cell r="I1173">
            <v>176</v>
          </cell>
          <cell r="J1173" t="str">
            <v>Stk</v>
          </cell>
          <cell r="K1173">
            <v>45175</v>
          </cell>
          <cell r="L1173" t="str">
            <v>820541</v>
          </cell>
          <cell r="M1173" t="str">
            <v/>
          </cell>
          <cell r="N1173" t="str">
            <v/>
          </cell>
          <cell r="O1173" t="str">
            <v/>
          </cell>
          <cell r="P1173" t="str">
            <v/>
          </cell>
          <cell r="Q1173" t="str">
            <v/>
          </cell>
          <cell r="R1173" t="str">
            <v/>
          </cell>
          <cell r="S1173" t="str">
            <v/>
          </cell>
          <cell r="T1173" t="str">
            <v/>
          </cell>
          <cell r="U1173" t="str">
            <v/>
          </cell>
          <cell r="V1173" t="str">
            <v>N38</v>
          </cell>
          <cell r="W1173" t="str">
            <v/>
          </cell>
          <cell r="X1173" t="str">
            <v/>
          </cell>
          <cell r="Y1173" t="str">
            <v/>
          </cell>
          <cell r="Z1173" t="str">
            <v/>
          </cell>
          <cell r="AA1173" t="str">
            <v/>
          </cell>
          <cell r="AB1173" t="str">
            <v>PA_4258948-UA.3044-3</v>
          </cell>
          <cell r="AC1173">
            <v>1</v>
          </cell>
          <cell r="AD1173" t="str">
            <v/>
          </cell>
          <cell r="AE1173">
            <v>0</v>
          </cell>
          <cell r="AF1173" t="str">
            <v/>
          </cell>
          <cell r="AG1173" t="str">
            <v>1860470</v>
          </cell>
          <cell r="AH1173">
            <v>44945.925486111111</v>
          </cell>
          <cell r="AI1173" t="str">
            <v>N38</v>
          </cell>
          <cell r="AJ1173" t="str">
            <v>F</v>
          </cell>
          <cell r="AK1173" t="str">
            <v/>
          </cell>
        </row>
        <row r="1174">
          <cell r="A1174" t="str">
            <v>6036703820541</v>
          </cell>
          <cell r="B1174" t="str">
            <v>BL20230413-2</v>
          </cell>
          <cell r="C1174" t="e">
            <v>#N/A</v>
          </cell>
          <cell r="D1174" t="str">
            <v>EK65</v>
          </cell>
          <cell r="E1174" t="str">
            <v>700443</v>
          </cell>
          <cell r="F1174" t="str">
            <v>E</v>
          </cell>
          <cell r="G1174" t="str">
            <v>6036703</v>
          </cell>
          <cell r="H1174" t="str">
            <v>KLEMMBUCHSE ID12.5 AD35 H40</v>
          </cell>
          <cell r="I1174">
            <v>352</v>
          </cell>
          <cell r="J1174" t="str">
            <v>Stk</v>
          </cell>
          <cell r="K1174">
            <v>45175</v>
          </cell>
          <cell r="L1174" t="str">
            <v>820541</v>
          </cell>
          <cell r="M1174" t="str">
            <v/>
          </cell>
          <cell r="N1174" t="str">
            <v/>
          </cell>
          <cell r="O1174" t="str">
            <v/>
          </cell>
          <cell r="P1174" t="str">
            <v/>
          </cell>
          <cell r="Q1174" t="str">
            <v/>
          </cell>
          <cell r="R1174" t="str">
            <v/>
          </cell>
          <cell r="S1174" t="str">
            <v/>
          </cell>
          <cell r="T1174" t="str">
            <v/>
          </cell>
          <cell r="U1174" t="str">
            <v/>
          </cell>
          <cell r="V1174" t="str">
            <v>N52</v>
          </cell>
          <cell r="W1174" t="str">
            <v>3.1</v>
          </cell>
          <cell r="X1174" t="str">
            <v/>
          </cell>
          <cell r="Y1174" t="str">
            <v/>
          </cell>
          <cell r="Z1174" t="str">
            <v/>
          </cell>
          <cell r="AA1174" t="str">
            <v/>
          </cell>
          <cell r="AB1174" t="str">
            <v>PA_2049626-CF.7000-3</v>
          </cell>
          <cell r="AC1174">
            <v>1</v>
          </cell>
          <cell r="AD1174" t="str">
            <v/>
          </cell>
          <cell r="AE1174">
            <v>0</v>
          </cell>
          <cell r="AF1174" t="str">
            <v/>
          </cell>
          <cell r="AG1174" t="str">
            <v>6036703</v>
          </cell>
          <cell r="AH1174">
            <v>44945.929606481484</v>
          </cell>
          <cell r="AI1174" t="str">
            <v>N52</v>
          </cell>
          <cell r="AJ1174" t="str">
            <v>F</v>
          </cell>
          <cell r="AK1174" t="str">
            <v/>
          </cell>
        </row>
        <row r="1175">
          <cell r="A1175" t="str">
            <v>70001752828521</v>
          </cell>
          <cell r="B1175" t="str">
            <v>BL20230418-1</v>
          </cell>
          <cell r="C1175" t="e">
            <v>#N/A</v>
          </cell>
          <cell r="D1175" t="str">
            <v>EK65</v>
          </cell>
          <cell r="E1175" t="str">
            <v>706866</v>
          </cell>
          <cell r="F1175" t="str">
            <v>E</v>
          </cell>
          <cell r="G1175" t="str">
            <v>70001752</v>
          </cell>
          <cell r="H1175" t="str">
            <v>BRACKET</v>
          </cell>
          <cell r="I1175">
            <v>1080</v>
          </cell>
          <cell r="J1175" t="str">
            <v>Stk</v>
          </cell>
          <cell r="K1175">
            <v>45070</v>
          </cell>
          <cell r="L1175" t="str">
            <v>828521</v>
          </cell>
          <cell r="M1175" t="str">
            <v/>
          </cell>
          <cell r="N1175" t="str">
            <v/>
          </cell>
          <cell r="O1175" t="str">
            <v/>
          </cell>
          <cell r="P1175" t="str">
            <v/>
          </cell>
          <cell r="Q1175" t="str">
            <v/>
          </cell>
          <cell r="R1175" t="str">
            <v/>
          </cell>
          <cell r="S1175" t="str">
            <v/>
          </cell>
          <cell r="T1175" t="str">
            <v/>
          </cell>
          <cell r="U1175" t="str">
            <v>BB20034415001</v>
          </cell>
          <cell r="V1175" t="str">
            <v>B00</v>
          </cell>
          <cell r="W1175" t="str">
            <v/>
          </cell>
          <cell r="X1175" t="str">
            <v/>
          </cell>
          <cell r="Y1175" t="str">
            <v/>
          </cell>
          <cell r="Z1175" t="str">
            <v/>
          </cell>
          <cell r="AA1175" t="str">
            <v/>
          </cell>
          <cell r="AB1175" t="str">
            <v>70001752</v>
          </cell>
          <cell r="AC1175">
            <v>1</v>
          </cell>
          <cell r="AD1175" t="str">
            <v/>
          </cell>
          <cell r="AE1175">
            <v>0</v>
          </cell>
          <cell r="AF1175" t="str">
            <v/>
          </cell>
          <cell r="AG1175" t="str">
            <v>70001752</v>
          </cell>
          <cell r="AH1175">
            <v>44961.010127314818</v>
          </cell>
          <cell r="AI1175" t="str">
            <v>B00</v>
          </cell>
          <cell r="AJ1175" t="str">
            <v>F</v>
          </cell>
          <cell r="AK1175" t="str">
            <v>--</v>
          </cell>
        </row>
        <row r="1176">
          <cell r="A1176" t="str">
            <v>70001753828521</v>
          </cell>
          <cell r="B1176" t="str">
            <v>BL20230418-1</v>
          </cell>
          <cell r="C1176" t="e">
            <v>#N/A</v>
          </cell>
          <cell r="D1176" t="str">
            <v>EK65</v>
          </cell>
          <cell r="E1176" t="str">
            <v>706867</v>
          </cell>
          <cell r="F1176" t="str">
            <v>E</v>
          </cell>
          <cell r="G1176" t="str">
            <v>70001753</v>
          </cell>
          <cell r="H1176" t="str">
            <v>BRACKET</v>
          </cell>
          <cell r="I1176">
            <v>90</v>
          </cell>
          <cell r="J1176" t="str">
            <v>Stk</v>
          </cell>
          <cell r="K1176">
            <v>45070</v>
          </cell>
          <cell r="L1176" t="str">
            <v>828521</v>
          </cell>
          <cell r="M1176" t="str">
            <v/>
          </cell>
          <cell r="N1176" t="str">
            <v/>
          </cell>
          <cell r="O1176" t="str">
            <v/>
          </cell>
          <cell r="P1176" t="str">
            <v/>
          </cell>
          <cell r="Q1176" t="str">
            <v/>
          </cell>
          <cell r="R1176" t="str">
            <v/>
          </cell>
          <cell r="S1176" t="str">
            <v/>
          </cell>
          <cell r="T1176" t="str">
            <v/>
          </cell>
          <cell r="U1176" t="str">
            <v>BB20034415003</v>
          </cell>
          <cell r="V1176" t="str">
            <v>B00</v>
          </cell>
          <cell r="W1176" t="str">
            <v/>
          </cell>
          <cell r="X1176" t="str">
            <v/>
          </cell>
          <cell r="Y1176" t="str">
            <v/>
          </cell>
          <cell r="Z1176" t="str">
            <v/>
          </cell>
          <cell r="AA1176" t="str">
            <v/>
          </cell>
          <cell r="AB1176" t="str">
            <v>70001753</v>
          </cell>
          <cell r="AC1176">
            <v>1</v>
          </cell>
          <cell r="AD1176" t="str">
            <v/>
          </cell>
          <cell r="AE1176">
            <v>0</v>
          </cell>
          <cell r="AF1176" t="str">
            <v/>
          </cell>
          <cell r="AG1176" t="str">
            <v>70001753</v>
          </cell>
          <cell r="AH1176">
            <v>44961.010138888887</v>
          </cell>
          <cell r="AI1176" t="str">
            <v>B00</v>
          </cell>
          <cell r="AJ1176" t="str">
            <v>F</v>
          </cell>
          <cell r="AK1176" t="str">
            <v>--</v>
          </cell>
        </row>
        <row r="1177">
          <cell r="A1177" t="str">
            <v>70001754828521</v>
          </cell>
          <cell r="B1177" t="str">
            <v>BL20230418-1</v>
          </cell>
          <cell r="C1177" t="e">
            <v>#N/A</v>
          </cell>
          <cell r="D1177" t="str">
            <v>EK65</v>
          </cell>
          <cell r="E1177" t="str">
            <v>706868</v>
          </cell>
          <cell r="F1177" t="str">
            <v>E</v>
          </cell>
          <cell r="G1177" t="str">
            <v>70001754</v>
          </cell>
          <cell r="H1177" t="str">
            <v>PLATE</v>
          </cell>
          <cell r="I1177">
            <v>90</v>
          </cell>
          <cell r="J1177" t="str">
            <v>Stk</v>
          </cell>
          <cell r="K1177">
            <v>45070</v>
          </cell>
          <cell r="L1177" t="str">
            <v>828521</v>
          </cell>
          <cell r="M1177" t="str">
            <v/>
          </cell>
          <cell r="N1177" t="str">
            <v/>
          </cell>
          <cell r="O1177" t="str">
            <v/>
          </cell>
          <cell r="P1177" t="str">
            <v/>
          </cell>
          <cell r="Q1177" t="str">
            <v>AW 5083 H111</v>
          </cell>
          <cell r="R1177" t="str">
            <v>EN 485</v>
          </cell>
          <cell r="S1177" t="str">
            <v/>
          </cell>
          <cell r="T1177" t="str">
            <v/>
          </cell>
          <cell r="U1177" t="str">
            <v>BB20034410040</v>
          </cell>
          <cell r="V1177" t="str">
            <v>B00</v>
          </cell>
          <cell r="W1177" t="str">
            <v/>
          </cell>
          <cell r="X1177" t="str">
            <v/>
          </cell>
          <cell r="Y1177" t="str">
            <v/>
          </cell>
          <cell r="Z1177" t="str">
            <v/>
          </cell>
          <cell r="AA1177" t="str">
            <v/>
          </cell>
          <cell r="AB1177" t="str">
            <v>70001754</v>
          </cell>
          <cell r="AC1177">
            <v>1</v>
          </cell>
          <cell r="AD1177" t="str">
            <v/>
          </cell>
          <cell r="AE1177">
            <v>0</v>
          </cell>
          <cell r="AF1177" t="str">
            <v/>
          </cell>
          <cell r="AG1177" t="str">
            <v>70001754</v>
          </cell>
          <cell r="AH1177">
            <v>44961.010150462964</v>
          </cell>
          <cell r="AI1177" t="str">
            <v>B00</v>
          </cell>
          <cell r="AJ1177" t="str">
            <v>F</v>
          </cell>
          <cell r="AK1177" t="str">
            <v>B0</v>
          </cell>
        </row>
        <row r="1178">
          <cell r="A1178" t="str">
            <v>70001756828521</v>
          </cell>
          <cell r="B1178" t="str">
            <v>BL20230418-1</v>
          </cell>
          <cell r="C1178" t="e">
            <v>#N/A</v>
          </cell>
          <cell r="D1178" t="str">
            <v>EK65</v>
          </cell>
          <cell r="E1178" t="str">
            <v>706869</v>
          </cell>
          <cell r="F1178" t="str">
            <v>E</v>
          </cell>
          <cell r="G1178" t="str">
            <v>70001756</v>
          </cell>
          <cell r="H1178" t="str">
            <v>BRACKET</v>
          </cell>
          <cell r="I1178">
            <v>90</v>
          </cell>
          <cell r="J1178" t="str">
            <v>Stk</v>
          </cell>
          <cell r="K1178">
            <v>45070</v>
          </cell>
          <cell r="L1178" t="str">
            <v>828521</v>
          </cell>
          <cell r="M1178" t="str">
            <v/>
          </cell>
          <cell r="N1178" t="str">
            <v/>
          </cell>
          <cell r="O1178" t="str">
            <v/>
          </cell>
          <cell r="P1178" t="str">
            <v/>
          </cell>
          <cell r="Q1178" t="str">
            <v/>
          </cell>
          <cell r="R1178" t="str">
            <v/>
          </cell>
          <cell r="S1178" t="str">
            <v/>
          </cell>
          <cell r="T1178" t="str">
            <v/>
          </cell>
          <cell r="U1178" t="str">
            <v>BB20034415007</v>
          </cell>
          <cell r="V1178" t="str">
            <v>B00</v>
          </cell>
          <cell r="W1178" t="str">
            <v/>
          </cell>
          <cell r="X1178" t="str">
            <v/>
          </cell>
          <cell r="Y1178" t="str">
            <v/>
          </cell>
          <cell r="Z1178" t="str">
            <v/>
          </cell>
          <cell r="AA1178" t="str">
            <v/>
          </cell>
          <cell r="AB1178" t="str">
            <v>70001756</v>
          </cell>
          <cell r="AC1178">
            <v>1</v>
          </cell>
          <cell r="AD1178" t="str">
            <v/>
          </cell>
          <cell r="AE1178">
            <v>0</v>
          </cell>
          <cell r="AF1178" t="str">
            <v/>
          </cell>
          <cell r="AG1178" t="str">
            <v>70001756</v>
          </cell>
          <cell r="AH1178">
            <v>44961.01017361111</v>
          </cell>
          <cell r="AI1178" t="str">
            <v>B00</v>
          </cell>
          <cell r="AJ1178" t="str">
            <v>F</v>
          </cell>
          <cell r="AK1178" t="str">
            <v>--</v>
          </cell>
        </row>
        <row r="1179">
          <cell r="A1179" t="str">
            <v>70000397828521</v>
          </cell>
          <cell r="B1179" t="str">
            <v>BL20230418-1</v>
          </cell>
          <cell r="C1179" t="e">
            <v>#N/A</v>
          </cell>
          <cell r="D1179" t="str">
            <v>EK65</v>
          </cell>
          <cell r="E1179" t="str">
            <v>706710</v>
          </cell>
          <cell r="F1179" t="str">
            <v>E</v>
          </cell>
          <cell r="G1179" t="str">
            <v>70000397</v>
          </cell>
          <cell r="H1179" t="str">
            <v>BRACKET ASSEMBLY</v>
          </cell>
          <cell r="I1179">
            <v>90</v>
          </cell>
          <cell r="J1179" t="str">
            <v>Stk</v>
          </cell>
          <cell r="K1179">
            <v>45071</v>
          </cell>
          <cell r="L1179" t="str">
            <v>828521</v>
          </cell>
          <cell r="M1179" t="str">
            <v/>
          </cell>
          <cell r="N1179" t="str">
            <v/>
          </cell>
          <cell r="O1179" t="str">
            <v/>
          </cell>
          <cell r="P1179" t="str">
            <v/>
          </cell>
          <cell r="Q1179" t="str">
            <v/>
          </cell>
          <cell r="R1179" t="str">
            <v/>
          </cell>
          <cell r="S1179" t="str">
            <v/>
          </cell>
          <cell r="T1179" t="str">
            <v/>
          </cell>
          <cell r="U1179" t="str">
            <v>BB20034430300</v>
          </cell>
          <cell r="V1179" t="str">
            <v>B00</v>
          </cell>
          <cell r="W1179" t="str">
            <v/>
          </cell>
          <cell r="X1179" t="str">
            <v/>
          </cell>
          <cell r="Y1179" t="str">
            <v/>
          </cell>
          <cell r="Z1179" t="str">
            <v/>
          </cell>
          <cell r="AA1179" t="str">
            <v/>
          </cell>
          <cell r="AB1179" t="str">
            <v>70000397</v>
          </cell>
          <cell r="AC1179">
            <v>1</v>
          </cell>
          <cell r="AD1179" t="str">
            <v/>
          </cell>
          <cell r="AE1179">
            <v>0</v>
          </cell>
          <cell r="AF1179" t="str">
            <v/>
          </cell>
          <cell r="AG1179" t="str">
            <v>70000397</v>
          </cell>
          <cell r="AH1179">
            <v>44960.993784722225</v>
          </cell>
          <cell r="AI1179" t="str">
            <v>B00</v>
          </cell>
          <cell r="AJ1179" t="str">
            <v>F</v>
          </cell>
          <cell r="AK1179" t="str">
            <v>--</v>
          </cell>
        </row>
        <row r="1180">
          <cell r="A1180" t="str">
            <v>70000398828521</v>
          </cell>
          <cell r="B1180" t="str">
            <v>BL20230418-1</v>
          </cell>
          <cell r="C1180" t="e">
            <v>#N/A</v>
          </cell>
          <cell r="D1180" t="str">
            <v>EK65</v>
          </cell>
          <cell r="E1180" t="str">
            <v>706711</v>
          </cell>
          <cell r="F1180" t="str">
            <v>E</v>
          </cell>
          <cell r="G1180" t="str">
            <v>70000398</v>
          </cell>
          <cell r="H1180" t="str">
            <v>BRACKET ASSEMBLY</v>
          </cell>
          <cell r="I1180">
            <v>90</v>
          </cell>
          <cell r="J1180" t="str">
            <v>Stk</v>
          </cell>
          <cell r="K1180">
            <v>45071</v>
          </cell>
          <cell r="L1180" t="str">
            <v>828521</v>
          </cell>
          <cell r="M1180" t="str">
            <v/>
          </cell>
          <cell r="N1180" t="str">
            <v/>
          </cell>
          <cell r="O1180" t="str">
            <v/>
          </cell>
          <cell r="P1180" t="str">
            <v/>
          </cell>
          <cell r="Q1180" t="str">
            <v/>
          </cell>
          <cell r="R1180" t="str">
            <v/>
          </cell>
          <cell r="S1180" t="str">
            <v/>
          </cell>
          <cell r="T1180" t="str">
            <v/>
          </cell>
          <cell r="U1180" t="str">
            <v>BB20034430400</v>
          </cell>
          <cell r="V1180" t="str">
            <v>B00</v>
          </cell>
          <cell r="W1180" t="str">
            <v/>
          </cell>
          <cell r="X1180" t="str">
            <v/>
          </cell>
          <cell r="Y1180" t="str">
            <v/>
          </cell>
          <cell r="Z1180" t="str">
            <v/>
          </cell>
          <cell r="AA1180" t="str">
            <v/>
          </cell>
          <cell r="AB1180" t="str">
            <v>70000398</v>
          </cell>
          <cell r="AC1180">
            <v>1</v>
          </cell>
          <cell r="AD1180" t="str">
            <v/>
          </cell>
          <cell r="AE1180">
            <v>0</v>
          </cell>
          <cell r="AF1180" t="str">
            <v/>
          </cell>
          <cell r="AG1180" t="str">
            <v>70000398</v>
          </cell>
          <cell r="AH1180">
            <v>44960.993796296294</v>
          </cell>
          <cell r="AI1180" t="str">
            <v>B00</v>
          </cell>
          <cell r="AJ1180" t="str">
            <v>F</v>
          </cell>
          <cell r="AK1180" t="str">
            <v>--</v>
          </cell>
        </row>
        <row r="1181">
          <cell r="A1181" t="str">
            <v>12495404829053</v>
          </cell>
          <cell r="B1181" t="e">
            <v>#N/A</v>
          </cell>
          <cell r="C1181" t="e">
            <v>#N/A</v>
          </cell>
          <cell r="D1181" t="str">
            <v>EK65</v>
          </cell>
          <cell r="E1181" t="str">
            <v>700767</v>
          </cell>
          <cell r="F1181" t="str">
            <v>E</v>
          </cell>
          <cell r="G1181" t="str">
            <v>12495404</v>
          </cell>
          <cell r="H1181" t="str">
            <v>Halter vollst.</v>
          </cell>
          <cell r="I1181">
            <v>26</v>
          </cell>
          <cell r="J1181" t="str">
            <v>Stk</v>
          </cell>
          <cell r="K1181">
            <v>45205</v>
          </cell>
          <cell r="L1181" t="str">
            <v>829053</v>
          </cell>
          <cell r="M1181" t="str">
            <v/>
          </cell>
          <cell r="N1181" t="str">
            <v/>
          </cell>
          <cell r="O1181" t="str">
            <v/>
          </cell>
          <cell r="P1181" t="str">
            <v/>
          </cell>
          <cell r="Q1181" t="str">
            <v/>
          </cell>
          <cell r="R1181" t="str">
            <v/>
          </cell>
          <cell r="S1181" t="str">
            <v/>
          </cell>
          <cell r="T1181" t="str">
            <v/>
          </cell>
          <cell r="U1181" t="str">
            <v/>
          </cell>
          <cell r="V1181" t="str">
            <v>N38</v>
          </cell>
          <cell r="W1181" t="str">
            <v/>
          </cell>
          <cell r="X1181" t="str">
            <v/>
          </cell>
          <cell r="Y1181" t="str">
            <v/>
          </cell>
          <cell r="Z1181" t="str">
            <v/>
          </cell>
          <cell r="AA1181" t="str">
            <v/>
          </cell>
          <cell r="AB1181" t="str">
            <v>PA_4333377-LA.7005-3</v>
          </cell>
          <cell r="AC1181">
            <v>1</v>
          </cell>
          <cell r="AD1181" t="str">
            <v/>
          </cell>
          <cell r="AE1181">
            <v>0</v>
          </cell>
          <cell r="AF1181" t="str">
            <v/>
          </cell>
          <cell r="AG1181" t="str">
            <v>12495404</v>
          </cell>
          <cell r="AH1181">
            <v>44945.959131944444</v>
          </cell>
          <cell r="AI1181" t="str">
            <v>N38</v>
          </cell>
          <cell r="AJ1181" t="str">
            <v>F</v>
          </cell>
          <cell r="AK1181" t="str">
            <v/>
          </cell>
        </row>
        <row r="1182">
          <cell r="A1182" t="str">
            <v>12519186829053</v>
          </cell>
          <cell r="B1182" t="e">
            <v>#N/A</v>
          </cell>
          <cell r="C1182" t="e">
            <v>#N/A</v>
          </cell>
          <cell r="D1182" t="str">
            <v>EK65</v>
          </cell>
          <cell r="E1182" t="str">
            <v>700773</v>
          </cell>
          <cell r="F1182" t="str">
            <v>E</v>
          </cell>
          <cell r="G1182" t="str">
            <v>12519186</v>
          </cell>
          <cell r="H1182" t="str">
            <v>Halteblech vollst.</v>
          </cell>
          <cell r="I1182">
            <v>63</v>
          </cell>
          <cell r="J1182" t="str">
            <v>Stk</v>
          </cell>
          <cell r="K1182">
            <v>45167</v>
          </cell>
          <cell r="L1182" t="str">
            <v>829053</v>
          </cell>
          <cell r="M1182" t="str">
            <v/>
          </cell>
          <cell r="N1182" t="str">
            <v/>
          </cell>
          <cell r="O1182" t="str">
            <v/>
          </cell>
          <cell r="P1182" t="str">
            <v/>
          </cell>
          <cell r="Q1182" t="str">
            <v/>
          </cell>
          <cell r="R1182" t="str">
            <v/>
          </cell>
          <cell r="S1182" t="str">
            <v/>
          </cell>
          <cell r="T1182" t="str">
            <v/>
          </cell>
          <cell r="U1182" t="str">
            <v/>
          </cell>
          <cell r="V1182" t="str">
            <v>N38</v>
          </cell>
          <cell r="W1182" t="str">
            <v/>
          </cell>
          <cell r="X1182" t="str">
            <v/>
          </cell>
          <cell r="Y1182" t="str">
            <v/>
          </cell>
          <cell r="Z1182" t="str">
            <v/>
          </cell>
          <cell r="AA1182" t="str">
            <v/>
          </cell>
          <cell r="AB1182" t="str">
            <v>PA_4564812-TA.7005-3</v>
          </cell>
          <cell r="AC1182">
            <v>1</v>
          </cell>
          <cell r="AD1182" t="str">
            <v/>
          </cell>
          <cell r="AE1182">
            <v>0</v>
          </cell>
          <cell r="AF1182" t="str">
            <v/>
          </cell>
          <cell r="AG1182" t="str">
            <v>12519186</v>
          </cell>
          <cell r="AH1182">
            <v>44945.972870370373</v>
          </cell>
          <cell r="AI1182" t="str">
            <v>N38</v>
          </cell>
          <cell r="AJ1182" t="str">
            <v>F</v>
          </cell>
          <cell r="AK1182" t="str">
            <v>A</v>
          </cell>
        </row>
        <row r="1183">
          <cell r="A1183" t="str">
            <v>12527260829053</v>
          </cell>
          <cell r="B1183" t="e">
            <v>#N/A</v>
          </cell>
          <cell r="C1183" t="e">
            <v>#N/A</v>
          </cell>
          <cell r="D1183" t="str">
            <v>EK65</v>
          </cell>
          <cell r="E1183" t="str">
            <v>700774</v>
          </cell>
          <cell r="F1183" t="str">
            <v>E</v>
          </cell>
          <cell r="G1183" t="str">
            <v>12527260</v>
          </cell>
          <cell r="H1183" t="str">
            <v>Halter vollst.</v>
          </cell>
          <cell r="I1183">
            <v>25</v>
          </cell>
          <cell r="J1183" t="str">
            <v>Stk</v>
          </cell>
          <cell r="K1183">
            <v>45211</v>
          </cell>
          <cell r="L1183" t="str">
            <v>829053</v>
          </cell>
          <cell r="M1183" t="str">
            <v/>
          </cell>
          <cell r="N1183" t="str">
            <v/>
          </cell>
          <cell r="O1183" t="str">
            <v/>
          </cell>
          <cell r="P1183" t="str">
            <v/>
          </cell>
          <cell r="Q1183" t="str">
            <v/>
          </cell>
          <cell r="R1183" t="str">
            <v/>
          </cell>
          <cell r="S1183" t="str">
            <v/>
          </cell>
          <cell r="T1183" t="str">
            <v/>
          </cell>
          <cell r="U1183" t="str">
            <v/>
          </cell>
          <cell r="V1183" t="str">
            <v>N38</v>
          </cell>
          <cell r="W1183" t="str">
            <v/>
          </cell>
          <cell r="X1183" t="str">
            <v/>
          </cell>
          <cell r="Y1183" t="str">
            <v/>
          </cell>
          <cell r="Z1183" t="str">
            <v/>
          </cell>
          <cell r="AA1183" t="str">
            <v/>
          </cell>
          <cell r="AB1183" t="str">
            <v>PA_4389872-UA.7005-3</v>
          </cell>
          <cell r="AC1183">
            <v>1</v>
          </cell>
          <cell r="AD1183" t="str">
            <v/>
          </cell>
          <cell r="AE1183">
            <v>0</v>
          </cell>
          <cell r="AF1183" t="str">
            <v/>
          </cell>
          <cell r="AG1183" t="str">
            <v>12527260</v>
          </cell>
          <cell r="AH1183">
            <v>44945.974131944444</v>
          </cell>
          <cell r="AI1183" t="str">
            <v>N38</v>
          </cell>
          <cell r="AJ1183" t="str">
            <v>F</v>
          </cell>
          <cell r="AK1183" t="str">
            <v>A</v>
          </cell>
        </row>
        <row r="1184">
          <cell r="A1184" t="str">
            <v>12527575829053</v>
          </cell>
          <cell r="B1184" t="e">
            <v>#N/A</v>
          </cell>
          <cell r="C1184" t="e">
            <v>#N/A</v>
          </cell>
          <cell r="D1184" t="str">
            <v>EK65</v>
          </cell>
          <cell r="E1184" t="str">
            <v>700775</v>
          </cell>
          <cell r="F1184" t="str">
            <v>E</v>
          </cell>
          <cell r="G1184" t="str">
            <v>12527575</v>
          </cell>
          <cell r="H1184" t="str">
            <v>Halter vollst.</v>
          </cell>
          <cell r="I1184">
            <v>51</v>
          </cell>
          <cell r="J1184" t="str">
            <v>Stk</v>
          </cell>
          <cell r="K1184">
            <v>45196</v>
          </cell>
          <cell r="L1184" t="str">
            <v>829053</v>
          </cell>
          <cell r="M1184" t="str">
            <v/>
          </cell>
          <cell r="N1184" t="str">
            <v/>
          </cell>
          <cell r="O1184" t="str">
            <v/>
          </cell>
          <cell r="P1184" t="str">
            <v/>
          </cell>
          <cell r="Q1184" t="str">
            <v/>
          </cell>
          <cell r="R1184" t="str">
            <v/>
          </cell>
          <cell r="S1184" t="str">
            <v/>
          </cell>
          <cell r="T1184" t="str">
            <v/>
          </cell>
          <cell r="U1184" t="str">
            <v/>
          </cell>
          <cell r="V1184" t="str">
            <v>N38</v>
          </cell>
          <cell r="W1184" t="str">
            <v/>
          </cell>
          <cell r="X1184" t="str">
            <v/>
          </cell>
          <cell r="Y1184" t="str">
            <v/>
          </cell>
          <cell r="Z1184" t="str">
            <v/>
          </cell>
          <cell r="AA1184" t="str">
            <v/>
          </cell>
          <cell r="AB1184" t="str">
            <v>PA_4486659-UA.7005-3</v>
          </cell>
          <cell r="AC1184">
            <v>1</v>
          </cell>
          <cell r="AD1184" t="str">
            <v/>
          </cell>
          <cell r="AE1184">
            <v>0</v>
          </cell>
          <cell r="AF1184" t="str">
            <v/>
          </cell>
          <cell r="AG1184" t="str">
            <v>12527575</v>
          </cell>
          <cell r="AH1184">
            <v>44945.97452546296</v>
          </cell>
          <cell r="AI1184" t="str">
            <v>N38</v>
          </cell>
          <cell r="AJ1184" t="str">
            <v>F</v>
          </cell>
          <cell r="AK1184" t="str">
            <v/>
          </cell>
        </row>
        <row r="1185">
          <cell r="A1185" t="str">
            <v>0418116</v>
          </cell>
          <cell r="B1185" t="e">
            <v>#N/A</v>
          </cell>
          <cell r="C1185" t="e">
            <v>#N/A</v>
          </cell>
          <cell r="D1185" t="str">
            <v>EK65</v>
          </cell>
          <cell r="E1185" t="str">
            <v>700847</v>
          </cell>
          <cell r="F1185" t="str">
            <v>B</v>
          </cell>
          <cell r="G1185" t="str">
            <v>0418116</v>
          </cell>
          <cell r="H1185" t="str">
            <v>Ausgleichsplatte</v>
          </cell>
          <cell r="I1185">
            <v>10</v>
          </cell>
          <cell r="J1185" t="str">
            <v>Stk</v>
          </cell>
          <cell r="K1185">
            <v>44948</v>
          </cell>
          <cell r="L1185" t="str">
            <v/>
          </cell>
          <cell r="M1185" t="str">
            <v/>
          </cell>
          <cell r="N1185" t="str">
            <v/>
          </cell>
          <cell r="O1185" t="str">
            <v/>
          </cell>
          <cell r="P1185" t="str">
            <v/>
          </cell>
          <cell r="Q1185" t="str">
            <v/>
          </cell>
          <cell r="R1185" t="str">
            <v/>
          </cell>
          <cell r="S1185" t="str">
            <v/>
          </cell>
          <cell r="T1185" t="str">
            <v/>
          </cell>
          <cell r="U1185" t="str">
            <v/>
          </cell>
          <cell r="V1185" t="str">
            <v>N32</v>
          </cell>
          <cell r="W1185" t="str">
            <v/>
          </cell>
          <cell r="X1185" t="str">
            <v/>
          </cell>
          <cell r="Y1185" t="str">
            <v/>
          </cell>
          <cell r="Z1185" t="str">
            <v/>
          </cell>
          <cell r="AA1185" t="str">
            <v/>
          </cell>
          <cell r="AB1185" t="str">
            <v>PA_2186430-BG.7500-3P.4</v>
          </cell>
          <cell r="AC1185">
            <v>4</v>
          </cell>
          <cell r="AD1185" t="str">
            <v/>
          </cell>
          <cell r="AE1185">
            <v>0</v>
          </cell>
          <cell r="AF1185" t="str">
            <v/>
          </cell>
          <cell r="AG1185" t="str">
            <v>0418116</v>
          </cell>
          <cell r="AH1185">
            <v>44946.834016203706</v>
          </cell>
          <cell r="AI1185" t="str">
            <v>N32</v>
          </cell>
          <cell r="AJ1185" t="str">
            <v>F</v>
          </cell>
          <cell r="AK1185" t="str">
            <v>B</v>
          </cell>
        </row>
        <row r="1186">
          <cell r="A1186" t="str">
            <v>12545808829051</v>
          </cell>
          <cell r="B1186" t="e">
            <v>#N/A</v>
          </cell>
          <cell r="C1186" t="e">
            <v>#N/A</v>
          </cell>
          <cell r="D1186" t="str">
            <v>EK65</v>
          </cell>
          <cell r="E1186" t="str">
            <v>700884</v>
          </cell>
          <cell r="F1186" t="str">
            <v>E</v>
          </cell>
          <cell r="G1186" t="str">
            <v>12545808</v>
          </cell>
          <cell r="H1186" t="str">
            <v>Befestigungswinkel</v>
          </cell>
          <cell r="I1186">
            <v>42</v>
          </cell>
          <cell r="J1186" t="str">
            <v>Stk</v>
          </cell>
          <cell r="K1186">
            <v>45330</v>
          </cell>
          <cell r="L1186" t="str">
            <v>829051</v>
          </cell>
          <cell r="M1186" t="str">
            <v/>
          </cell>
          <cell r="N1186" t="str">
            <v/>
          </cell>
          <cell r="O1186" t="str">
            <v/>
          </cell>
          <cell r="P1186" t="str">
            <v/>
          </cell>
          <cell r="Q1186" t="str">
            <v/>
          </cell>
          <cell r="R1186" t="str">
            <v/>
          </cell>
          <cell r="S1186" t="str">
            <v/>
          </cell>
          <cell r="T1186" t="str">
            <v/>
          </cell>
          <cell r="U1186" t="str">
            <v/>
          </cell>
          <cell r="V1186" t="str">
            <v>N32</v>
          </cell>
          <cell r="W1186" t="str">
            <v/>
          </cell>
          <cell r="X1186" t="str">
            <v/>
          </cell>
          <cell r="Y1186" t="str">
            <v>CL2</v>
          </cell>
          <cell r="Z1186" t="str">
            <v/>
          </cell>
          <cell r="AA1186" t="str">
            <v/>
          </cell>
          <cell r="AB1186" t="str">
            <v>PA_4278617-JG.7004-3</v>
          </cell>
          <cell r="AC1186">
            <v>1</v>
          </cell>
          <cell r="AD1186" t="str">
            <v/>
          </cell>
          <cell r="AE1186">
            <v>0</v>
          </cell>
          <cell r="AF1186" t="str">
            <v/>
          </cell>
          <cell r="AG1186" t="str">
            <v>12545808</v>
          </cell>
          <cell r="AH1186">
            <v>44946.905821759261</v>
          </cell>
          <cell r="AI1186" t="str">
            <v>N32</v>
          </cell>
          <cell r="AJ1186" t="str">
            <v>F</v>
          </cell>
          <cell r="AK1186" t="str">
            <v/>
          </cell>
        </row>
        <row r="1187">
          <cell r="A1187" t="str">
            <v>5739963</v>
          </cell>
          <cell r="B1187" t="e">
            <v>#N/A</v>
          </cell>
          <cell r="C1187" t="e">
            <v>#N/A</v>
          </cell>
          <cell r="D1187" t="str">
            <v>EK65</v>
          </cell>
          <cell r="E1187" t="str">
            <v>700917</v>
          </cell>
          <cell r="F1187" t="str">
            <v>B</v>
          </cell>
          <cell r="G1187" t="str">
            <v>5739963</v>
          </cell>
          <cell r="H1187" t="str">
            <v>KABELLEISTENWINKEL VOLLST.</v>
          </cell>
          <cell r="I1187">
            <v>565</v>
          </cell>
          <cell r="J1187" t="str">
            <v>Stk</v>
          </cell>
          <cell r="K1187">
            <v>45015</v>
          </cell>
          <cell r="L1187" t="str">
            <v/>
          </cell>
          <cell r="M1187" t="str">
            <v/>
          </cell>
          <cell r="N1187" t="str">
            <v/>
          </cell>
          <cell r="O1187" t="str">
            <v/>
          </cell>
          <cell r="P1187" t="str">
            <v/>
          </cell>
          <cell r="Q1187" t="str">
            <v/>
          </cell>
          <cell r="R1187" t="str">
            <v/>
          </cell>
          <cell r="S1187" t="str">
            <v/>
          </cell>
          <cell r="T1187" t="str">
            <v/>
          </cell>
          <cell r="U1187" t="str">
            <v/>
          </cell>
          <cell r="V1187" t="str">
            <v>N321</v>
          </cell>
          <cell r="W1187" t="str">
            <v/>
          </cell>
          <cell r="X1187" t="str">
            <v/>
          </cell>
          <cell r="Y1187" t="str">
            <v/>
          </cell>
          <cell r="Z1187" t="str">
            <v/>
          </cell>
          <cell r="AA1187" t="str">
            <v/>
          </cell>
          <cell r="AB1187" t="str">
            <v>PA_1481521-UA.3021-3</v>
          </cell>
          <cell r="AC1187">
            <v>1</v>
          </cell>
          <cell r="AD1187" t="str">
            <v/>
          </cell>
          <cell r="AE1187">
            <v>0</v>
          </cell>
          <cell r="AF1187" t="str">
            <v/>
          </cell>
          <cell r="AG1187" t="str">
            <v>5739963</v>
          </cell>
          <cell r="AH1187">
            <v>44946.919247685182</v>
          </cell>
          <cell r="AI1187" t="str">
            <v>N321</v>
          </cell>
          <cell r="AJ1187" t="str">
            <v>F</v>
          </cell>
          <cell r="AK1187" t="str">
            <v/>
          </cell>
        </row>
        <row r="1188">
          <cell r="A1188" t="str">
            <v>70000401828521</v>
          </cell>
          <cell r="B1188" t="str">
            <v>BL20230418-1</v>
          </cell>
          <cell r="C1188" t="e">
            <v>#N/A</v>
          </cell>
          <cell r="D1188" t="str">
            <v>EK65</v>
          </cell>
          <cell r="E1188" t="str">
            <v>706712</v>
          </cell>
          <cell r="F1188" t="str">
            <v>E</v>
          </cell>
          <cell r="G1188" t="str">
            <v>70000401</v>
          </cell>
          <cell r="H1188" t="str">
            <v>PLATE</v>
          </cell>
          <cell r="I1188">
            <v>90</v>
          </cell>
          <cell r="J1188" t="str">
            <v>Stk</v>
          </cell>
          <cell r="K1188">
            <v>45071</v>
          </cell>
          <cell r="L1188" t="str">
            <v>828521</v>
          </cell>
          <cell r="M1188" t="str">
            <v/>
          </cell>
          <cell r="N1188" t="str">
            <v/>
          </cell>
          <cell r="O1188" t="str">
            <v/>
          </cell>
          <cell r="P1188" t="str">
            <v/>
          </cell>
          <cell r="Q1188" t="str">
            <v/>
          </cell>
          <cell r="R1188" t="str">
            <v/>
          </cell>
          <cell r="S1188" t="str">
            <v/>
          </cell>
          <cell r="T1188" t="str">
            <v/>
          </cell>
          <cell r="U1188" t="str">
            <v>BB20034430010</v>
          </cell>
          <cell r="V1188" t="str">
            <v>B00</v>
          </cell>
          <cell r="W1188" t="str">
            <v/>
          </cell>
          <cell r="X1188" t="str">
            <v/>
          </cell>
          <cell r="Y1188" t="str">
            <v/>
          </cell>
          <cell r="Z1188" t="str">
            <v/>
          </cell>
          <cell r="AA1188" t="str">
            <v/>
          </cell>
          <cell r="AB1188" t="str">
            <v>70000401</v>
          </cell>
          <cell r="AC1188">
            <v>1</v>
          </cell>
          <cell r="AD1188" t="str">
            <v/>
          </cell>
          <cell r="AE1188">
            <v>0</v>
          </cell>
          <cell r="AF1188" t="str">
            <v/>
          </cell>
          <cell r="AG1188" t="str">
            <v>70000401</v>
          </cell>
          <cell r="AH1188">
            <v>44960.993819444448</v>
          </cell>
          <cell r="AI1188" t="str">
            <v>B00</v>
          </cell>
          <cell r="AJ1188" t="str">
            <v>F</v>
          </cell>
          <cell r="AK1188" t="str">
            <v>--</v>
          </cell>
        </row>
        <row r="1189">
          <cell r="A1189" t="str">
            <v>70000402828521</v>
          </cell>
          <cell r="B1189" t="str">
            <v>BL20230418-1</v>
          </cell>
          <cell r="C1189" t="e">
            <v>#N/A</v>
          </cell>
          <cell r="D1189" t="str">
            <v>EK65</v>
          </cell>
          <cell r="E1189" t="str">
            <v>706713</v>
          </cell>
          <cell r="F1189" t="str">
            <v>E</v>
          </cell>
          <cell r="G1189" t="str">
            <v>70000402</v>
          </cell>
          <cell r="H1189" t="str">
            <v>PLATE</v>
          </cell>
          <cell r="I1189">
            <v>90</v>
          </cell>
          <cell r="J1189" t="str">
            <v>Stk</v>
          </cell>
          <cell r="K1189">
            <v>45071</v>
          </cell>
          <cell r="L1189" t="str">
            <v>828521</v>
          </cell>
          <cell r="M1189" t="str">
            <v/>
          </cell>
          <cell r="N1189" t="str">
            <v/>
          </cell>
          <cell r="O1189" t="str">
            <v/>
          </cell>
          <cell r="P1189" t="str">
            <v/>
          </cell>
          <cell r="Q1189" t="str">
            <v/>
          </cell>
          <cell r="R1189" t="str">
            <v/>
          </cell>
          <cell r="S1189" t="str">
            <v/>
          </cell>
          <cell r="T1189" t="str">
            <v/>
          </cell>
          <cell r="U1189" t="str">
            <v>BB20034430011</v>
          </cell>
          <cell r="V1189" t="str">
            <v>B00</v>
          </cell>
          <cell r="W1189" t="str">
            <v/>
          </cell>
          <cell r="X1189" t="str">
            <v/>
          </cell>
          <cell r="Y1189" t="str">
            <v/>
          </cell>
          <cell r="Z1189" t="str">
            <v/>
          </cell>
          <cell r="AA1189" t="str">
            <v/>
          </cell>
          <cell r="AB1189" t="str">
            <v>70000402</v>
          </cell>
          <cell r="AC1189">
            <v>1</v>
          </cell>
          <cell r="AD1189" t="str">
            <v/>
          </cell>
          <cell r="AE1189">
            <v>0</v>
          </cell>
          <cell r="AF1189" t="str">
            <v/>
          </cell>
          <cell r="AG1189" t="str">
            <v>70000402</v>
          </cell>
          <cell r="AH1189">
            <v>44960.993831018517</v>
          </cell>
          <cell r="AI1189" t="str">
            <v>B00</v>
          </cell>
          <cell r="AJ1189" t="str">
            <v>F</v>
          </cell>
          <cell r="AK1189" t="str">
            <v>--</v>
          </cell>
        </row>
        <row r="1190">
          <cell r="A1190" t="str">
            <v>70000489828521</v>
          </cell>
          <cell r="B1190" t="str">
            <v>BL20230418-1</v>
          </cell>
          <cell r="C1190" t="e">
            <v>#N/A</v>
          </cell>
          <cell r="D1190" t="str">
            <v>EK65</v>
          </cell>
          <cell r="E1190" t="str">
            <v>706744</v>
          </cell>
          <cell r="F1190" t="str">
            <v>E</v>
          </cell>
          <cell r="G1190" t="str">
            <v>70000489</v>
          </cell>
          <cell r="H1190" t="str">
            <v>PLATE</v>
          </cell>
          <cell r="I1190">
            <v>900</v>
          </cell>
          <cell r="J1190" t="str">
            <v>Stk</v>
          </cell>
          <cell r="K1190">
            <v>45072</v>
          </cell>
          <cell r="L1190" t="str">
            <v>828521</v>
          </cell>
          <cell r="M1190" t="str">
            <v/>
          </cell>
          <cell r="N1190" t="str">
            <v/>
          </cell>
          <cell r="O1190" t="str">
            <v/>
          </cell>
          <cell r="P1190" t="str">
            <v/>
          </cell>
          <cell r="Q1190" t="str">
            <v/>
          </cell>
          <cell r="R1190" t="str">
            <v/>
          </cell>
          <cell r="S1190" t="str">
            <v/>
          </cell>
          <cell r="T1190" t="str">
            <v/>
          </cell>
          <cell r="U1190" t="str">
            <v>BB20035611101</v>
          </cell>
          <cell r="V1190" t="str">
            <v>B00</v>
          </cell>
          <cell r="W1190" t="str">
            <v/>
          </cell>
          <cell r="X1190" t="str">
            <v/>
          </cell>
          <cell r="Y1190" t="str">
            <v/>
          </cell>
          <cell r="Z1190" t="str">
            <v/>
          </cell>
          <cell r="AA1190" t="str">
            <v/>
          </cell>
          <cell r="AB1190" t="str">
            <v>70000489</v>
          </cell>
          <cell r="AC1190">
            <v>1</v>
          </cell>
          <cell r="AD1190" t="str">
            <v/>
          </cell>
          <cell r="AE1190">
            <v>0</v>
          </cell>
          <cell r="AF1190" t="str">
            <v/>
          </cell>
          <cell r="AG1190" t="str">
            <v>70000489</v>
          </cell>
          <cell r="AH1190">
            <v>44960.99523148148</v>
          </cell>
          <cell r="AI1190" t="str">
            <v>B00</v>
          </cell>
          <cell r="AJ1190" t="str">
            <v>F</v>
          </cell>
          <cell r="AK1190" t="str">
            <v>--</v>
          </cell>
        </row>
        <row r="1191">
          <cell r="A1191" t="str">
            <v>70000492828521</v>
          </cell>
          <cell r="B1191" t="str">
            <v>BL20230418-1</v>
          </cell>
          <cell r="C1191" t="e">
            <v>#N/A</v>
          </cell>
          <cell r="D1191" t="str">
            <v>EK65</v>
          </cell>
          <cell r="E1191" t="str">
            <v>706745</v>
          </cell>
          <cell r="F1191" t="str">
            <v>E</v>
          </cell>
          <cell r="G1191" t="str">
            <v>70000492</v>
          </cell>
          <cell r="H1191" t="str">
            <v>SHIM THICKNESS=1MM</v>
          </cell>
          <cell r="I1191">
            <v>19440</v>
          </cell>
          <cell r="J1191" t="str">
            <v>Stk</v>
          </cell>
          <cell r="K1191">
            <v>45072</v>
          </cell>
          <cell r="L1191" t="str">
            <v>828521</v>
          </cell>
          <cell r="M1191" t="str">
            <v/>
          </cell>
          <cell r="N1191" t="str">
            <v/>
          </cell>
          <cell r="O1191" t="str">
            <v/>
          </cell>
          <cell r="P1191" t="str">
            <v/>
          </cell>
          <cell r="Q1191" t="str">
            <v/>
          </cell>
          <cell r="R1191" t="str">
            <v/>
          </cell>
          <cell r="S1191" t="str">
            <v/>
          </cell>
          <cell r="T1191" t="str">
            <v/>
          </cell>
          <cell r="U1191" t="str">
            <v>BB14531220004</v>
          </cell>
          <cell r="V1191" t="str">
            <v>B50</v>
          </cell>
          <cell r="W1191" t="str">
            <v/>
          </cell>
          <cell r="X1191" t="str">
            <v/>
          </cell>
          <cell r="Y1191" t="str">
            <v/>
          </cell>
          <cell r="Z1191" t="str">
            <v/>
          </cell>
          <cell r="AA1191" t="str">
            <v/>
          </cell>
          <cell r="AB1191" t="str">
            <v>70000492</v>
          </cell>
          <cell r="AC1191">
            <v>1</v>
          </cell>
          <cell r="AD1191" t="str">
            <v/>
          </cell>
          <cell r="AE1191">
            <v>0</v>
          </cell>
          <cell r="AF1191" t="str">
            <v/>
          </cell>
          <cell r="AG1191" t="str">
            <v>70000492</v>
          </cell>
          <cell r="AH1191">
            <v>44960.995462962965</v>
          </cell>
          <cell r="AI1191" t="str">
            <v>B50</v>
          </cell>
          <cell r="AJ1191" t="str">
            <v>F</v>
          </cell>
          <cell r="AK1191" t="str">
            <v>--</v>
          </cell>
        </row>
        <row r="1192">
          <cell r="A1192" t="str">
            <v>70000493828521</v>
          </cell>
          <cell r="B1192" t="str">
            <v>BL20230418-1</v>
          </cell>
          <cell r="C1192" t="e">
            <v>#N/A</v>
          </cell>
          <cell r="D1192" t="str">
            <v>EK65</v>
          </cell>
          <cell r="E1192" t="str">
            <v>706746</v>
          </cell>
          <cell r="F1192" t="str">
            <v>E</v>
          </cell>
          <cell r="G1192" t="str">
            <v>70000493</v>
          </cell>
          <cell r="H1192" t="str">
            <v>SHIM THICKNESS=2mm</v>
          </cell>
          <cell r="I1192">
            <v>9720</v>
          </cell>
          <cell r="J1192" t="str">
            <v>Stk</v>
          </cell>
          <cell r="K1192">
            <v>45072</v>
          </cell>
          <cell r="L1192" t="str">
            <v>828521</v>
          </cell>
          <cell r="M1192" t="str">
            <v/>
          </cell>
          <cell r="N1192" t="str">
            <v/>
          </cell>
          <cell r="O1192" t="str">
            <v/>
          </cell>
          <cell r="P1192" t="str">
            <v/>
          </cell>
          <cell r="Q1192" t="str">
            <v/>
          </cell>
          <cell r="R1192" t="str">
            <v/>
          </cell>
          <cell r="S1192" t="str">
            <v/>
          </cell>
          <cell r="T1192" t="str">
            <v/>
          </cell>
          <cell r="U1192" t="str">
            <v>BB14535610006</v>
          </cell>
          <cell r="V1192" t="str">
            <v>B50</v>
          </cell>
          <cell r="W1192" t="str">
            <v/>
          </cell>
          <cell r="X1192" t="str">
            <v/>
          </cell>
          <cell r="Y1192" t="str">
            <v/>
          </cell>
          <cell r="Z1192" t="str">
            <v/>
          </cell>
          <cell r="AA1192" t="str">
            <v/>
          </cell>
          <cell r="AB1192" t="str">
            <v>70000493</v>
          </cell>
          <cell r="AC1192">
            <v>1</v>
          </cell>
          <cell r="AD1192" t="str">
            <v/>
          </cell>
          <cell r="AE1192">
            <v>0</v>
          </cell>
          <cell r="AF1192" t="str">
            <v/>
          </cell>
          <cell r="AG1192" t="str">
            <v>70000493</v>
          </cell>
          <cell r="AH1192">
            <v>44960.995497685188</v>
          </cell>
          <cell r="AI1192" t="str">
            <v>B50</v>
          </cell>
          <cell r="AJ1192" t="str">
            <v>F</v>
          </cell>
          <cell r="AK1192" t="str">
            <v>--</v>
          </cell>
        </row>
        <row r="1193">
          <cell r="A1193" t="str">
            <v>0540980820531</v>
          </cell>
          <cell r="B1193" t="e">
            <v>#N/A</v>
          </cell>
          <cell r="C1193" t="e">
            <v>#N/A</v>
          </cell>
          <cell r="D1193" t="str">
            <v>EK65</v>
          </cell>
          <cell r="E1193" t="str">
            <v>701447</v>
          </cell>
          <cell r="F1193" t="str">
            <v>E</v>
          </cell>
          <cell r="G1193" t="str">
            <v>0540980</v>
          </cell>
          <cell r="H1193" t="str">
            <v>Dehnhuelse</v>
          </cell>
          <cell r="I1193">
            <v>4</v>
          </cell>
          <cell r="J1193" t="str">
            <v>Stk</v>
          </cell>
          <cell r="K1193">
            <v>45210</v>
          </cell>
          <cell r="L1193" t="str">
            <v>820531</v>
          </cell>
          <cell r="M1193" t="str">
            <v/>
          </cell>
          <cell r="N1193" t="str">
            <v/>
          </cell>
          <cell r="O1193" t="str">
            <v/>
          </cell>
          <cell r="P1193" t="str">
            <v/>
          </cell>
          <cell r="Q1193" t="str">
            <v/>
          </cell>
          <cell r="R1193" t="str">
            <v/>
          </cell>
          <cell r="S1193" t="str">
            <v/>
          </cell>
          <cell r="T1193" t="str">
            <v/>
          </cell>
          <cell r="U1193" t="str">
            <v/>
          </cell>
          <cell r="V1193" t="str">
            <v>N52</v>
          </cell>
          <cell r="W1193" t="str">
            <v/>
          </cell>
          <cell r="X1193" t="str">
            <v/>
          </cell>
          <cell r="Y1193" t="str">
            <v/>
          </cell>
          <cell r="Z1193" t="str">
            <v/>
          </cell>
          <cell r="AA1193" t="str">
            <v/>
          </cell>
          <cell r="AB1193" t="str">
            <v>PA_2144063-QE.6900-4</v>
          </cell>
          <cell r="AC1193">
            <v>1</v>
          </cell>
          <cell r="AD1193" t="str">
            <v/>
          </cell>
          <cell r="AE1193">
            <v>0</v>
          </cell>
          <cell r="AF1193" t="str">
            <v/>
          </cell>
          <cell r="AG1193" t="str">
            <v>0540980</v>
          </cell>
          <cell r="AH1193">
            <v>44949.954629629632</v>
          </cell>
          <cell r="AI1193" t="str">
            <v>N52</v>
          </cell>
          <cell r="AJ1193" t="str">
            <v>F</v>
          </cell>
          <cell r="AK1193" t="str">
            <v/>
          </cell>
        </row>
        <row r="1194">
          <cell r="A1194" t="str">
            <v>1233587820531</v>
          </cell>
          <cell r="B1194" t="e">
            <v>#N/A</v>
          </cell>
          <cell r="C1194" t="e">
            <v>#N/A</v>
          </cell>
          <cell r="D1194" t="str">
            <v>EK65</v>
          </cell>
          <cell r="E1194" t="str">
            <v>701469</v>
          </cell>
          <cell r="F1194" t="str">
            <v>E</v>
          </cell>
          <cell r="G1194" t="str">
            <v>1233587</v>
          </cell>
          <cell r="H1194" t="str">
            <v>Verbindungsblech</v>
          </cell>
          <cell r="I1194">
            <v>1</v>
          </cell>
          <cell r="J1194" t="str">
            <v>Stk</v>
          </cell>
          <cell r="K1194">
            <v>45215</v>
          </cell>
          <cell r="L1194" t="str">
            <v>820531</v>
          </cell>
          <cell r="M1194" t="str">
            <v/>
          </cell>
          <cell r="N1194" t="str">
            <v/>
          </cell>
          <cell r="O1194" t="str">
            <v/>
          </cell>
          <cell r="P1194" t="str">
            <v/>
          </cell>
          <cell r="Q1194" t="str">
            <v/>
          </cell>
          <cell r="R1194" t="str">
            <v/>
          </cell>
          <cell r="S1194" t="str">
            <v/>
          </cell>
          <cell r="T1194" t="str">
            <v/>
          </cell>
          <cell r="U1194" t="str">
            <v/>
          </cell>
          <cell r="V1194" t="str">
            <v>N52</v>
          </cell>
          <cell r="W1194" t="str">
            <v/>
          </cell>
          <cell r="X1194" t="str">
            <v/>
          </cell>
          <cell r="Y1194" t="str">
            <v/>
          </cell>
          <cell r="Z1194" t="str">
            <v/>
          </cell>
          <cell r="AA1194" t="str">
            <v/>
          </cell>
          <cell r="AB1194" t="str">
            <v>PA_2273685-UA.3046-3</v>
          </cell>
          <cell r="AC1194">
            <v>1</v>
          </cell>
          <cell r="AD1194" t="str">
            <v/>
          </cell>
          <cell r="AE1194">
            <v>0</v>
          </cell>
          <cell r="AF1194" t="str">
            <v/>
          </cell>
          <cell r="AG1194" t="str">
            <v>1233587</v>
          </cell>
          <cell r="AH1194">
            <v>44949.96234953704</v>
          </cell>
          <cell r="AI1194" t="str">
            <v>N52</v>
          </cell>
          <cell r="AJ1194" t="str">
            <v>F</v>
          </cell>
          <cell r="AK1194" t="str">
            <v/>
          </cell>
        </row>
        <row r="1195">
          <cell r="A1195" t="str">
            <v>12556331829051</v>
          </cell>
          <cell r="B1195" t="e">
            <v>#N/A</v>
          </cell>
          <cell r="C1195" t="e">
            <v>#N/A</v>
          </cell>
          <cell r="D1195" t="str">
            <v>EK65</v>
          </cell>
          <cell r="E1195" t="str">
            <v>701492</v>
          </cell>
          <cell r="F1195" t="str">
            <v>E</v>
          </cell>
          <cell r="G1195" t="str">
            <v>12556331</v>
          </cell>
          <cell r="H1195" t="str">
            <v>Halter vollst.</v>
          </cell>
          <cell r="I1195">
            <v>49</v>
          </cell>
          <cell r="J1195" t="str">
            <v>Stk</v>
          </cell>
          <cell r="K1195">
            <v>45294</v>
          </cell>
          <cell r="L1195" t="str">
            <v>829051</v>
          </cell>
          <cell r="M1195" t="str">
            <v/>
          </cell>
          <cell r="N1195" t="str">
            <v/>
          </cell>
          <cell r="O1195" t="str">
            <v/>
          </cell>
          <cell r="P1195" t="str">
            <v/>
          </cell>
          <cell r="Q1195" t="str">
            <v/>
          </cell>
          <cell r="R1195" t="str">
            <v/>
          </cell>
          <cell r="S1195" t="str">
            <v/>
          </cell>
          <cell r="T1195" t="str">
            <v/>
          </cell>
          <cell r="U1195" t="str">
            <v/>
          </cell>
          <cell r="V1195" t="str">
            <v>N38</v>
          </cell>
          <cell r="W1195" t="str">
            <v/>
          </cell>
          <cell r="X1195" t="str">
            <v/>
          </cell>
          <cell r="Y1195" t="str">
            <v/>
          </cell>
          <cell r="Z1195" t="str">
            <v/>
          </cell>
          <cell r="AA1195" t="str">
            <v/>
          </cell>
          <cell r="AB1195" t="str">
            <v>PA_4609284-UA.7004-3</v>
          </cell>
          <cell r="AC1195">
            <v>1</v>
          </cell>
          <cell r="AD1195" t="str">
            <v/>
          </cell>
          <cell r="AE1195">
            <v>0</v>
          </cell>
          <cell r="AF1195" t="str">
            <v/>
          </cell>
          <cell r="AG1195" t="str">
            <v>12556331</v>
          </cell>
          <cell r="AH1195">
            <v>44949.969375000001</v>
          </cell>
          <cell r="AI1195" t="str">
            <v>N38</v>
          </cell>
          <cell r="AJ1195" t="str">
            <v>F</v>
          </cell>
          <cell r="AK1195" t="str">
            <v>A</v>
          </cell>
        </row>
        <row r="1196">
          <cell r="A1196" t="str">
            <v>1292604</v>
          </cell>
          <cell r="B1196" t="e">
            <v>#N/A</v>
          </cell>
          <cell r="C1196" t="e">
            <v>#N/A</v>
          </cell>
          <cell r="D1196" t="str">
            <v>EK65</v>
          </cell>
          <cell r="E1196" t="str">
            <v>702541</v>
          </cell>
          <cell r="F1196" t="str">
            <v>B</v>
          </cell>
          <cell r="G1196" t="str">
            <v>1292604</v>
          </cell>
          <cell r="H1196" t="str">
            <v>DISTANZBLECH 1MM</v>
          </cell>
          <cell r="I1196">
            <v>409</v>
          </cell>
          <cell r="J1196" t="str">
            <v>Stk</v>
          </cell>
          <cell r="K1196">
            <v>44952</v>
          </cell>
          <cell r="L1196" t="str">
            <v/>
          </cell>
          <cell r="M1196" t="str">
            <v/>
          </cell>
          <cell r="N1196" t="str">
            <v/>
          </cell>
          <cell r="O1196" t="str">
            <v/>
          </cell>
          <cell r="P1196" t="str">
            <v/>
          </cell>
          <cell r="Q1196" t="str">
            <v/>
          </cell>
          <cell r="R1196" t="str">
            <v/>
          </cell>
          <cell r="S1196" t="str">
            <v/>
          </cell>
          <cell r="T1196" t="str">
            <v/>
          </cell>
          <cell r="U1196" t="str">
            <v/>
          </cell>
          <cell r="V1196" t="str">
            <v>N52</v>
          </cell>
          <cell r="W1196" t="str">
            <v/>
          </cell>
          <cell r="X1196" t="str">
            <v/>
          </cell>
          <cell r="Y1196" t="str">
            <v/>
          </cell>
          <cell r="Z1196" t="str">
            <v/>
          </cell>
          <cell r="AA1196" t="str">
            <v/>
          </cell>
          <cell r="AB1196" t="str">
            <v>PA_1172669-CD.4005-4</v>
          </cell>
          <cell r="AC1196">
            <v>4</v>
          </cell>
          <cell r="AD1196" t="str">
            <v/>
          </cell>
          <cell r="AE1196">
            <v>0</v>
          </cell>
          <cell r="AF1196" t="str">
            <v/>
          </cell>
          <cell r="AG1196" t="str">
            <v>1292604</v>
          </cell>
          <cell r="AH1196">
            <v>44950.835347222222</v>
          </cell>
          <cell r="AI1196" t="str">
            <v>N52</v>
          </cell>
          <cell r="AJ1196" t="str">
            <v>F</v>
          </cell>
          <cell r="AK1196" t="str">
            <v/>
          </cell>
        </row>
        <row r="1197">
          <cell r="A1197" t="str">
            <v>12517147829053</v>
          </cell>
          <cell r="B1197" t="e">
            <v>#N/A</v>
          </cell>
          <cell r="C1197" t="e">
            <v>#N/A</v>
          </cell>
          <cell r="D1197" t="str">
            <v>EK65</v>
          </cell>
          <cell r="E1197" t="str">
            <v>702727</v>
          </cell>
          <cell r="F1197" t="str">
            <v>E</v>
          </cell>
          <cell r="G1197" t="str">
            <v>12517147</v>
          </cell>
          <cell r="H1197" t="str">
            <v>Standardstrangkuehlkoerper</v>
          </cell>
          <cell r="I1197">
            <v>56</v>
          </cell>
          <cell r="J1197" t="str">
            <v>Stk</v>
          </cell>
          <cell r="K1197">
            <v>45118</v>
          </cell>
          <cell r="L1197" t="str">
            <v>829053</v>
          </cell>
          <cell r="M1197" t="str">
            <v/>
          </cell>
          <cell r="N1197" t="str">
            <v/>
          </cell>
          <cell r="O1197" t="str">
            <v/>
          </cell>
          <cell r="P1197" t="str">
            <v/>
          </cell>
          <cell r="Q1197" t="str">
            <v/>
          </cell>
          <cell r="R1197" t="str">
            <v/>
          </cell>
          <cell r="S1197" t="str">
            <v/>
          </cell>
          <cell r="T1197" t="str">
            <v/>
          </cell>
          <cell r="U1197" t="str">
            <v/>
          </cell>
          <cell r="V1197" t="str">
            <v>E05</v>
          </cell>
          <cell r="W1197" t="str">
            <v/>
          </cell>
          <cell r="X1197" t="str">
            <v/>
          </cell>
          <cell r="Y1197" t="str">
            <v/>
          </cell>
          <cell r="Z1197" t="str">
            <v/>
          </cell>
          <cell r="AA1197" t="str">
            <v/>
          </cell>
          <cell r="AB1197" t="str">
            <v>PA_4252779-UA.7005-1</v>
          </cell>
          <cell r="AC1197">
            <v>1</v>
          </cell>
          <cell r="AD1197" t="str">
            <v/>
          </cell>
          <cell r="AE1197">
            <v>0</v>
          </cell>
          <cell r="AF1197" t="str">
            <v/>
          </cell>
          <cell r="AG1197" t="str">
            <v>12517147</v>
          </cell>
          <cell r="AH1197">
            <v>44951.163414351853</v>
          </cell>
          <cell r="AI1197" t="str">
            <v>E05</v>
          </cell>
          <cell r="AJ1197" t="str">
            <v>F</v>
          </cell>
          <cell r="AK1197" t="str">
            <v/>
          </cell>
        </row>
        <row r="1198">
          <cell r="A1198" t="str">
            <v>12631610829052</v>
          </cell>
          <cell r="B1198" t="e">
            <v>#N/A</v>
          </cell>
          <cell r="C1198" t="e">
            <v>#N/A</v>
          </cell>
          <cell r="D1198" t="str">
            <v>EK65</v>
          </cell>
          <cell r="E1198" t="str">
            <v>702728</v>
          </cell>
          <cell r="F1198" t="str">
            <v>E</v>
          </cell>
          <cell r="G1198" t="str">
            <v>12631610</v>
          </cell>
          <cell r="H1198" t="str">
            <v>Halter Automatenabdeckung vollst.</v>
          </cell>
          <cell r="I1198">
            <v>31</v>
          </cell>
          <cell r="J1198" t="str">
            <v>Stk</v>
          </cell>
          <cell r="K1198">
            <v>45240</v>
          </cell>
          <cell r="L1198" t="str">
            <v>829052</v>
          </cell>
          <cell r="M1198" t="str">
            <v/>
          </cell>
          <cell r="N1198" t="str">
            <v/>
          </cell>
          <cell r="O1198" t="str">
            <v/>
          </cell>
          <cell r="P1198" t="str">
            <v/>
          </cell>
          <cell r="Q1198" t="str">
            <v/>
          </cell>
          <cell r="R1198" t="str">
            <v/>
          </cell>
          <cell r="S1198" t="str">
            <v/>
          </cell>
          <cell r="T1198" t="str">
            <v/>
          </cell>
          <cell r="U1198" t="str">
            <v/>
          </cell>
          <cell r="V1198" t="str">
            <v>N52</v>
          </cell>
          <cell r="W1198" t="str">
            <v/>
          </cell>
          <cell r="X1198" t="str">
            <v/>
          </cell>
          <cell r="Y1198" t="str">
            <v/>
          </cell>
          <cell r="Z1198" t="str">
            <v/>
          </cell>
          <cell r="AA1198" t="str">
            <v/>
          </cell>
          <cell r="AB1198" t="str">
            <v>PA_5105779-TB.7004-4</v>
          </cell>
          <cell r="AC1198">
            <v>1</v>
          </cell>
          <cell r="AD1198" t="str">
            <v/>
          </cell>
          <cell r="AE1198">
            <v>0</v>
          </cell>
          <cell r="AF1198" t="str">
            <v/>
          </cell>
          <cell r="AG1198" t="str">
            <v>12631610</v>
          </cell>
          <cell r="AH1198">
            <v>44951.166956018518</v>
          </cell>
          <cell r="AI1198" t="str">
            <v>N52</v>
          </cell>
          <cell r="AJ1198" t="str">
            <v>F</v>
          </cell>
          <cell r="AK1198" t="str">
            <v/>
          </cell>
        </row>
        <row r="1199">
          <cell r="A1199" t="str">
            <v>12631612829052</v>
          </cell>
          <cell r="B1199" t="e">
            <v>#N/A</v>
          </cell>
          <cell r="C1199" t="e">
            <v>#N/A</v>
          </cell>
          <cell r="D1199" t="str">
            <v>EK65</v>
          </cell>
          <cell r="E1199" t="str">
            <v>702729</v>
          </cell>
          <cell r="F1199" t="str">
            <v>E</v>
          </cell>
          <cell r="G1199" t="str">
            <v>12631612</v>
          </cell>
          <cell r="H1199" t="str">
            <v>Halter Automatenabdeckung vollst.</v>
          </cell>
          <cell r="I1199">
            <v>31</v>
          </cell>
          <cell r="J1199" t="str">
            <v>Stk</v>
          </cell>
          <cell r="K1199">
            <v>45240</v>
          </cell>
          <cell r="L1199" t="str">
            <v>829052</v>
          </cell>
          <cell r="M1199" t="str">
            <v/>
          </cell>
          <cell r="N1199" t="str">
            <v/>
          </cell>
          <cell r="O1199" t="str">
            <v/>
          </cell>
          <cell r="P1199" t="str">
            <v/>
          </cell>
          <cell r="Q1199" t="str">
            <v/>
          </cell>
          <cell r="R1199" t="str">
            <v/>
          </cell>
          <cell r="S1199" t="str">
            <v/>
          </cell>
          <cell r="T1199" t="str">
            <v/>
          </cell>
          <cell r="U1199" t="str">
            <v/>
          </cell>
          <cell r="V1199" t="str">
            <v>N52</v>
          </cell>
          <cell r="W1199" t="str">
            <v/>
          </cell>
          <cell r="X1199" t="str">
            <v/>
          </cell>
          <cell r="Y1199" t="str">
            <v/>
          </cell>
          <cell r="Z1199" t="str">
            <v/>
          </cell>
          <cell r="AA1199" t="str">
            <v/>
          </cell>
          <cell r="AB1199" t="str">
            <v>PA_5105796-TB.7004-4</v>
          </cell>
          <cell r="AC1199">
            <v>1</v>
          </cell>
          <cell r="AD1199" t="str">
            <v/>
          </cell>
          <cell r="AE1199">
            <v>0</v>
          </cell>
          <cell r="AF1199" t="str">
            <v/>
          </cell>
          <cell r="AG1199" t="str">
            <v>12631612</v>
          </cell>
          <cell r="AH1199">
            <v>44951.166990740741</v>
          </cell>
          <cell r="AI1199" t="str">
            <v>N52</v>
          </cell>
          <cell r="AJ1199" t="str">
            <v>F</v>
          </cell>
          <cell r="AK1199" t="str">
            <v/>
          </cell>
        </row>
        <row r="1200">
          <cell r="A1200" t="str">
            <v>2015400</v>
          </cell>
          <cell r="B1200" t="e">
            <v>#N/A</v>
          </cell>
          <cell r="C1200" t="e">
            <v>#N/A</v>
          </cell>
          <cell r="D1200" t="str">
            <v>EK65</v>
          </cell>
          <cell r="E1200" t="str">
            <v>702738</v>
          </cell>
          <cell r="F1200" t="str">
            <v>B</v>
          </cell>
          <cell r="G1200" t="str">
            <v>2015400</v>
          </cell>
          <cell r="H1200" t="str">
            <v>Erdungsfahne Gravur M8</v>
          </cell>
          <cell r="I1200">
            <v>940</v>
          </cell>
          <cell r="J1200" t="str">
            <v>Stk</v>
          </cell>
          <cell r="K1200">
            <v>44979</v>
          </cell>
          <cell r="L1200" t="str">
            <v/>
          </cell>
          <cell r="M1200" t="str">
            <v/>
          </cell>
          <cell r="N1200" t="str">
            <v/>
          </cell>
          <cell r="O1200" t="str">
            <v/>
          </cell>
          <cell r="P1200" t="str">
            <v/>
          </cell>
          <cell r="Q1200" t="str">
            <v/>
          </cell>
          <cell r="R1200" t="str">
            <v/>
          </cell>
          <cell r="S1200" t="str">
            <v/>
          </cell>
          <cell r="T1200" t="str">
            <v/>
          </cell>
          <cell r="U1200" t="str">
            <v/>
          </cell>
          <cell r="V1200" t="str">
            <v>N38</v>
          </cell>
          <cell r="W1200" t="str">
            <v/>
          </cell>
          <cell r="X1200" t="str">
            <v/>
          </cell>
          <cell r="Y1200" t="str">
            <v/>
          </cell>
          <cell r="Z1200" t="str">
            <v/>
          </cell>
          <cell r="AA1200" t="str">
            <v/>
          </cell>
          <cell r="AB1200" t="str">
            <v>PA_2313372-UA.6005-3P.2</v>
          </cell>
          <cell r="AC1200">
            <v>4</v>
          </cell>
          <cell r="AD1200" t="str">
            <v/>
          </cell>
          <cell r="AE1200">
            <v>0</v>
          </cell>
          <cell r="AF1200" t="str">
            <v/>
          </cell>
          <cell r="AG1200" t="str">
            <v>2015400</v>
          </cell>
          <cell r="AH1200">
            <v>44951.835810185185</v>
          </cell>
          <cell r="AI1200" t="str">
            <v>N38</v>
          </cell>
          <cell r="AJ1200" t="str">
            <v>F</v>
          </cell>
          <cell r="AK1200" t="str">
            <v/>
          </cell>
        </row>
        <row r="1201">
          <cell r="A1201" t="str">
            <v>5513072</v>
          </cell>
          <cell r="B1201" t="e">
            <v>#N/A</v>
          </cell>
          <cell r="C1201" t="e">
            <v>#N/A</v>
          </cell>
          <cell r="D1201" t="str">
            <v>EK65</v>
          </cell>
          <cell r="E1201" t="str">
            <v>702745</v>
          </cell>
          <cell r="F1201" t="str">
            <v>B</v>
          </cell>
          <cell r="G1201" t="str">
            <v>5513072</v>
          </cell>
          <cell r="H1201" t="str">
            <v>AUSGLEICHSBLECH</v>
          </cell>
          <cell r="I1201">
            <v>15</v>
          </cell>
          <cell r="J1201" t="str">
            <v>Stk</v>
          </cell>
          <cell r="K1201">
            <v>44953</v>
          </cell>
          <cell r="L1201" t="str">
            <v/>
          </cell>
          <cell r="M1201" t="str">
            <v/>
          </cell>
          <cell r="N1201" t="str">
            <v/>
          </cell>
          <cell r="O1201" t="str">
            <v/>
          </cell>
          <cell r="P1201" t="str">
            <v/>
          </cell>
          <cell r="Q1201" t="str">
            <v/>
          </cell>
          <cell r="R1201" t="str">
            <v/>
          </cell>
          <cell r="S1201" t="str">
            <v/>
          </cell>
          <cell r="T1201" t="str">
            <v/>
          </cell>
          <cell r="U1201" t="str">
            <v/>
          </cell>
          <cell r="V1201" t="str">
            <v>N52</v>
          </cell>
          <cell r="W1201" t="str">
            <v/>
          </cell>
          <cell r="X1201" t="str">
            <v/>
          </cell>
          <cell r="Y1201" t="str">
            <v/>
          </cell>
          <cell r="Z1201" t="str">
            <v/>
          </cell>
          <cell r="AA1201" t="str">
            <v/>
          </cell>
          <cell r="AB1201" t="str">
            <v>PA_1251308-CD.4011-4</v>
          </cell>
          <cell r="AC1201">
            <v>4</v>
          </cell>
          <cell r="AD1201" t="str">
            <v/>
          </cell>
          <cell r="AE1201">
            <v>0</v>
          </cell>
          <cell r="AF1201" t="str">
            <v/>
          </cell>
          <cell r="AG1201" t="str">
            <v>5513072</v>
          </cell>
          <cell r="AH1201">
            <v>44951.837268518517</v>
          </cell>
          <cell r="AI1201" t="str">
            <v>N52</v>
          </cell>
          <cell r="AJ1201" t="str">
            <v>F</v>
          </cell>
          <cell r="AK1201" t="str">
            <v>A</v>
          </cell>
        </row>
        <row r="1202">
          <cell r="A1202" t="str">
            <v>12535374829051</v>
          </cell>
          <cell r="B1202" t="str">
            <v>BL20230413-2</v>
          </cell>
          <cell r="C1202" t="e">
            <v>#N/A</v>
          </cell>
          <cell r="D1202" t="str">
            <v>EK65</v>
          </cell>
          <cell r="E1202" t="str">
            <v>702889</v>
          </cell>
          <cell r="F1202" t="str">
            <v>E</v>
          </cell>
          <cell r="G1202" t="str">
            <v>12535374</v>
          </cell>
          <cell r="H1202" t="str">
            <v>Halter vollst.</v>
          </cell>
          <cell r="I1202">
            <v>178</v>
          </cell>
          <cell r="J1202" t="str">
            <v>Stk</v>
          </cell>
          <cell r="K1202">
            <v>45342</v>
          </cell>
          <cell r="L1202" t="str">
            <v>829051</v>
          </cell>
          <cell r="M1202" t="str">
            <v/>
          </cell>
          <cell r="N1202" t="str">
            <v/>
          </cell>
          <cell r="O1202" t="str">
            <v/>
          </cell>
          <cell r="P1202" t="str">
            <v/>
          </cell>
          <cell r="Q1202" t="str">
            <v/>
          </cell>
          <cell r="R1202" t="str">
            <v/>
          </cell>
          <cell r="S1202" t="str">
            <v/>
          </cell>
          <cell r="T1202" t="str">
            <v/>
          </cell>
          <cell r="U1202" t="str">
            <v/>
          </cell>
          <cell r="V1202" t="str">
            <v>N38</v>
          </cell>
          <cell r="W1202" t="str">
            <v/>
          </cell>
          <cell r="X1202" t="str">
            <v/>
          </cell>
          <cell r="Y1202" t="str">
            <v/>
          </cell>
          <cell r="Z1202" t="str">
            <v/>
          </cell>
          <cell r="AA1202" t="str">
            <v/>
          </cell>
          <cell r="AB1202" t="str">
            <v>PA_2343459-JC.7004-4</v>
          </cell>
          <cell r="AC1202">
            <v>1</v>
          </cell>
          <cell r="AD1202" t="str">
            <v/>
          </cell>
          <cell r="AE1202">
            <v>0</v>
          </cell>
          <cell r="AF1202" t="str">
            <v/>
          </cell>
          <cell r="AG1202" t="str">
            <v>12535374</v>
          </cell>
          <cell r="AH1202">
            <v>44951.910069444442</v>
          </cell>
          <cell r="AI1202" t="str">
            <v>N38</v>
          </cell>
          <cell r="AJ1202" t="str">
            <v>F</v>
          </cell>
          <cell r="AK1202" t="str">
            <v/>
          </cell>
        </row>
        <row r="1203">
          <cell r="A1203" t="str">
            <v>12537994829051</v>
          </cell>
          <cell r="B1203" t="str">
            <v>BL20230413-2</v>
          </cell>
          <cell r="C1203" t="e">
            <v>#N/A</v>
          </cell>
          <cell r="D1203" t="str">
            <v>EK65</v>
          </cell>
          <cell r="E1203" t="str">
            <v>702890</v>
          </cell>
          <cell r="F1203" t="str">
            <v>E</v>
          </cell>
          <cell r="G1203" t="str">
            <v>12537994</v>
          </cell>
          <cell r="H1203" t="str">
            <v>Halter vollst.</v>
          </cell>
          <cell r="I1203">
            <v>178</v>
          </cell>
          <cell r="J1203" t="str">
            <v>Stk</v>
          </cell>
          <cell r="K1203">
            <v>45342</v>
          </cell>
          <cell r="L1203" t="str">
            <v>829051</v>
          </cell>
          <cell r="M1203" t="str">
            <v/>
          </cell>
          <cell r="N1203" t="str">
            <v/>
          </cell>
          <cell r="O1203" t="str">
            <v/>
          </cell>
          <cell r="P1203" t="str">
            <v/>
          </cell>
          <cell r="Q1203" t="str">
            <v/>
          </cell>
          <cell r="R1203" t="str">
            <v/>
          </cell>
          <cell r="S1203" t="str">
            <v/>
          </cell>
          <cell r="T1203" t="str">
            <v/>
          </cell>
          <cell r="U1203" t="str">
            <v/>
          </cell>
          <cell r="V1203" t="str">
            <v>N38</v>
          </cell>
          <cell r="W1203" t="str">
            <v/>
          </cell>
          <cell r="X1203" t="str">
            <v/>
          </cell>
          <cell r="Y1203" t="str">
            <v/>
          </cell>
          <cell r="Z1203" t="str">
            <v/>
          </cell>
          <cell r="AA1203" t="str">
            <v/>
          </cell>
          <cell r="AB1203" t="str">
            <v>PA_4629605-JC.7004-4</v>
          </cell>
          <cell r="AC1203">
            <v>1</v>
          </cell>
          <cell r="AD1203" t="str">
            <v/>
          </cell>
          <cell r="AE1203">
            <v>0</v>
          </cell>
          <cell r="AF1203" t="str">
            <v/>
          </cell>
          <cell r="AG1203" t="str">
            <v>12537994</v>
          </cell>
          <cell r="AH1203">
            <v>44951.910219907404</v>
          </cell>
          <cell r="AI1203" t="str">
            <v>N38</v>
          </cell>
          <cell r="AJ1203" t="str">
            <v>F</v>
          </cell>
          <cell r="AK1203" t="str">
            <v/>
          </cell>
        </row>
        <row r="1204">
          <cell r="A1204" t="str">
            <v>12490740829051</v>
          </cell>
          <cell r="B1204" t="str">
            <v>Übergabe Task Force</v>
          </cell>
          <cell r="C1204">
            <v>20</v>
          </cell>
          <cell r="D1204" t="str">
            <v>EK65</v>
          </cell>
          <cell r="E1204" t="str">
            <v>703307</v>
          </cell>
          <cell r="F1204" t="str">
            <v>E</v>
          </cell>
          <cell r="G1204" t="str">
            <v>12490740</v>
          </cell>
          <cell r="H1204" t="str">
            <v>Abdeckung</v>
          </cell>
          <cell r="I1204">
            <v>268</v>
          </cell>
          <cell r="J1204" t="str">
            <v>Stk</v>
          </cell>
          <cell r="K1204">
            <v>45232</v>
          </cell>
          <cell r="L1204" t="str">
            <v>829051</v>
          </cell>
          <cell r="M1204" t="str">
            <v/>
          </cell>
          <cell r="N1204" t="str">
            <v/>
          </cell>
          <cell r="O1204" t="str">
            <v/>
          </cell>
          <cell r="P1204" t="str">
            <v/>
          </cell>
          <cell r="Q1204" t="str">
            <v/>
          </cell>
          <cell r="R1204" t="str">
            <v/>
          </cell>
          <cell r="S1204" t="str">
            <v/>
          </cell>
          <cell r="T1204" t="str">
            <v/>
          </cell>
          <cell r="U1204" t="str">
            <v/>
          </cell>
          <cell r="V1204" t="str">
            <v>N52</v>
          </cell>
          <cell r="W1204" t="str">
            <v/>
          </cell>
          <cell r="X1204" t="str">
            <v/>
          </cell>
          <cell r="Y1204" t="str">
            <v/>
          </cell>
          <cell r="Z1204" t="str">
            <v/>
          </cell>
          <cell r="AA1204" t="str">
            <v/>
          </cell>
          <cell r="AB1204" t="str">
            <v>PA_4364931-UA.7005-4</v>
          </cell>
          <cell r="AC1204">
            <v>1</v>
          </cell>
          <cell r="AD1204" t="str">
            <v/>
          </cell>
          <cell r="AE1204">
            <v>0</v>
          </cell>
          <cell r="AF1204" t="str">
            <v/>
          </cell>
          <cell r="AG1204" t="str">
            <v>12490740</v>
          </cell>
          <cell r="AH1204">
            <v>44951.950370370374</v>
          </cell>
          <cell r="AI1204" t="str">
            <v>N52</v>
          </cell>
          <cell r="AJ1204" t="str">
            <v>F</v>
          </cell>
          <cell r="AK1204" t="str">
            <v/>
          </cell>
        </row>
        <row r="1205">
          <cell r="A1205" t="str">
            <v>12490740829052</v>
          </cell>
          <cell r="B1205" t="str">
            <v>Übergabe Task Force</v>
          </cell>
          <cell r="C1205">
            <v>20</v>
          </cell>
          <cell r="D1205" t="str">
            <v>EK65</v>
          </cell>
          <cell r="E1205" t="str">
            <v>703308</v>
          </cell>
          <cell r="F1205" t="str">
            <v>E</v>
          </cell>
          <cell r="G1205" t="str">
            <v>12490740</v>
          </cell>
          <cell r="H1205" t="str">
            <v>Abdeckung</v>
          </cell>
          <cell r="I1205">
            <v>185</v>
          </cell>
          <cell r="J1205" t="str">
            <v>Stk</v>
          </cell>
          <cell r="K1205">
            <v>45253</v>
          </cell>
          <cell r="L1205" t="str">
            <v>829052</v>
          </cell>
          <cell r="M1205" t="str">
            <v/>
          </cell>
          <cell r="N1205" t="str">
            <v/>
          </cell>
          <cell r="O1205" t="str">
            <v/>
          </cell>
          <cell r="P1205" t="str">
            <v/>
          </cell>
          <cell r="Q1205" t="str">
            <v/>
          </cell>
          <cell r="R1205" t="str">
            <v/>
          </cell>
          <cell r="S1205" t="str">
            <v/>
          </cell>
          <cell r="T1205" t="str">
            <v/>
          </cell>
          <cell r="U1205" t="str">
            <v/>
          </cell>
          <cell r="V1205" t="str">
            <v>N52</v>
          </cell>
          <cell r="W1205" t="str">
            <v/>
          </cell>
          <cell r="X1205" t="str">
            <v/>
          </cell>
          <cell r="Y1205" t="str">
            <v/>
          </cell>
          <cell r="Z1205" t="str">
            <v/>
          </cell>
          <cell r="AA1205" t="str">
            <v/>
          </cell>
          <cell r="AB1205" t="str">
            <v>PA_4364931-UA.7005-4</v>
          </cell>
          <cell r="AC1205">
            <v>1</v>
          </cell>
          <cell r="AD1205" t="str">
            <v/>
          </cell>
          <cell r="AE1205">
            <v>0</v>
          </cell>
          <cell r="AF1205" t="str">
            <v/>
          </cell>
          <cell r="AG1205" t="str">
            <v>12490740</v>
          </cell>
          <cell r="AH1205">
            <v>44951.950370370374</v>
          </cell>
          <cell r="AI1205" t="str">
            <v>N52</v>
          </cell>
          <cell r="AJ1205" t="str">
            <v>F</v>
          </cell>
          <cell r="AK1205" t="str">
            <v/>
          </cell>
        </row>
        <row r="1206">
          <cell r="A1206" t="str">
            <v>12490741829053</v>
          </cell>
          <cell r="B1206">
            <v>0</v>
          </cell>
          <cell r="C1206">
            <v>28</v>
          </cell>
          <cell r="D1206" t="str">
            <v>EK65</v>
          </cell>
          <cell r="E1206" t="str">
            <v>703309</v>
          </cell>
          <cell r="F1206" t="str">
            <v>E</v>
          </cell>
          <cell r="G1206" t="str">
            <v>12490741</v>
          </cell>
          <cell r="H1206" t="str">
            <v>Lochstreifen</v>
          </cell>
          <cell r="I1206">
            <v>97</v>
          </cell>
          <cell r="J1206" t="str">
            <v>Stk</v>
          </cell>
          <cell r="K1206">
            <v>45098</v>
          </cell>
          <cell r="L1206" t="str">
            <v>829053</v>
          </cell>
          <cell r="M1206" t="str">
            <v/>
          </cell>
          <cell r="N1206" t="str">
            <v/>
          </cell>
          <cell r="O1206" t="str">
            <v/>
          </cell>
          <cell r="P1206" t="str">
            <v/>
          </cell>
          <cell r="Q1206" t="str">
            <v/>
          </cell>
          <cell r="R1206" t="str">
            <v/>
          </cell>
          <cell r="S1206" t="str">
            <v/>
          </cell>
          <cell r="T1206" t="str">
            <v/>
          </cell>
          <cell r="U1206" t="str">
            <v/>
          </cell>
          <cell r="V1206" t="str">
            <v>N52</v>
          </cell>
          <cell r="W1206" t="str">
            <v/>
          </cell>
          <cell r="X1206" t="str">
            <v/>
          </cell>
          <cell r="Y1206" t="str">
            <v/>
          </cell>
          <cell r="Z1206" t="str">
            <v/>
          </cell>
          <cell r="AA1206" t="str">
            <v/>
          </cell>
          <cell r="AB1206" t="str">
            <v>PA_4421313-UA.7005-4</v>
          </cell>
          <cell r="AC1206">
            <v>1</v>
          </cell>
          <cell r="AD1206" t="str">
            <v/>
          </cell>
          <cell r="AE1206">
            <v>0</v>
          </cell>
          <cell r="AF1206" t="str">
            <v/>
          </cell>
          <cell r="AG1206" t="str">
            <v>12490741</v>
          </cell>
          <cell r="AH1206">
            <v>44951.950474537036</v>
          </cell>
          <cell r="AI1206" t="str">
            <v>N52</v>
          </cell>
          <cell r="AJ1206" t="str">
            <v>F</v>
          </cell>
          <cell r="AK1206" t="str">
            <v/>
          </cell>
        </row>
        <row r="1207">
          <cell r="A1207" t="str">
            <v>12490741829051</v>
          </cell>
          <cell r="B1207" t="str">
            <v>Übergabe Task Force</v>
          </cell>
          <cell r="C1207">
            <v>28</v>
          </cell>
          <cell r="D1207" t="str">
            <v>EK65</v>
          </cell>
          <cell r="E1207" t="str">
            <v>703310</v>
          </cell>
          <cell r="F1207" t="str">
            <v>E</v>
          </cell>
          <cell r="G1207" t="str">
            <v>12490741</v>
          </cell>
          <cell r="H1207" t="str">
            <v>Lochstreifen</v>
          </cell>
          <cell r="I1207">
            <v>179</v>
          </cell>
          <cell r="J1207" t="str">
            <v>Stk</v>
          </cell>
          <cell r="K1207">
            <v>45182</v>
          </cell>
          <cell r="L1207" t="str">
            <v>829051</v>
          </cell>
          <cell r="M1207" t="str">
            <v/>
          </cell>
          <cell r="N1207" t="str">
            <v/>
          </cell>
          <cell r="O1207" t="str">
            <v/>
          </cell>
          <cell r="P1207" t="str">
            <v/>
          </cell>
          <cell r="Q1207" t="str">
            <v/>
          </cell>
          <cell r="R1207" t="str">
            <v/>
          </cell>
          <cell r="S1207" t="str">
            <v/>
          </cell>
          <cell r="T1207" t="str">
            <v/>
          </cell>
          <cell r="U1207" t="str">
            <v/>
          </cell>
          <cell r="V1207" t="str">
            <v>N52</v>
          </cell>
          <cell r="W1207" t="str">
            <v/>
          </cell>
          <cell r="X1207" t="str">
            <v/>
          </cell>
          <cell r="Y1207" t="str">
            <v/>
          </cell>
          <cell r="Z1207" t="str">
            <v/>
          </cell>
          <cell r="AA1207" t="str">
            <v/>
          </cell>
          <cell r="AB1207" t="str">
            <v>PA_4421313-UA.7005-4</v>
          </cell>
          <cell r="AC1207">
            <v>1</v>
          </cell>
          <cell r="AD1207" t="str">
            <v/>
          </cell>
          <cell r="AE1207">
            <v>0</v>
          </cell>
          <cell r="AF1207" t="str">
            <v/>
          </cell>
          <cell r="AG1207" t="str">
            <v>12490741</v>
          </cell>
          <cell r="AH1207">
            <v>44951.950474537036</v>
          </cell>
          <cell r="AI1207" t="str">
            <v>N52</v>
          </cell>
          <cell r="AJ1207" t="str">
            <v>F</v>
          </cell>
          <cell r="AK1207" t="str">
            <v/>
          </cell>
        </row>
        <row r="1208">
          <cell r="A1208" t="str">
            <v>12490741829052</v>
          </cell>
          <cell r="B1208" t="str">
            <v>Übergabe Task Force</v>
          </cell>
          <cell r="C1208">
            <v>28</v>
          </cell>
          <cell r="D1208" t="str">
            <v>EK65</v>
          </cell>
          <cell r="E1208" t="str">
            <v>703311</v>
          </cell>
          <cell r="F1208" t="str">
            <v>E</v>
          </cell>
          <cell r="G1208" t="str">
            <v>12490741</v>
          </cell>
          <cell r="H1208" t="str">
            <v>Lochstreifen</v>
          </cell>
          <cell r="I1208">
            <v>124</v>
          </cell>
          <cell r="J1208" t="str">
            <v>Stk</v>
          </cell>
          <cell r="K1208">
            <v>45197</v>
          </cell>
          <cell r="L1208" t="str">
            <v>829052</v>
          </cell>
          <cell r="M1208" t="str">
            <v/>
          </cell>
          <cell r="N1208" t="str">
            <v/>
          </cell>
          <cell r="O1208" t="str">
            <v/>
          </cell>
          <cell r="P1208" t="str">
            <v/>
          </cell>
          <cell r="Q1208" t="str">
            <v/>
          </cell>
          <cell r="R1208" t="str">
            <v/>
          </cell>
          <cell r="S1208" t="str">
            <v/>
          </cell>
          <cell r="T1208" t="str">
            <v/>
          </cell>
          <cell r="U1208" t="str">
            <v/>
          </cell>
          <cell r="V1208" t="str">
            <v>N52</v>
          </cell>
          <cell r="W1208" t="str">
            <v/>
          </cell>
          <cell r="X1208" t="str">
            <v/>
          </cell>
          <cell r="Y1208" t="str">
            <v/>
          </cell>
          <cell r="Z1208" t="str">
            <v/>
          </cell>
          <cell r="AA1208" t="str">
            <v/>
          </cell>
          <cell r="AB1208" t="str">
            <v>PA_4421313-UA.7005-4</v>
          </cell>
          <cell r="AC1208">
            <v>1</v>
          </cell>
          <cell r="AD1208" t="str">
            <v/>
          </cell>
          <cell r="AE1208">
            <v>0</v>
          </cell>
          <cell r="AF1208" t="str">
            <v/>
          </cell>
          <cell r="AG1208" t="str">
            <v>12490741</v>
          </cell>
          <cell r="AH1208">
            <v>44951.950474537036</v>
          </cell>
          <cell r="AI1208" t="str">
            <v>N52</v>
          </cell>
          <cell r="AJ1208" t="str">
            <v>F</v>
          </cell>
          <cell r="AK1208" t="str">
            <v/>
          </cell>
        </row>
        <row r="1209">
          <cell r="A1209" t="str">
            <v>12505262829053</v>
          </cell>
          <cell r="B1209" t="e">
            <v>#N/A</v>
          </cell>
          <cell r="C1209">
            <v>12</v>
          </cell>
          <cell r="D1209" t="str">
            <v>EK65</v>
          </cell>
          <cell r="E1209" t="str">
            <v>703369</v>
          </cell>
          <cell r="F1209" t="str">
            <v>E</v>
          </cell>
          <cell r="G1209" t="str">
            <v>12505262</v>
          </cell>
          <cell r="H1209" t="str">
            <v>Halter Kaltgeraetesteckd.</v>
          </cell>
          <cell r="I1209">
            <v>12</v>
          </cell>
          <cell r="J1209" t="str">
            <v>Stk</v>
          </cell>
          <cell r="K1209">
            <v>45212</v>
          </cell>
          <cell r="L1209" t="str">
            <v>829053</v>
          </cell>
          <cell r="M1209" t="str">
            <v/>
          </cell>
          <cell r="N1209" t="str">
            <v/>
          </cell>
          <cell r="O1209" t="str">
            <v/>
          </cell>
          <cell r="P1209" t="str">
            <v/>
          </cell>
          <cell r="Q1209" t="str">
            <v/>
          </cell>
          <cell r="R1209" t="str">
            <v/>
          </cell>
          <cell r="S1209" t="str">
            <v/>
          </cell>
          <cell r="T1209" t="str">
            <v/>
          </cell>
          <cell r="U1209" t="str">
            <v/>
          </cell>
          <cell r="V1209" t="str">
            <v>N52</v>
          </cell>
          <cell r="W1209" t="str">
            <v/>
          </cell>
          <cell r="X1209" t="str">
            <v/>
          </cell>
          <cell r="Y1209" t="str">
            <v/>
          </cell>
          <cell r="Z1209" t="str">
            <v/>
          </cell>
          <cell r="AA1209" t="str">
            <v/>
          </cell>
          <cell r="AB1209" t="str">
            <v>PA_4492264-TA.7005-3</v>
          </cell>
          <cell r="AC1209">
            <v>1</v>
          </cell>
          <cell r="AD1209" t="str">
            <v/>
          </cell>
          <cell r="AE1209">
            <v>0</v>
          </cell>
          <cell r="AF1209" t="str">
            <v/>
          </cell>
          <cell r="AG1209" t="str">
            <v>12505262</v>
          </cell>
          <cell r="AH1209">
            <v>44951.951504629629</v>
          </cell>
          <cell r="AI1209" t="str">
            <v>N52</v>
          </cell>
          <cell r="AJ1209" t="str">
            <v>F</v>
          </cell>
          <cell r="AK1209" t="str">
            <v/>
          </cell>
        </row>
        <row r="1210">
          <cell r="A1210" t="str">
            <v>12505393829053</v>
          </cell>
          <cell r="B1210" t="e">
            <v>#N/A</v>
          </cell>
          <cell r="C1210">
            <v>12</v>
          </cell>
          <cell r="D1210" t="str">
            <v>EK65</v>
          </cell>
          <cell r="E1210" t="str">
            <v>703370</v>
          </cell>
          <cell r="F1210" t="str">
            <v>E</v>
          </cell>
          <cell r="G1210" t="str">
            <v>12505393</v>
          </cell>
          <cell r="H1210" t="str">
            <v>Halter Steckdose</v>
          </cell>
          <cell r="I1210">
            <v>10</v>
          </cell>
          <cell r="J1210" t="str">
            <v>Stk</v>
          </cell>
          <cell r="K1210">
            <v>45226</v>
          </cell>
          <cell r="L1210" t="str">
            <v>829053</v>
          </cell>
          <cell r="M1210" t="str">
            <v/>
          </cell>
          <cell r="N1210" t="str">
            <v/>
          </cell>
          <cell r="O1210" t="str">
            <v/>
          </cell>
          <cell r="P1210" t="str">
            <v/>
          </cell>
          <cell r="Q1210" t="str">
            <v/>
          </cell>
          <cell r="R1210" t="str">
            <v/>
          </cell>
          <cell r="S1210" t="str">
            <v/>
          </cell>
          <cell r="T1210" t="str">
            <v/>
          </cell>
          <cell r="U1210" t="str">
            <v/>
          </cell>
          <cell r="V1210" t="str">
            <v>N38</v>
          </cell>
          <cell r="W1210" t="str">
            <v/>
          </cell>
          <cell r="X1210" t="str">
            <v/>
          </cell>
          <cell r="Y1210" t="str">
            <v/>
          </cell>
          <cell r="Z1210" t="str">
            <v/>
          </cell>
          <cell r="AA1210" t="str">
            <v/>
          </cell>
          <cell r="AB1210" t="str">
            <v>PA_4398990-TA.7005-3</v>
          </cell>
          <cell r="AC1210">
            <v>1</v>
          </cell>
          <cell r="AD1210" t="str">
            <v/>
          </cell>
          <cell r="AE1210">
            <v>0</v>
          </cell>
          <cell r="AF1210" t="str">
            <v/>
          </cell>
          <cell r="AG1210" t="str">
            <v>12505393</v>
          </cell>
          <cell r="AH1210">
            <v>44951.951539351852</v>
          </cell>
          <cell r="AI1210" t="str">
            <v>N38</v>
          </cell>
          <cell r="AJ1210" t="str">
            <v>F</v>
          </cell>
          <cell r="AK1210" t="str">
            <v/>
          </cell>
        </row>
        <row r="1211">
          <cell r="A1211" t="str">
            <v>12505800829540</v>
          </cell>
          <cell r="B1211" t="str">
            <v>Übergabe Task Force</v>
          </cell>
          <cell r="C1211" t="e">
            <v>#N/A</v>
          </cell>
          <cell r="D1211" t="str">
            <v>EK65</v>
          </cell>
          <cell r="E1211" t="str">
            <v>703372</v>
          </cell>
          <cell r="F1211" t="str">
            <v>E</v>
          </cell>
          <cell r="G1211" t="str">
            <v>12505800</v>
          </cell>
          <cell r="H1211" t="str">
            <v>Querfederhalter</v>
          </cell>
          <cell r="I1211">
            <v>91</v>
          </cell>
          <cell r="J1211" t="str">
            <v>Stk</v>
          </cell>
          <cell r="K1211">
            <v>44981</v>
          </cell>
          <cell r="L1211" t="str">
            <v>829540</v>
          </cell>
          <cell r="M1211" t="str">
            <v/>
          </cell>
          <cell r="N1211" t="str">
            <v/>
          </cell>
          <cell r="O1211" t="str">
            <v/>
          </cell>
          <cell r="P1211" t="str">
            <v/>
          </cell>
          <cell r="Q1211" t="str">
            <v/>
          </cell>
          <cell r="R1211" t="str">
            <v/>
          </cell>
          <cell r="S1211" t="str">
            <v/>
          </cell>
          <cell r="T1211" t="str">
            <v/>
          </cell>
          <cell r="U1211" t="str">
            <v/>
          </cell>
          <cell r="V1211" t="str">
            <v>N52</v>
          </cell>
          <cell r="W1211" t="str">
            <v>3.1</v>
          </cell>
          <cell r="X1211" t="str">
            <v/>
          </cell>
          <cell r="Y1211" t="str">
            <v/>
          </cell>
          <cell r="Z1211" t="str">
            <v/>
          </cell>
          <cell r="AA1211" t="str">
            <v/>
          </cell>
          <cell r="AB1211" t="str">
            <v>PA_2321822-ED.7005-3</v>
          </cell>
          <cell r="AC1211">
            <v>1</v>
          </cell>
          <cell r="AD1211" t="str">
            <v/>
          </cell>
          <cell r="AE1211">
            <v>0</v>
          </cell>
          <cell r="AF1211" t="str">
            <v/>
          </cell>
          <cell r="AG1211" t="str">
            <v>12505800</v>
          </cell>
          <cell r="AH1211">
            <v>44951.951608796298</v>
          </cell>
          <cell r="AI1211" t="str">
            <v>N52</v>
          </cell>
          <cell r="AJ1211" t="str">
            <v>F</v>
          </cell>
          <cell r="AK1211" t="str">
            <v/>
          </cell>
        </row>
        <row r="1212">
          <cell r="A1212" t="str">
            <v>12505800829560</v>
          </cell>
          <cell r="B1212" t="str">
            <v>Übergabe Task Force</v>
          </cell>
          <cell r="C1212" t="e">
            <v>#N/A</v>
          </cell>
          <cell r="D1212" t="str">
            <v>EK65</v>
          </cell>
          <cell r="E1212" t="str">
            <v>703373</v>
          </cell>
          <cell r="F1212" t="str">
            <v>E</v>
          </cell>
          <cell r="G1212" t="str">
            <v>12505800</v>
          </cell>
          <cell r="H1212" t="str">
            <v>Querfederhalter</v>
          </cell>
          <cell r="I1212">
            <v>14</v>
          </cell>
          <cell r="J1212" t="str">
            <v>Stk</v>
          </cell>
          <cell r="K1212">
            <v>45019</v>
          </cell>
          <cell r="L1212" t="str">
            <v>829560</v>
          </cell>
          <cell r="M1212" t="str">
            <v/>
          </cell>
          <cell r="N1212" t="str">
            <v/>
          </cell>
          <cell r="O1212" t="str">
            <v/>
          </cell>
          <cell r="P1212" t="str">
            <v/>
          </cell>
          <cell r="Q1212" t="str">
            <v/>
          </cell>
          <cell r="R1212" t="str">
            <v/>
          </cell>
          <cell r="S1212" t="str">
            <v/>
          </cell>
          <cell r="T1212" t="str">
            <v/>
          </cell>
          <cell r="U1212" t="str">
            <v/>
          </cell>
          <cell r="V1212" t="str">
            <v>N52</v>
          </cell>
          <cell r="W1212" t="str">
            <v>3.1</v>
          </cell>
          <cell r="X1212" t="str">
            <v/>
          </cell>
          <cell r="Y1212" t="str">
            <v/>
          </cell>
          <cell r="Z1212" t="str">
            <v/>
          </cell>
          <cell r="AA1212" t="str">
            <v/>
          </cell>
          <cell r="AB1212" t="str">
            <v>PA_2321822-ED.7005-3</v>
          </cell>
          <cell r="AC1212">
            <v>1</v>
          </cell>
          <cell r="AD1212" t="str">
            <v/>
          </cell>
          <cell r="AE1212">
            <v>0</v>
          </cell>
          <cell r="AF1212" t="str">
            <v/>
          </cell>
          <cell r="AG1212" t="str">
            <v>12505800</v>
          </cell>
          <cell r="AH1212">
            <v>44951.951608796298</v>
          </cell>
          <cell r="AI1212" t="str">
            <v>N52</v>
          </cell>
          <cell r="AJ1212" t="str">
            <v>F</v>
          </cell>
          <cell r="AK1212" t="str">
            <v/>
          </cell>
        </row>
        <row r="1213">
          <cell r="A1213" t="str">
            <v>12505800829510</v>
          </cell>
          <cell r="B1213" t="str">
            <v>Übergabe Task Force</v>
          </cell>
          <cell r="C1213" t="e">
            <v>#N/A</v>
          </cell>
          <cell r="D1213" t="str">
            <v>EK65</v>
          </cell>
          <cell r="E1213" t="str">
            <v>703374</v>
          </cell>
          <cell r="F1213" t="str">
            <v>E</v>
          </cell>
          <cell r="G1213" t="str">
            <v>12505800</v>
          </cell>
          <cell r="H1213" t="str">
            <v>Querfederhalter</v>
          </cell>
          <cell r="I1213">
            <v>95</v>
          </cell>
          <cell r="J1213" t="str">
            <v>Stk</v>
          </cell>
          <cell r="K1213">
            <v>45040</v>
          </cell>
          <cell r="L1213" t="str">
            <v>829510</v>
          </cell>
          <cell r="M1213" t="str">
            <v/>
          </cell>
          <cell r="N1213" t="str">
            <v/>
          </cell>
          <cell r="O1213" t="str">
            <v/>
          </cell>
          <cell r="P1213" t="str">
            <v/>
          </cell>
          <cell r="Q1213" t="str">
            <v/>
          </cell>
          <cell r="R1213" t="str">
            <v/>
          </cell>
          <cell r="S1213" t="str">
            <v/>
          </cell>
          <cell r="T1213" t="str">
            <v/>
          </cell>
          <cell r="U1213" t="str">
            <v/>
          </cell>
          <cell r="V1213" t="str">
            <v>N52</v>
          </cell>
          <cell r="W1213" t="str">
            <v>3.1</v>
          </cell>
          <cell r="X1213" t="str">
            <v/>
          </cell>
          <cell r="Y1213" t="str">
            <v/>
          </cell>
          <cell r="Z1213" t="str">
            <v/>
          </cell>
          <cell r="AA1213" t="str">
            <v/>
          </cell>
          <cell r="AB1213" t="str">
            <v>PA_2321822-ED.7005-3</v>
          </cell>
          <cell r="AC1213">
            <v>1</v>
          </cell>
          <cell r="AD1213" t="str">
            <v/>
          </cell>
          <cell r="AE1213">
            <v>0</v>
          </cell>
          <cell r="AF1213" t="str">
            <v/>
          </cell>
          <cell r="AG1213" t="str">
            <v>12505800</v>
          </cell>
          <cell r="AH1213">
            <v>44951.951608796298</v>
          </cell>
          <cell r="AI1213" t="str">
            <v>N52</v>
          </cell>
          <cell r="AJ1213" t="str">
            <v>F</v>
          </cell>
          <cell r="AK1213" t="str">
            <v/>
          </cell>
        </row>
        <row r="1214">
          <cell r="A1214" t="str">
            <v>12505800829520</v>
          </cell>
          <cell r="B1214" t="str">
            <v>Übergabe Task Force</v>
          </cell>
          <cell r="C1214" t="e">
            <v>#N/A</v>
          </cell>
          <cell r="D1214" t="str">
            <v>EK65</v>
          </cell>
          <cell r="E1214" t="str">
            <v>703375</v>
          </cell>
          <cell r="F1214" t="str">
            <v>E</v>
          </cell>
          <cell r="G1214" t="str">
            <v>12505800</v>
          </cell>
          <cell r="H1214" t="str">
            <v>Querfederhalter</v>
          </cell>
          <cell r="I1214">
            <v>109</v>
          </cell>
          <cell r="J1214" t="str">
            <v>Stk</v>
          </cell>
          <cell r="K1214">
            <v>45040</v>
          </cell>
          <cell r="L1214" t="str">
            <v>829520</v>
          </cell>
          <cell r="M1214" t="str">
            <v/>
          </cell>
          <cell r="N1214" t="str">
            <v/>
          </cell>
          <cell r="O1214" t="str">
            <v/>
          </cell>
          <cell r="P1214" t="str">
            <v/>
          </cell>
          <cell r="Q1214" t="str">
            <v/>
          </cell>
          <cell r="R1214" t="str">
            <v/>
          </cell>
          <cell r="S1214" t="str">
            <v/>
          </cell>
          <cell r="T1214" t="str">
            <v/>
          </cell>
          <cell r="U1214" t="str">
            <v/>
          </cell>
          <cell r="V1214" t="str">
            <v>N52</v>
          </cell>
          <cell r="W1214" t="str">
            <v>3.1</v>
          </cell>
          <cell r="X1214" t="str">
            <v/>
          </cell>
          <cell r="Y1214" t="str">
            <v/>
          </cell>
          <cell r="Z1214" t="str">
            <v/>
          </cell>
          <cell r="AA1214" t="str">
            <v/>
          </cell>
          <cell r="AB1214" t="str">
            <v>PA_2321822-ED.7005-3</v>
          </cell>
          <cell r="AC1214">
            <v>1</v>
          </cell>
          <cell r="AD1214" t="str">
            <v/>
          </cell>
          <cell r="AE1214">
            <v>0</v>
          </cell>
          <cell r="AF1214" t="str">
            <v/>
          </cell>
          <cell r="AG1214" t="str">
            <v>12505800</v>
          </cell>
          <cell r="AH1214">
            <v>44951.951608796298</v>
          </cell>
          <cell r="AI1214" t="str">
            <v>N52</v>
          </cell>
          <cell r="AJ1214" t="str">
            <v>F</v>
          </cell>
          <cell r="AK1214" t="str">
            <v/>
          </cell>
        </row>
        <row r="1215">
          <cell r="A1215" t="str">
            <v>12505800829530</v>
          </cell>
          <cell r="B1215" t="str">
            <v>Übergabe Task Force</v>
          </cell>
          <cell r="C1215" t="e">
            <v>#N/A</v>
          </cell>
          <cell r="D1215" t="str">
            <v>EK65</v>
          </cell>
          <cell r="E1215" t="str">
            <v>703376</v>
          </cell>
          <cell r="F1215" t="str">
            <v>E</v>
          </cell>
          <cell r="G1215" t="str">
            <v>12505800</v>
          </cell>
          <cell r="H1215" t="str">
            <v>Querfederhalter</v>
          </cell>
          <cell r="I1215">
            <v>14</v>
          </cell>
          <cell r="J1215" t="str">
            <v>Stk</v>
          </cell>
          <cell r="K1215">
            <v>45054</v>
          </cell>
          <cell r="L1215" t="str">
            <v>829530</v>
          </cell>
          <cell r="M1215" t="str">
            <v/>
          </cell>
          <cell r="N1215" t="str">
            <v/>
          </cell>
          <cell r="O1215" t="str">
            <v/>
          </cell>
          <cell r="P1215" t="str">
            <v/>
          </cell>
          <cell r="Q1215" t="str">
            <v/>
          </cell>
          <cell r="R1215" t="str">
            <v/>
          </cell>
          <cell r="S1215" t="str">
            <v/>
          </cell>
          <cell r="T1215" t="str">
            <v/>
          </cell>
          <cell r="U1215" t="str">
            <v/>
          </cell>
          <cell r="V1215" t="str">
            <v>N52</v>
          </cell>
          <cell r="W1215" t="str">
            <v>3.1</v>
          </cell>
          <cell r="X1215" t="str">
            <v/>
          </cell>
          <cell r="Y1215" t="str">
            <v/>
          </cell>
          <cell r="Z1215" t="str">
            <v/>
          </cell>
          <cell r="AA1215" t="str">
            <v/>
          </cell>
          <cell r="AB1215" t="str">
            <v>PA_2321822-ED.7005-3</v>
          </cell>
          <cell r="AC1215">
            <v>1</v>
          </cell>
          <cell r="AD1215" t="str">
            <v/>
          </cell>
          <cell r="AE1215">
            <v>0</v>
          </cell>
          <cell r="AF1215" t="str">
            <v/>
          </cell>
          <cell r="AG1215" t="str">
            <v>12505800</v>
          </cell>
          <cell r="AH1215">
            <v>44951.951608796298</v>
          </cell>
          <cell r="AI1215" t="str">
            <v>N52</v>
          </cell>
          <cell r="AJ1215" t="str">
            <v>F</v>
          </cell>
          <cell r="AK1215" t="str">
            <v/>
          </cell>
        </row>
        <row r="1216">
          <cell r="A1216" t="str">
            <v>12505853829053</v>
          </cell>
          <cell r="B1216">
            <v>0</v>
          </cell>
          <cell r="C1216">
            <v>12</v>
          </cell>
          <cell r="D1216" t="str">
            <v>EK65</v>
          </cell>
          <cell r="E1216" t="str">
            <v>703378</v>
          </cell>
          <cell r="F1216" t="str">
            <v>E</v>
          </cell>
          <cell r="G1216" t="str">
            <v>12505853</v>
          </cell>
          <cell r="H1216" t="str">
            <v>Halter vollst.</v>
          </cell>
          <cell r="I1216">
            <v>46</v>
          </cell>
          <cell r="J1216" t="str">
            <v>Stk</v>
          </cell>
          <cell r="K1216">
            <v>45114</v>
          </cell>
          <cell r="L1216" t="str">
            <v>829053</v>
          </cell>
          <cell r="M1216" t="str">
            <v/>
          </cell>
          <cell r="N1216" t="str">
            <v/>
          </cell>
          <cell r="O1216" t="str">
            <v/>
          </cell>
          <cell r="P1216" t="str">
            <v/>
          </cell>
          <cell r="Q1216" t="str">
            <v/>
          </cell>
          <cell r="R1216" t="str">
            <v/>
          </cell>
          <cell r="S1216" t="str">
            <v/>
          </cell>
          <cell r="T1216" t="str">
            <v/>
          </cell>
          <cell r="U1216" t="str">
            <v/>
          </cell>
          <cell r="V1216" t="str">
            <v>N52</v>
          </cell>
          <cell r="W1216" t="str">
            <v/>
          </cell>
          <cell r="X1216" t="str">
            <v/>
          </cell>
          <cell r="Y1216" t="str">
            <v/>
          </cell>
          <cell r="Z1216" t="str">
            <v/>
          </cell>
          <cell r="AA1216" t="str">
            <v/>
          </cell>
          <cell r="AB1216" t="str">
            <v>PA_4473861-TC.7005-3</v>
          </cell>
          <cell r="AC1216">
            <v>1</v>
          </cell>
          <cell r="AD1216" t="str">
            <v/>
          </cell>
          <cell r="AE1216">
            <v>0</v>
          </cell>
          <cell r="AF1216" t="str">
            <v/>
          </cell>
          <cell r="AG1216" t="str">
            <v>12505853</v>
          </cell>
          <cell r="AH1216">
            <v>44951.951631944445</v>
          </cell>
          <cell r="AI1216" t="str">
            <v>N52</v>
          </cell>
          <cell r="AJ1216" t="str">
            <v>F</v>
          </cell>
          <cell r="AK1216" t="str">
            <v/>
          </cell>
        </row>
        <row r="1217">
          <cell r="A1217" t="str">
            <v>12505853829054</v>
          </cell>
          <cell r="B1217" t="str">
            <v>Übergabe Task Force</v>
          </cell>
          <cell r="C1217">
            <v>12</v>
          </cell>
          <cell r="D1217" t="str">
            <v>EK65</v>
          </cell>
          <cell r="E1217" t="str">
            <v>703379</v>
          </cell>
          <cell r="F1217" t="str">
            <v>E</v>
          </cell>
          <cell r="G1217" t="str">
            <v>12505853</v>
          </cell>
          <cell r="H1217" t="str">
            <v>Halter vollst.</v>
          </cell>
          <cell r="I1217">
            <v>14</v>
          </cell>
          <cell r="J1217" t="str">
            <v>Stk</v>
          </cell>
          <cell r="K1217">
            <v>45156</v>
          </cell>
          <cell r="L1217" t="str">
            <v>829054</v>
          </cell>
          <cell r="M1217" t="str">
            <v/>
          </cell>
          <cell r="N1217" t="str">
            <v/>
          </cell>
          <cell r="O1217" t="str">
            <v/>
          </cell>
          <cell r="P1217" t="str">
            <v/>
          </cell>
          <cell r="Q1217" t="str">
            <v/>
          </cell>
          <cell r="R1217" t="str">
            <v/>
          </cell>
          <cell r="S1217" t="str">
            <v/>
          </cell>
          <cell r="T1217" t="str">
            <v/>
          </cell>
          <cell r="U1217" t="str">
            <v/>
          </cell>
          <cell r="V1217" t="str">
            <v>N52</v>
          </cell>
          <cell r="W1217" t="str">
            <v/>
          </cell>
          <cell r="X1217" t="str">
            <v/>
          </cell>
          <cell r="Y1217" t="str">
            <v/>
          </cell>
          <cell r="Z1217" t="str">
            <v/>
          </cell>
          <cell r="AA1217" t="str">
            <v/>
          </cell>
          <cell r="AB1217" t="str">
            <v>PA_4473861-TC.7005-3</v>
          </cell>
          <cell r="AC1217">
            <v>1</v>
          </cell>
          <cell r="AD1217" t="str">
            <v/>
          </cell>
          <cell r="AE1217">
            <v>0</v>
          </cell>
          <cell r="AF1217" t="str">
            <v/>
          </cell>
          <cell r="AG1217" t="str">
            <v>12505853</v>
          </cell>
          <cell r="AH1217">
            <v>44951.951631944445</v>
          </cell>
          <cell r="AI1217" t="str">
            <v>N52</v>
          </cell>
          <cell r="AJ1217" t="str">
            <v>F</v>
          </cell>
          <cell r="AK1217" t="str">
            <v/>
          </cell>
        </row>
        <row r="1218">
          <cell r="A1218" t="str">
            <v>12506059829051</v>
          </cell>
          <cell r="B1218" t="str">
            <v>Übergabe Task Force</v>
          </cell>
          <cell r="C1218" t="e">
            <v>#N/A</v>
          </cell>
          <cell r="D1218" t="str">
            <v>EK65</v>
          </cell>
          <cell r="E1218" t="str">
            <v>703391</v>
          </cell>
          <cell r="F1218" t="str">
            <v>E</v>
          </cell>
          <cell r="G1218" t="str">
            <v>12506059</v>
          </cell>
          <cell r="H1218" t="str">
            <v>Halter Steckdose</v>
          </cell>
          <cell r="I1218">
            <v>39</v>
          </cell>
          <cell r="J1218" t="str">
            <v>Stk</v>
          </cell>
          <cell r="K1218">
            <v>45261</v>
          </cell>
          <cell r="L1218" t="str">
            <v>829051</v>
          </cell>
          <cell r="M1218" t="str">
            <v/>
          </cell>
          <cell r="N1218" t="str">
            <v/>
          </cell>
          <cell r="O1218" t="str">
            <v/>
          </cell>
          <cell r="P1218" t="str">
            <v/>
          </cell>
          <cell r="Q1218" t="str">
            <v/>
          </cell>
          <cell r="R1218" t="str">
            <v/>
          </cell>
          <cell r="S1218" t="str">
            <v/>
          </cell>
          <cell r="T1218" t="str">
            <v/>
          </cell>
          <cell r="U1218" t="str">
            <v/>
          </cell>
          <cell r="V1218" t="str">
            <v>N38</v>
          </cell>
          <cell r="W1218" t="str">
            <v/>
          </cell>
          <cell r="X1218" t="str">
            <v/>
          </cell>
          <cell r="Y1218" t="str">
            <v/>
          </cell>
          <cell r="Z1218" t="str">
            <v/>
          </cell>
          <cell r="AA1218" t="str">
            <v/>
          </cell>
          <cell r="AB1218" t="str">
            <v>PA_4385637-TA.7005-3</v>
          </cell>
          <cell r="AC1218">
            <v>1</v>
          </cell>
          <cell r="AD1218" t="str">
            <v/>
          </cell>
          <cell r="AE1218">
            <v>0</v>
          </cell>
          <cell r="AF1218" t="str">
            <v/>
          </cell>
          <cell r="AG1218" t="str">
            <v>12506059</v>
          </cell>
          <cell r="AH1218">
            <v>44951.951701388891</v>
          </cell>
          <cell r="AI1218" t="str">
            <v>N38</v>
          </cell>
          <cell r="AJ1218" t="str">
            <v>F</v>
          </cell>
          <cell r="AK1218" t="str">
            <v/>
          </cell>
        </row>
        <row r="1219">
          <cell r="A1219" t="str">
            <v>12506206829051</v>
          </cell>
          <cell r="B1219" t="str">
            <v>Übergabe Task Force</v>
          </cell>
          <cell r="C1219">
            <v>10</v>
          </cell>
          <cell r="D1219" t="str">
            <v>EK65</v>
          </cell>
          <cell r="E1219" t="str">
            <v>703396</v>
          </cell>
          <cell r="F1219" t="str">
            <v>E</v>
          </cell>
          <cell r="G1219" t="str">
            <v>12506206</v>
          </cell>
          <cell r="H1219" t="str">
            <v>Befestigungsblech</v>
          </cell>
          <cell r="I1219">
            <v>89</v>
          </cell>
          <cell r="J1219" t="str">
            <v>Stk</v>
          </cell>
          <cell r="K1219">
            <v>45219</v>
          </cell>
          <cell r="L1219" t="str">
            <v>829051</v>
          </cell>
          <cell r="M1219" t="str">
            <v/>
          </cell>
          <cell r="N1219" t="str">
            <v/>
          </cell>
          <cell r="O1219" t="str">
            <v/>
          </cell>
          <cell r="P1219" t="str">
            <v/>
          </cell>
          <cell r="Q1219" t="str">
            <v/>
          </cell>
          <cell r="R1219" t="str">
            <v/>
          </cell>
          <cell r="S1219" t="str">
            <v/>
          </cell>
          <cell r="T1219" t="str">
            <v/>
          </cell>
          <cell r="U1219" t="str">
            <v/>
          </cell>
          <cell r="V1219" t="str">
            <v>N52</v>
          </cell>
          <cell r="W1219" t="str">
            <v/>
          </cell>
          <cell r="X1219" t="str">
            <v/>
          </cell>
          <cell r="Y1219" t="str">
            <v/>
          </cell>
          <cell r="Z1219" t="str">
            <v/>
          </cell>
          <cell r="AA1219" t="str">
            <v/>
          </cell>
          <cell r="AB1219" t="str">
            <v>PA_2344040-TA.7005-3</v>
          </cell>
          <cell r="AC1219">
            <v>1</v>
          </cell>
          <cell r="AD1219" t="str">
            <v/>
          </cell>
          <cell r="AE1219">
            <v>0</v>
          </cell>
          <cell r="AF1219" t="str">
            <v/>
          </cell>
          <cell r="AG1219" t="str">
            <v>12506206</v>
          </cell>
          <cell r="AH1219">
            <v>44951.951782407406</v>
          </cell>
          <cell r="AI1219" t="str">
            <v>N52</v>
          </cell>
          <cell r="AJ1219" t="str">
            <v>F</v>
          </cell>
          <cell r="AK1219" t="str">
            <v/>
          </cell>
        </row>
        <row r="1220">
          <cell r="A1220" t="str">
            <v>12506296829053</v>
          </cell>
          <cell r="B1220" t="str">
            <v>Übergabe Task Force</v>
          </cell>
          <cell r="C1220" t="e">
            <v>#N/A</v>
          </cell>
          <cell r="D1220" t="str">
            <v>EK65</v>
          </cell>
          <cell r="E1220" t="str">
            <v>703399</v>
          </cell>
          <cell r="F1220" t="str">
            <v>E</v>
          </cell>
          <cell r="G1220" t="str">
            <v>12506296</v>
          </cell>
          <cell r="H1220" t="str">
            <v>Halter vollst.</v>
          </cell>
          <cell r="I1220">
            <v>38</v>
          </cell>
          <cell r="J1220" t="str">
            <v>Stk</v>
          </cell>
          <cell r="K1220">
            <v>45156</v>
          </cell>
          <cell r="L1220" t="str">
            <v>829053</v>
          </cell>
          <cell r="M1220" t="str">
            <v/>
          </cell>
          <cell r="N1220" t="str">
            <v/>
          </cell>
          <cell r="O1220" t="str">
            <v/>
          </cell>
          <cell r="P1220" t="str">
            <v/>
          </cell>
          <cell r="Q1220" t="str">
            <v/>
          </cell>
          <cell r="R1220" t="str">
            <v/>
          </cell>
          <cell r="S1220" t="str">
            <v/>
          </cell>
          <cell r="T1220" t="str">
            <v/>
          </cell>
          <cell r="U1220" t="str">
            <v/>
          </cell>
          <cell r="V1220" t="str">
            <v>N38</v>
          </cell>
          <cell r="W1220" t="str">
            <v/>
          </cell>
          <cell r="X1220" t="str">
            <v/>
          </cell>
          <cell r="Y1220" t="str">
            <v/>
          </cell>
          <cell r="Z1220" t="str">
            <v/>
          </cell>
          <cell r="AA1220" t="str">
            <v/>
          </cell>
          <cell r="AB1220" t="str">
            <v>PA_4474746-UB.7005-3</v>
          </cell>
          <cell r="AC1220">
            <v>1</v>
          </cell>
          <cell r="AD1220" t="str">
            <v/>
          </cell>
          <cell r="AE1220">
            <v>0</v>
          </cell>
          <cell r="AF1220" t="str">
            <v/>
          </cell>
          <cell r="AG1220" t="str">
            <v>12506296</v>
          </cell>
          <cell r="AH1220">
            <v>44951.951851851853</v>
          </cell>
          <cell r="AI1220" t="str">
            <v>N38</v>
          </cell>
          <cell r="AJ1220" t="str">
            <v>F</v>
          </cell>
          <cell r="AK1220" t="str">
            <v/>
          </cell>
        </row>
        <row r="1221">
          <cell r="A1221" t="str">
            <v>12506308829053</v>
          </cell>
          <cell r="B1221" t="str">
            <v>Übergabe Task Force</v>
          </cell>
          <cell r="C1221">
            <v>6</v>
          </cell>
          <cell r="D1221" t="str">
            <v>EK65</v>
          </cell>
          <cell r="E1221" t="str">
            <v>703400</v>
          </cell>
          <cell r="F1221" t="str">
            <v>E</v>
          </cell>
          <cell r="G1221" t="str">
            <v>12506308</v>
          </cell>
          <cell r="H1221" t="str">
            <v>Winkel</v>
          </cell>
          <cell r="I1221">
            <v>23</v>
          </cell>
          <cell r="J1221" t="str">
            <v>Stk</v>
          </cell>
          <cell r="K1221">
            <v>45114</v>
          </cell>
          <cell r="L1221" t="str">
            <v>829053</v>
          </cell>
          <cell r="M1221" t="str">
            <v/>
          </cell>
          <cell r="N1221" t="str">
            <v/>
          </cell>
          <cell r="O1221" t="str">
            <v/>
          </cell>
          <cell r="P1221" t="str">
            <v/>
          </cell>
          <cell r="Q1221" t="str">
            <v/>
          </cell>
          <cell r="R1221" t="str">
            <v/>
          </cell>
          <cell r="S1221" t="str">
            <v/>
          </cell>
          <cell r="T1221" t="str">
            <v/>
          </cell>
          <cell r="U1221" t="str">
            <v/>
          </cell>
          <cell r="V1221" t="str">
            <v>N52</v>
          </cell>
          <cell r="W1221" t="str">
            <v/>
          </cell>
          <cell r="X1221" t="str">
            <v/>
          </cell>
          <cell r="Y1221" t="str">
            <v/>
          </cell>
          <cell r="Z1221" t="str">
            <v/>
          </cell>
          <cell r="AA1221" t="str">
            <v/>
          </cell>
          <cell r="AB1221" t="str">
            <v>PA_4476020-TC.7005-4</v>
          </cell>
          <cell r="AC1221">
            <v>1</v>
          </cell>
          <cell r="AD1221" t="str">
            <v/>
          </cell>
          <cell r="AE1221">
            <v>0</v>
          </cell>
          <cell r="AF1221" t="str">
            <v/>
          </cell>
          <cell r="AG1221" t="str">
            <v>12506308</v>
          </cell>
          <cell r="AH1221">
            <v>44951.951863425929</v>
          </cell>
          <cell r="AI1221" t="str">
            <v>N52</v>
          </cell>
          <cell r="AJ1221" t="str">
            <v>F</v>
          </cell>
          <cell r="AK1221" t="str">
            <v/>
          </cell>
        </row>
        <row r="1222">
          <cell r="A1222" t="str">
            <v>12506313829053</v>
          </cell>
          <cell r="B1222">
            <v>0</v>
          </cell>
          <cell r="C1222">
            <v>5</v>
          </cell>
          <cell r="D1222" t="str">
            <v>EK65</v>
          </cell>
          <cell r="E1222" t="str">
            <v>703401</v>
          </cell>
          <cell r="F1222" t="str">
            <v>E</v>
          </cell>
          <cell r="G1222" t="str">
            <v>12506313</v>
          </cell>
          <cell r="H1222" t="str">
            <v>Halter CTSM</v>
          </cell>
          <cell r="I1222">
            <v>24</v>
          </cell>
          <cell r="J1222" t="str">
            <v>Stk</v>
          </cell>
          <cell r="K1222">
            <v>45114</v>
          </cell>
          <cell r="L1222" t="str">
            <v>829053</v>
          </cell>
          <cell r="M1222" t="str">
            <v/>
          </cell>
          <cell r="N1222" t="str">
            <v/>
          </cell>
          <cell r="O1222" t="str">
            <v/>
          </cell>
          <cell r="P1222" t="str">
            <v/>
          </cell>
          <cell r="Q1222" t="str">
            <v/>
          </cell>
          <cell r="R1222" t="str">
            <v/>
          </cell>
          <cell r="S1222" t="str">
            <v/>
          </cell>
          <cell r="T1222" t="str">
            <v/>
          </cell>
          <cell r="U1222" t="str">
            <v/>
          </cell>
          <cell r="V1222" t="str">
            <v>N52</v>
          </cell>
          <cell r="W1222" t="str">
            <v/>
          </cell>
          <cell r="X1222" t="str">
            <v/>
          </cell>
          <cell r="Y1222" t="str">
            <v/>
          </cell>
          <cell r="Z1222" t="str">
            <v/>
          </cell>
          <cell r="AA1222" t="str">
            <v/>
          </cell>
          <cell r="AB1222" t="str">
            <v>PA_2345297-TC.7005-3</v>
          </cell>
          <cell r="AC1222">
            <v>1</v>
          </cell>
          <cell r="AD1222" t="str">
            <v/>
          </cell>
          <cell r="AE1222">
            <v>0</v>
          </cell>
          <cell r="AF1222" t="str">
            <v/>
          </cell>
          <cell r="AG1222" t="str">
            <v>12506313</v>
          </cell>
          <cell r="AH1222">
            <v>44951.951874999999</v>
          </cell>
          <cell r="AI1222" t="str">
            <v>N52</v>
          </cell>
          <cell r="AJ1222" t="str">
            <v>F</v>
          </cell>
          <cell r="AK1222" t="str">
            <v/>
          </cell>
        </row>
        <row r="1223">
          <cell r="A1223" t="str">
            <v>12506319829053</v>
          </cell>
          <cell r="B1223" t="str">
            <v>Übergabe Task Force</v>
          </cell>
          <cell r="C1223">
            <v>5</v>
          </cell>
          <cell r="D1223" t="str">
            <v>EK65</v>
          </cell>
          <cell r="E1223" t="str">
            <v>703402</v>
          </cell>
          <cell r="F1223" t="str">
            <v>E</v>
          </cell>
          <cell r="G1223" t="str">
            <v>12506319</v>
          </cell>
          <cell r="H1223" t="str">
            <v>Steckerblech</v>
          </cell>
          <cell r="I1223">
            <v>23</v>
          </cell>
          <cell r="J1223" t="str">
            <v>Stk</v>
          </cell>
          <cell r="K1223">
            <v>45114</v>
          </cell>
          <cell r="L1223" t="str">
            <v>829053</v>
          </cell>
          <cell r="M1223" t="str">
            <v/>
          </cell>
          <cell r="N1223" t="str">
            <v/>
          </cell>
          <cell r="O1223" t="str">
            <v/>
          </cell>
          <cell r="P1223" t="str">
            <v/>
          </cell>
          <cell r="Q1223" t="str">
            <v/>
          </cell>
          <cell r="R1223" t="str">
            <v/>
          </cell>
          <cell r="S1223" t="str">
            <v/>
          </cell>
          <cell r="T1223" t="str">
            <v/>
          </cell>
          <cell r="U1223" t="str">
            <v/>
          </cell>
          <cell r="V1223" t="str">
            <v>N52</v>
          </cell>
          <cell r="W1223" t="str">
            <v/>
          </cell>
          <cell r="X1223" t="str">
            <v/>
          </cell>
          <cell r="Y1223" t="str">
            <v/>
          </cell>
          <cell r="Z1223" t="str">
            <v/>
          </cell>
          <cell r="AA1223" t="str">
            <v/>
          </cell>
          <cell r="AB1223" t="str">
            <v>PA_2344635-TC.7005-3</v>
          </cell>
          <cell r="AC1223">
            <v>1</v>
          </cell>
          <cell r="AD1223" t="str">
            <v/>
          </cell>
          <cell r="AE1223">
            <v>0</v>
          </cell>
          <cell r="AF1223" t="str">
            <v/>
          </cell>
          <cell r="AG1223" t="str">
            <v>12506319</v>
          </cell>
          <cell r="AH1223">
            <v>44951.951874999999</v>
          </cell>
          <cell r="AI1223" t="str">
            <v>N52</v>
          </cell>
          <cell r="AJ1223" t="str">
            <v>F</v>
          </cell>
          <cell r="AK1223" t="str">
            <v>A</v>
          </cell>
        </row>
        <row r="1224">
          <cell r="A1224" t="str">
            <v>12506397829051</v>
          </cell>
          <cell r="B1224" t="str">
            <v>Übergabe Task Force</v>
          </cell>
          <cell r="C1224" t="e">
            <v>#N/A</v>
          </cell>
          <cell r="D1224" t="str">
            <v>EK65</v>
          </cell>
          <cell r="E1224" t="str">
            <v>703403</v>
          </cell>
          <cell r="F1224" t="str">
            <v>E</v>
          </cell>
          <cell r="G1224" t="str">
            <v>12506397</v>
          </cell>
          <cell r="H1224" t="str">
            <v>Tragblech kpl.</v>
          </cell>
          <cell r="I1224">
            <v>42</v>
          </cell>
          <cell r="J1224" t="str">
            <v>Stk</v>
          </cell>
          <cell r="K1224">
            <v>45240</v>
          </cell>
          <cell r="L1224" t="str">
            <v>829051</v>
          </cell>
          <cell r="M1224" t="str">
            <v/>
          </cell>
          <cell r="N1224" t="str">
            <v/>
          </cell>
          <cell r="O1224" t="str">
            <v/>
          </cell>
          <cell r="P1224" t="str">
            <v/>
          </cell>
          <cell r="Q1224" t="str">
            <v/>
          </cell>
          <cell r="R1224" t="str">
            <v/>
          </cell>
          <cell r="S1224" t="str">
            <v/>
          </cell>
          <cell r="T1224" t="str">
            <v/>
          </cell>
          <cell r="U1224" t="str">
            <v/>
          </cell>
          <cell r="V1224" t="str">
            <v>N38</v>
          </cell>
          <cell r="W1224" t="str">
            <v/>
          </cell>
          <cell r="X1224" t="str">
            <v/>
          </cell>
          <cell r="Y1224" t="str">
            <v/>
          </cell>
          <cell r="Z1224" t="str">
            <v/>
          </cell>
          <cell r="AA1224" t="str">
            <v/>
          </cell>
          <cell r="AB1224" t="str">
            <v>PA_2343649-TA.7005-3</v>
          </cell>
          <cell r="AC1224">
            <v>1</v>
          </cell>
          <cell r="AD1224" t="str">
            <v/>
          </cell>
          <cell r="AE1224">
            <v>0</v>
          </cell>
          <cell r="AF1224" t="str">
            <v/>
          </cell>
          <cell r="AG1224" t="str">
            <v>12506397</v>
          </cell>
          <cell r="AH1224">
            <v>44951.951886574076</v>
          </cell>
          <cell r="AI1224" t="str">
            <v>N38</v>
          </cell>
          <cell r="AJ1224" t="str">
            <v>F</v>
          </cell>
          <cell r="AK1224" t="str">
            <v/>
          </cell>
        </row>
        <row r="1225">
          <cell r="A1225" t="str">
            <v>12506418829053</v>
          </cell>
          <cell r="B1225" t="e">
            <v>#N/A</v>
          </cell>
          <cell r="C1225">
            <v>10</v>
          </cell>
          <cell r="D1225" t="str">
            <v>EK65</v>
          </cell>
          <cell r="E1225" t="str">
            <v>703404</v>
          </cell>
          <cell r="F1225" t="str">
            <v>E</v>
          </cell>
          <cell r="G1225" t="str">
            <v>12506418</v>
          </cell>
          <cell r="H1225" t="str">
            <v>Adapterplatte fuer Redbox</v>
          </cell>
          <cell r="I1225">
            <v>11</v>
          </cell>
          <cell r="J1225" t="str">
            <v>Stk</v>
          </cell>
          <cell r="K1225">
            <v>45219</v>
          </cell>
          <cell r="L1225" t="str">
            <v>829053</v>
          </cell>
          <cell r="M1225" t="str">
            <v/>
          </cell>
          <cell r="N1225" t="str">
            <v/>
          </cell>
          <cell r="O1225" t="str">
            <v/>
          </cell>
          <cell r="P1225" t="str">
            <v/>
          </cell>
          <cell r="Q1225" t="str">
            <v/>
          </cell>
          <cell r="R1225" t="str">
            <v/>
          </cell>
          <cell r="S1225" t="str">
            <v/>
          </cell>
          <cell r="T1225" t="str">
            <v/>
          </cell>
          <cell r="U1225" t="str">
            <v/>
          </cell>
          <cell r="V1225" t="str">
            <v>N52</v>
          </cell>
          <cell r="W1225" t="str">
            <v/>
          </cell>
          <cell r="X1225" t="str">
            <v/>
          </cell>
          <cell r="Y1225" t="str">
            <v/>
          </cell>
          <cell r="Z1225" t="str">
            <v/>
          </cell>
          <cell r="AA1225" t="str">
            <v/>
          </cell>
          <cell r="AB1225" t="str">
            <v>PA_2343968-TA.7005-2</v>
          </cell>
          <cell r="AC1225">
            <v>1</v>
          </cell>
          <cell r="AD1225" t="str">
            <v/>
          </cell>
          <cell r="AE1225">
            <v>0</v>
          </cell>
          <cell r="AF1225" t="str">
            <v/>
          </cell>
          <cell r="AG1225" t="str">
            <v>12506418</v>
          </cell>
          <cell r="AH1225">
            <v>44951.951909722222</v>
          </cell>
          <cell r="AI1225" t="str">
            <v>N52</v>
          </cell>
          <cell r="AJ1225" t="str">
            <v>F</v>
          </cell>
          <cell r="AK1225" t="str">
            <v/>
          </cell>
        </row>
        <row r="1226">
          <cell r="A1226" t="str">
            <v>12506429829053</v>
          </cell>
          <cell r="B1226" t="e">
            <v>#N/A</v>
          </cell>
          <cell r="C1226" t="e">
            <v>#N/A</v>
          </cell>
          <cell r="D1226" t="str">
            <v>EK65</v>
          </cell>
          <cell r="E1226" t="str">
            <v>703405</v>
          </cell>
          <cell r="F1226" t="str">
            <v>E</v>
          </cell>
          <cell r="G1226" t="str">
            <v>12506429</v>
          </cell>
          <cell r="H1226" t="str">
            <v>Klemmleistenblech kpl.</v>
          </cell>
          <cell r="I1226">
            <v>13</v>
          </cell>
          <cell r="J1226" t="str">
            <v>Stk</v>
          </cell>
          <cell r="K1226">
            <v>45205</v>
          </cell>
          <cell r="L1226" t="str">
            <v>829053</v>
          </cell>
          <cell r="M1226" t="str">
            <v/>
          </cell>
          <cell r="N1226" t="str">
            <v/>
          </cell>
          <cell r="O1226" t="str">
            <v/>
          </cell>
          <cell r="P1226" t="str">
            <v/>
          </cell>
          <cell r="Q1226" t="str">
            <v/>
          </cell>
          <cell r="R1226" t="str">
            <v/>
          </cell>
          <cell r="S1226" t="str">
            <v/>
          </cell>
          <cell r="T1226" t="str">
            <v/>
          </cell>
          <cell r="U1226" t="str">
            <v/>
          </cell>
          <cell r="V1226" t="str">
            <v>N38</v>
          </cell>
          <cell r="W1226" t="str">
            <v/>
          </cell>
          <cell r="X1226" t="str">
            <v/>
          </cell>
          <cell r="Y1226" t="str">
            <v/>
          </cell>
          <cell r="Z1226" t="str">
            <v/>
          </cell>
          <cell r="AA1226" t="str">
            <v/>
          </cell>
          <cell r="AB1226" t="str">
            <v>PA_4486156-TA.7005-4</v>
          </cell>
          <cell r="AC1226">
            <v>1</v>
          </cell>
          <cell r="AD1226" t="str">
            <v/>
          </cell>
          <cell r="AE1226">
            <v>0</v>
          </cell>
          <cell r="AF1226" t="str">
            <v/>
          </cell>
          <cell r="AG1226" t="str">
            <v>12506429</v>
          </cell>
          <cell r="AH1226">
            <v>44951.951921296299</v>
          </cell>
          <cell r="AI1226" t="str">
            <v>N38</v>
          </cell>
          <cell r="AJ1226" t="str">
            <v>F</v>
          </cell>
          <cell r="AK1226" t="str">
            <v/>
          </cell>
        </row>
        <row r="1227">
          <cell r="A1227" t="str">
            <v>12507400829053</v>
          </cell>
          <cell r="B1227">
            <v>0</v>
          </cell>
          <cell r="C1227">
            <v>4</v>
          </cell>
          <cell r="D1227" t="str">
            <v>EK65</v>
          </cell>
          <cell r="E1227" t="str">
            <v>703409</v>
          </cell>
          <cell r="F1227" t="str">
            <v>E</v>
          </cell>
          <cell r="G1227" t="str">
            <v>12507400</v>
          </cell>
          <cell r="H1227" t="str">
            <v>Abdeckung Automaten</v>
          </cell>
          <cell r="I1227">
            <v>48</v>
          </cell>
          <cell r="J1227" t="str">
            <v>Stk</v>
          </cell>
          <cell r="K1227">
            <v>45114</v>
          </cell>
          <cell r="L1227" t="str">
            <v>829053</v>
          </cell>
          <cell r="M1227" t="str">
            <v/>
          </cell>
          <cell r="N1227" t="str">
            <v/>
          </cell>
          <cell r="O1227" t="str">
            <v/>
          </cell>
          <cell r="P1227" t="str">
            <v/>
          </cell>
          <cell r="Q1227" t="str">
            <v/>
          </cell>
          <cell r="R1227" t="str">
            <v/>
          </cell>
          <cell r="S1227" t="str">
            <v/>
          </cell>
          <cell r="T1227" t="str">
            <v/>
          </cell>
          <cell r="U1227" t="str">
            <v/>
          </cell>
          <cell r="V1227" t="str">
            <v>N52</v>
          </cell>
          <cell r="W1227" t="str">
            <v/>
          </cell>
          <cell r="X1227" t="str">
            <v/>
          </cell>
          <cell r="Y1227" t="str">
            <v/>
          </cell>
          <cell r="Z1227" t="str">
            <v/>
          </cell>
          <cell r="AA1227" t="str">
            <v/>
          </cell>
          <cell r="AB1227" t="str">
            <v>PA_2342249-UA.7005-3</v>
          </cell>
          <cell r="AC1227">
            <v>1</v>
          </cell>
          <cell r="AD1227" t="str">
            <v/>
          </cell>
          <cell r="AE1227">
            <v>0</v>
          </cell>
          <cell r="AF1227" t="str">
            <v/>
          </cell>
          <cell r="AG1227" t="str">
            <v>12507400</v>
          </cell>
          <cell r="AH1227">
            <v>44951.951956018522</v>
          </cell>
          <cell r="AI1227" t="str">
            <v>N52</v>
          </cell>
          <cell r="AJ1227" t="str">
            <v>F</v>
          </cell>
          <cell r="AK1227" t="str">
            <v/>
          </cell>
        </row>
        <row r="1228">
          <cell r="A1228" t="str">
            <v>12507458829054</v>
          </cell>
          <cell r="B1228">
            <v>0</v>
          </cell>
          <cell r="C1228" t="e">
            <v>#N/A</v>
          </cell>
          <cell r="D1228" t="str">
            <v>EK65</v>
          </cell>
          <cell r="E1228" t="str">
            <v>703420</v>
          </cell>
          <cell r="F1228" t="str">
            <v>E</v>
          </cell>
          <cell r="G1228" t="str">
            <v>12507458</v>
          </cell>
          <cell r="H1228" t="str">
            <v>Tragschiene 35 x 7,5 x 53</v>
          </cell>
          <cell r="I1228">
            <v>18</v>
          </cell>
          <cell r="J1228" t="str">
            <v>Stk</v>
          </cell>
          <cell r="K1228">
            <v>45100</v>
          </cell>
          <cell r="L1228" t="str">
            <v>829054</v>
          </cell>
          <cell r="M1228" t="str">
            <v/>
          </cell>
          <cell r="N1228" t="str">
            <v/>
          </cell>
          <cell r="O1228" t="str">
            <v/>
          </cell>
          <cell r="P1228" t="str">
            <v/>
          </cell>
          <cell r="Q1228" t="str">
            <v/>
          </cell>
          <cell r="R1228" t="str">
            <v/>
          </cell>
          <cell r="S1228" t="str">
            <v/>
          </cell>
          <cell r="T1228" t="str">
            <v/>
          </cell>
          <cell r="U1228" t="str">
            <v/>
          </cell>
          <cell r="V1228" t="str">
            <v>N38</v>
          </cell>
          <cell r="W1228" t="str">
            <v/>
          </cell>
          <cell r="X1228" t="str">
            <v/>
          </cell>
          <cell r="Y1228" t="str">
            <v/>
          </cell>
          <cell r="Z1228" t="str">
            <v/>
          </cell>
          <cell r="AA1228" t="str">
            <v/>
          </cell>
          <cell r="AB1228" t="str">
            <v>PA_4487259-UA.7005-4</v>
          </cell>
          <cell r="AC1228">
            <v>1</v>
          </cell>
          <cell r="AD1228" t="str">
            <v/>
          </cell>
          <cell r="AE1228">
            <v>0</v>
          </cell>
          <cell r="AF1228" t="str">
            <v/>
          </cell>
          <cell r="AG1228" t="str">
            <v>12507458</v>
          </cell>
          <cell r="AH1228">
            <v>44951.952048611114</v>
          </cell>
          <cell r="AI1228" t="str">
            <v>N38</v>
          </cell>
          <cell r="AJ1228" t="str">
            <v>F</v>
          </cell>
          <cell r="AK1228" t="str">
            <v/>
          </cell>
        </row>
        <row r="1229">
          <cell r="A1229" t="str">
            <v>12507458829053</v>
          </cell>
          <cell r="B1229">
            <v>0</v>
          </cell>
          <cell r="C1229" t="e">
            <v>#N/A</v>
          </cell>
          <cell r="D1229" t="str">
            <v>EK65</v>
          </cell>
          <cell r="E1229" t="str">
            <v>703421</v>
          </cell>
          <cell r="F1229" t="str">
            <v>E</v>
          </cell>
          <cell r="G1229" t="str">
            <v>12507458</v>
          </cell>
          <cell r="H1229" t="str">
            <v>Tragschiene 35 x 7,5 x 53</v>
          </cell>
          <cell r="I1229">
            <v>47</v>
          </cell>
          <cell r="J1229" t="str">
            <v>Stk</v>
          </cell>
          <cell r="K1229">
            <v>45114</v>
          </cell>
          <cell r="L1229" t="str">
            <v>829053</v>
          </cell>
          <cell r="M1229" t="str">
            <v/>
          </cell>
          <cell r="N1229" t="str">
            <v/>
          </cell>
          <cell r="O1229" t="str">
            <v/>
          </cell>
          <cell r="P1229" t="str">
            <v/>
          </cell>
          <cell r="Q1229" t="str">
            <v/>
          </cell>
          <cell r="R1229" t="str">
            <v/>
          </cell>
          <cell r="S1229" t="str">
            <v/>
          </cell>
          <cell r="T1229" t="str">
            <v/>
          </cell>
          <cell r="U1229" t="str">
            <v/>
          </cell>
          <cell r="V1229" t="str">
            <v>N38</v>
          </cell>
          <cell r="W1229" t="str">
            <v/>
          </cell>
          <cell r="X1229" t="str">
            <v/>
          </cell>
          <cell r="Y1229" t="str">
            <v/>
          </cell>
          <cell r="Z1229" t="str">
            <v/>
          </cell>
          <cell r="AA1229" t="str">
            <v/>
          </cell>
          <cell r="AB1229" t="str">
            <v>PA_4487259-UA.7005-4</v>
          </cell>
          <cell r="AC1229">
            <v>1</v>
          </cell>
          <cell r="AD1229" t="str">
            <v/>
          </cell>
          <cell r="AE1229">
            <v>0</v>
          </cell>
          <cell r="AF1229" t="str">
            <v/>
          </cell>
          <cell r="AG1229" t="str">
            <v>12507458</v>
          </cell>
          <cell r="AH1229">
            <v>44951.952048611114</v>
          </cell>
          <cell r="AI1229" t="str">
            <v>N38</v>
          </cell>
          <cell r="AJ1229" t="str">
            <v>F</v>
          </cell>
          <cell r="AK1229" t="str">
            <v/>
          </cell>
        </row>
        <row r="1230">
          <cell r="A1230" t="str">
            <v>12507464829054</v>
          </cell>
          <cell r="B1230" t="str">
            <v>Übergabe Task Force</v>
          </cell>
          <cell r="C1230" t="e">
            <v>#N/A</v>
          </cell>
          <cell r="D1230" t="str">
            <v>EK65</v>
          </cell>
          <cell r="E1230" t="str">
            <v>703422</v>
          </cell>
          <cell r="F1230" t="str">
            <v>E</v>
          </cell>
          <cell r="G1230" t="str">
            <v>12507464</v>
          </cell>
          <cell r="H1230" t="str">
            <v>Tragschiene 35 x 7,5 x 272</v>
          </cell>
          <cell r="I1230">
            <v>14</v>
          </cell>
          <cell r="J1230" t="str">
            <v>Stk</v>
          </cell>
          <cell r="K1230">
            <v>45156</v>
          </cell>
          <cell r="L1230" t="str">
            <v>829054</v>
          </cell>
          <cell r="M1230" t="str">
            <v/>
          </cell>
          <cell r="N1230" t="str">
            <v/>
          </cell>
          <cell r="O1230" t="str">
            <v/>
          </cell>
          <cell r="P1230" t="str">
            <v/>
          </cell>
          <cell r="Q1230" t="str">
            <v/>
          </cell>
          <cell r="R1230" t="str">
            <v/>
          </cell>
          <cell r="S1230" t="str">
            <v/>
          </cell>
          <cell r="T1230" t="str">
            <v/>
          </cell>
          <cell r="U1230" t="str">
            <v/>
          </cell>
          <cell r="V1230" t="str">
            <v>N38</v>
          </cell>
          <cell r="W1230" t="str">
            <v/>
          </cell>
          <cell r="X1230" t="str">
            <v/>
          </cell>
          <cell r="Y1230" t="str">
            <v/>
          </cell>
          <cell r="Z1230" t="str">
            <v/>
          </cell>
          <cell r="AA1230" t="str">
            <v/>
          </cell>
          <cell r="AB1230" t="str">
            <v>PA_4487266-UA.7005-4</v>
          </cell>
          <cell r="AC1230">
            <v>1</v>
          </cell>
          <cell r="AD1230" t="str">
            <v/>
          </cell>
          <cell r="AE1230">
            <v>0</v>
          </cell>
          <cell r="AF1230" t="str">
            <v/>
          </cell>
          <cell r="AG1230" t="str">
            <v>12507464</v>
          </cell>
          <cell r="AH1230">
            <v>44951.952060185184</v>
          </cell>
          <cell r="AI1230" t="str">
            <v>N38</v>
          </cell>
          <cell r="AJ1230" t="str">
            <v>F</v>
          </cell>
          <cell r="AK1230" t="str">
            <v/>
          </cell>
        </row>
        <row r="1231">
          <cell r="A1231" t="str">
            <v>12507470829054</v>
          </cell>
          <cell r="B1231" t="str">
            <v>Übergabe Task Force</v>
          </cell>
          <cell r="C1231" t="e">
            <v>#N/A</v>
          </cell>
          <cell r="D1231" t="str">
            <v>EK65</v>
          </cell>
          <cell r="E1231" t="str">
            <v>703423</v>
          </cell>
          <cell r="F1231" t="str">
            <v>E</v>
          </cell>
          <cell r="G1231" t="str">
            <v>12507470</v>
          </cell>
          <cell r="H1231" t="str">
            <v>Tragschiene 35 x 7,5 x 356</v>
          </cell>
          <cell r="I1231">
            <v>14</v>
          </cell>
          <cell r="J1231" t="str">
            <v>Stk</v>
          </cell>
          <cell r="K1231">
            <v>45156</v>
          </cell>
          <cell r="L1231" t="str">
            <v>829054</v>
          </cell>
          <cell r="M1231" t="str">
            <v/>
          </cell>
          <cell r="N1231" t="str">
            <v/>
          </cell>
          <cell r="O1231" t="str">
            <v/>
          </cell>
          <cell r="P1231" t="str">
            <v/>
          </cell>
          <cell r="Q1231" t="str">
            <v/>
          </cell>
          <cell r="R1231" t="str">
            <v/>
          </cell>
          <cell r="S1231" t="str">
            <v/>
          </cell>
          <cell r="T1231" t="str">
            <v/>
          </cell>
          <cell r="U1231" t="str">
            <v/>
          </cell>
          <cell r="V1231" t="str">
            <v>N38</v>
          </cell>
          <cell r="W1231" t="str">
            <v/>
          </cell>
          <cell r="X1231" t="str">
            <v/>
          </cell>
          <cell r="Y1231" t="str">
            <v/>
          </cell>
          <cell r="Z1231" t="str">
            <v/>
          </cell>
          <cell r="AA1231" t="str">
            <v/>
          </cell>
          <cell r="AB1231" t="str">
            <v>PA_4487267-UA.7005-4</v>
          </cell>
          <cell r="AC1231">
            <v>1</v>
          </cell>
          <cell r="AD1231" t="str">
            <v/>
          </cell>
          <cell r="AE1231">
            <v>0</v>
          </cell>
          <cell r="AF1231" t="str">
            <v/>
          </cell>
          <cell r="AG1231" t="str">
            <v>12507470</v>
          </cell>
          <cell r="AH1231">
            <v>44951.95207175926</v>
          </cell>
          <cell r="AI1231" t="str">
            <v>N38</v>
          </cell>
          <cell r="AJ1231" t="str">
            <v>F</v>
          </cell>
          <cell r="AK1231" t="str">
            <v/>
          </cell>
        </row>
        <row r="1232">
          <cell r="A1232" t="str">
            <v>12509218829054</v>
          </cell>
          <cell r="B1232">
            <v>0</v>
          </cell>
          <cell r="C1232">
            <v>14</v>
          </cell>
          <cell r="D1232" t="str">
            <v>EK65</v>
          </cell>
          <cell r="E1232" t="str">
            <v>703430</v>
          </cell>
          <cell r="F1232" t="str">
            <v>E</v>
          </cell>
          <cell r="G1232" t="str">
            <v>12509218</v>
          </cell>
          <cell r="H1232" t="str">
            <v>Steckerblech</v>
          </cell>
          <cell r="I1232">
            <v>24</v>
          </cell>
          <cell r="J1232" t="str">
            <v>Stk</v>
          </cell>
          <cell r="K1232">
            <v>45030</v>
          </cell>
          <cell r="L1232" t="str">
            <v>829054</v>
          </cell>
          <cell r="M1232" t="str">
            <v/>
          </cell>
          <cell r="N1232" t="str">
            <v/>
          </cell>
          <cell r="O1232" t="str">
            <v/>
          </cell>
          <cell r="P1232" t="str">
            <v/>
          </cell>
          <cell r="Q1232" t="str">
            <v/>
          </cell>
          <cell r="R1232" t="str">
            <v/>
          </cell>
          <cell r="S1232" t="str">
            <v/>
          </cell>
          <cell r="T1232" t="str">
            <v/>
          </cell>
          <cell r="U1232" t="str">
            <v/>
          </cell>
          <cell r="V1232" t="str">
            <v>N52</v>
          </cell>
          <cell r="W1232" t="str">
            <v/>
          </cell>
          <cell r="X1232" t="str">
            <v/>
          </cell>
          <cell r="Y1232" t="str">
            <v/>
          </cell>
          <cell r="Z1232" t="str">
            <v/>
          </cell>
          <cell r="AA1232" t="str">
            <v/>
          </cell>
          <cell r="AB1232" t="str">
            <v>PA_4476740-TC.7005-3</v>
          </cell>
          <cell r="AC1232">
            <v>1</v>
          </cell>
          <cell r="AD1232" t="str">
            <v/>
          </cell>
          <cell r="AE1232">
            <v>0</v>
          </cell>
          <cell r="AF1232" t="str">
            <v/>
          </cell>
          <cell r="AG1232" t="str">
            <v>12509218</v>
          </cell>
          <cell r="AH1232">
            <v>44951.952175925922</v>
          </cell>
          <cell r="AI1232" t="str">
            <v>N52</v>
          </cell>
          <cell r="AJ1232" t="str">
            <v>F</v>
          </cell>
          <cell r="AK1232" t="str">
            <v>A</v>
          </cell>
        </row>
        <row r="1233">
          <cell r="A1233" t="str">
            <v>12509218829053</v>
          </cell>
          <cell r="B1233" t="str">
            <v>Übergabe Task Force</v>
          </cell>
          <cell r="C1233">
            <v>14</v>
          </cell>
          <cell r="D1233" t="str">
            <v>EK65</v>
          </cell>
          <cell r="E1233" t="str">
            <v>703431</v>
          </cell>
          <cell r="F1233" t="str">
            <v>E</v>
          </cell>
          <cell r="G1233" t="str">
            <v>12509218</v>
          </cell>
          <cell r="H1233" t="str">
            <v>Steckerblech</v>
          </cell>
          <cell r="I1233">
            <v>15</v>
          </cell>
          <cell r="J1233" t="str">
            <v>Stk</v>
          </cell>
          <cell r="K1233">
            <v>45191</v>
          </cell>
          <cell r="L1233" t="str">
            <v>829053</v>
          </cell>
          <cell r="M1233" t="str">
            <v/>
          </cell>
          <cell r="N1233" t="str">
            <v/>
          </cell>
          <cell r="O1233" t="str">
            <v/>
          </cell>
          <cell r="P1233" t="str">
            <v/>
          </cell>
          <cell r="Q1233" t="str">
            <v/>
          </cell>
          <cell r="R1233" t="str">
            <v/>
          </cell>
          <cell r="S1233" t="str">
            <v/>
          </cell>
          <cell r="T1233" t="str">
            <v/>
          </cell>
          <cell r="U1233" t="str">
            <v/>
          </cell>
          <cell r="V1233" t="str">
            <v>N52</v>
          </cell>
          <cell r="W1233" t="str">
            <v/>
          </cell>
          <cell r="X1233" t="str">
            <v/>
          </cell>
          <cell r="Y1233" t="str">
            <v/>
          </cell>
          <cell r="Z1233" t="str">
            <v/>
          </cell>
          <cell r="AA1233" t="str">
            <v/>
          </cell>
          <cell r="AB1233" t="str">
            <v>PA_4476740-TC.7005-3</v>
          </cell>
          <cell r="AC1233">
            <v>1</v>
          </cell>
          <cell r="AD1233" t="str">
            <v/>
          </cell>
          <cell r="AE1233">
            <v>0</v>
          </cell>
          <cell r="AF1233" t="str">
            <v/>
          </cell>
          <cell r="AG1233" t="str">
            <v>12509218</v>
          </cell>
          <cell r="AH1233">
            <v>44951.952187499999</v>
          </cell>
          <cell r="AI1233" t="str">
            <v>N52</v>
          </cell>
          <cell r="AJ1233" t="str">
            <v>F</v>
          </cell>
          <cell r="AK1233" t="str">
            <v>A</v>
          </cell>
        </row>
        <row r="1234">
          <cell r="A1234" t="str">
            <v>12513699829053</v>
          </cell>
          <cell r="B1234">
            <v>0</v>
          </cell>
          <cell r="C1234">
            <v>3</v>
          </cell>
          <cell r="D1234" t="str">
            <v>EK65</v>
          </cell>
          <cell r="E1234" t="str">
            <v>703440</v>
          </cell>
          <cell r="F1234" t="str">
            <v>E</v>
          </cell>
          <cell r="G1234" t="str">
            <v>12513699</v>
          </cell>
          <cell r="H1234" t="str">
            <v>Kupferverbindungsblech</v>
          </cell>
          <cell r="I1234">
            <v>1</v>
          </cell>
          <cell r="J1234" t="str">
            <v>Stk</v>
          </cell>
          <cell r="K1234">
            <v>45303</v>
          </cell>
          <cell r="L1234" t="str">
            <v>829053</v>
          </cell>
          <cell r="M1234" t="str">
            <v/>
          </cell>
          <cell r="N1234" t="str">
            <v/>
          </cell>
          <cell r="O1234" t="str">
            <v/>
          </cell>
          <cell r="P1234" t="str">
            <v/>
          </cell>
          <cell r="Q1234" t="str">
            <v/>
          </cell>
          <cell r="R1234" t="str">
            <v/>
          </cell>
          <cell r="S1234" t="str">
            <v/>
          </cell>
          <cell r="T1234" t="str">
            <v/>
          </cell>
          <cell r="U1234" t="str">
            <v/>
          </cell>
          <cell r="V1234" t="str">
            <v>N52</v>
          </cell>
          <cell r="W1234" t="str">
            <v/>
          </cell>
          <cell r="X1234" t="str">
            <v/>
          </cell>
          <cell r="Y1234" t="str">
            <v/>
          </cell>
          <cell r="Z1234" t="str">
            <v/>
          </cell>
          <cell r="AA1234" t="str">
            <v/>
          </cell>
          <cell r="AB1234" t="str">
            <v>PA_2335007-UA.7005-4</v>
          </cell>
          <cell r="AC1234">
            <v>1</v>
          </cell>
          <cell r="AD1234" t="str">
            <v/>
          </cell>
          <cell r="AE1234">
            <v>0</v>
          </cell>
          <cell r="AF1234" t="str">
            <v/>
          </cell>
          <cell r="AG1234" t="str">
            <v>12513699</v>
          </cell>
          <cell r="AH1234">
            <v>44951.952465277776</v>
          </cell>
          <cell r="AI1234" t="str">
            <v>N52</v>
          </cell>
          <cell r="AJ1234" t="str">
            <v>F</v>
          </cell>
          <cell r="AK1234" t="str">
            <v/>
          </cell>
        </row>
        <row r="1235">
          <cell r="A1235" t="str">
            <v>12514031829051</v>
          </cell>
          <cell r="B1235" t="str">
            <v>Übergabe Task Force</v>
          </cell>
          <cell r="C1235">
            <v>8</v>
          </cell>
          <cell r="D1235" t="str">
            <v>EK65</v>
          </cell>
          <cell r="E1235" t="str">
            <v>703449</v>
          </cell>
          <cell r="F1235" t="str">
            <v>E</v>
          </cell>
          <cell r="G1235" t="str">
            <v>12514031</v>
          </cell>
          <cell r="H1235" t="str">
            <v>Schirmblech HAN 3</v>
          </cell>
          <cell r="I1235">
            <v>90</v>
          </cell>
          <cell r="J1235" t="str">
            <v>Stk</v>
          </cell>
          <cell r="K1235">
            <v>45219</v>
          </cell>
          <cell r="L1235" t="str">
            <v>829051</v>
          </cell>
          <cell r="M1235" t="str">
            <v/>
          </cell>
          <cell r="N1235" t="str">
            <v/>
          </cell>
          <cell r="O1235" t="str">
            <v/>
          </cell>
          <cell r="P1235" t="str">
            <v/>
          </cell>
          <cell r="Q1235" t="str">
            <v/>
          </cell>
          <cell r="R1235" t="str">
            <v/>
          </cell>
          <cell r="S1235" t="str">
            <v/>
          </cell>
          <cell r="T1235" t="str">
            <v/>
          </cell>
          <cell r="U1235" t="str">
            <v/>
          </cell>
          <cell r="V1235" t="str">
            <v>N52</v>
          </cell>
          <cell r="W1235" t="str">
            <v/>
          </cell>
          <cell r="X1235" t="str">
            <v/>
          </cell>
          <cell r="Y1235" t="str">
            <v/>
          </cell>
          <cell r="Z1235" t="str">
            <v/>
          </cell>
          <cell r="AA1235" t="str">
            <v/>
          </cell>
          <cell r="AB1235" t="str">
            <v>PA_4477567-UA.7005-3</v>
          </cell>
          <cell r="AC1235">
            <v>1</v>
          </cell>
          <cell r="AD1235" t="str">
            <v/>
          </cell>
          <cell r="AE1235">
            <v>0</v>
          </cell>
          <cell r="AF1235" t="str">
            <v/>
          </cell>
          <cell r="AG1235" t="str">
            <v>12514031</v>
          </cell>
          <cell r="AH1235">
            <v>44951.952557870369</v>
          </cell>
          <cell r="AI1235" t="str">
            <v>N52</v>
          </cell>
          <cell r="AJ1235" t="str">
            <v>F</v>
          </cell>
          <cell r="AK1235" t="str">
            <v/>
          </cell>
        </row>
        <row r="1236">
          <cell r="A1236" t="str">
            <v>12515817829540</v>
          </cell>
          <cell r="B1236" t="str">
            <v>Übergabe Task Force</v>
          </cell>
          <cell r="C1236" t="e">
            <v>#N/A</v>
          </cell>
          <cell r="D1236" t="str">
            <v>EK65</v>
          </cell>
          <cell r="E1236" t="str">
            <v>703457</v>
          </cell>
          <cell r="F1236" t="str">
            <v>E</v>
          </cell>
          <cell r="G1236" t="str">
            <v>12515817</v>
          </cell>
          <cell r="H1236" t="str">
            <v>Auflage</v>
          </cell>
          <cell r="I1236">
            <v>96</v>
          </cell>
          <cell r="J1236" t="str">
            <v>Stk</v>
          </cell>
          <cell r="K1236">
            <v>44988</v>
          </cell>
          <cell r="L1236" t="str">
            <v>829540</v>
          </cell>
          <cell r="M1236" t="str">
            <v/>
          </cell>
          <cell r="N1236" t="str">
            <v/>
          </cell>
          <cell r="O1236" t="str">
            <v/>
          </cell>
          <cell r="P1236" t="str">
            <v/>
          </cell>
          <cell r="Q1236" t="str">
            <v/>
          </cell>
          <cell r="R1236" t="str">
            <v/>
          </cell>
          <cell r="S1236" t="str">
            <v/>
          </cell>
          <cell r="T1236" t="str">
            <v/>
          </cell>
          <cell r="U1236" t="str">
            <v/>
          </cell>
          <cell r="V1236" t="str">
            <v>N52</v>
          </cell>
          <cell r="W1236" t="str">
            <v/>
          </cell>
          <cell r="X1236" t="str">
            <v/>
          </cell>
          <cell r="Y1236" t="str">
            <v/>
          </cell>
          <cell r="Z1236" t="str">
            <v/>
          </cell>
          <cell r="AA1236" t="str">
            <v/>
          </cell>
          <cell r="AB1236" t="str">
            <v>PA_4338936-ED.7005-3</v>
          </cell>
          <cell r="AC1236">
            <v>1</v>
          </cell>
          <cell r="AD1236" t="str">
            <v/>
          </cell>
          <cell r="AE1236">
            <v>0</v>
          </cell>
          <cell r="AF1236" t="str">
            <v/>
          </cell>
          <cell r="AG1236" t="str">
            <v>12515817</v>
          </cell>
          <cell r="AH1236">
            <v>44951.952615740738</v>
          </cell>
          <cell r="AI1236" t="str">
            <v>N52</v>
          </cell>
          <cell r="AJ1236" t="str">
            <v>F</v>
          </cell>
          <cell r="AK1236" t="str">
            <v>A</v>
          </cell>
        </row>
        <row r="1237">
          <cell r="A1237" t="str">
            <v>12515817829510</v>
          </cell>
          <cell r="B1237" t="e">
            <v>#N/A</v>
          </cell>
          <cell r="C1237" t="e">
            <v>#N/A</v>
          </cell>
          <cell r="D1237" t="str">
            <v>EK65</v>
          </cell>
          <cell r="E1237" t="str">
            <v>703458</v>
          </cell>
          <cell r="F1237" t="str">
            <v>E</v>
          </cell>
          <cell r="G1237" t="str">
            <v>12515817</v>
          </cell>
          <cell r="H1237" t="str">
            <v>Auflage</v>
          </cell>
          <cell r="I1237">
            <v>96</v>
          </cell>
          <cell r="J1237" t="str">
            <v>Stk</v>
          </cell>
          <cell r="K1237">
            <v>45048</v>
          </cell>
          <cell r="L1237" t="str">
            <v>829510</v>
          </cell>
          <cell r="M1237" t="str">
            <v/>
          </cell>
          <cell r="N1237" t="str">
            <v/>
          </cell>
          <cell r="O1237" t="str">
            <v/>
          </cell>
          <cell r="P1237" t="str">
            <v/>
          </cell>
          <cell r="Q1237" t="str">
            <v/>
          </cell>
          <cell r="R1237" t="str">
            <v/>
          </cell>
          <cell r="S1237" t="str">
            <v/>
          </cell>
          <cell r="T1237" t="str">
            <v/>
          </cell>
          <cell r="U1237" t="str">
            <v/>
          </cell>
          <cell r="V1237" t="str">
            <v>N52</v>
          </cell>
          <cell r="W1237" t="str">
            <v/>
          </cell>
          <cell r="X1237" t="str">
            <v/>
          </cell>
          <cell r="Y1237" t="str">
            <v/>
          </cell>
          <cell r="Z1237" t="str">
            <v/>
          </cell>
          <cell r="AA1237" t="str">
            <v/>
          </cell>
          <cell r="AB1237" t="str">
            <v>PA_4338936-ED.7005-3</v>
          </cell>
          <cell r="AC1237">
            <v>1</v>
          </cell>
          <cell r="AD1237" t="str">
            <v/>
          </cell>
          <cell r="AE1237">
            <v>0</v>
          </cell>
          <cell r="AF1237" t="str">
            <v/>
          </cell>
          <cell r="AG1237" t="str">
            <v>12515817</v>
          </cell>
          <cell r="AH1237">
            <v>44951.952615740738</v>
          </cell>
          <cell r="AI1237" t="str">
            <v>N52</v>
          </cell>
          <cell r="AJ1237" t="str">
            <v>F</v>
          </cell>
          <cell r="AK1237" t="str">
            <v>A</v>
          </cell>
        </row>
        <row r="1238">
          <cell r="A1238" t="str">
            <v>12515817829520</v>
          </cell>
          <cell r="B1238" t="str">
            <v>Übergabe Task Force</v>
          </cell>
          <cell r="C1238" t="e">
            <v>#N/A</v>
          </cell>
          <cell r="D1238" t="str">
            <v>EK65</v>
          </cell>
          <cell r="E1238" t="str">
            <v>703459</v>
          </cell>
          <cell r="F1238" t="str">
            <v>E</v>
          </cell>
          <cell r="G1238" t="str">
            <v>12515817</v>
          </cell>
          <cell r="H1238" t="str">
            <v>Auflage</v>
          </cell>
          <cell r="I1238">
            <v>102</v>
          </cell>
          <cell r="J1238" t="str">
            <v>Stk</v>
          </cell>
          <cell r="K1238">
            <v>45049</v>
          </cell>
          <cell r="L1238" t="str">
            <v>829520</v>
          </cell>
          <cell r="M1238" t="str">
            <v/>
          </cell>
          <cell r="N1238" t="str">
            <v/>
          </cell>
          <cell r="O1238" t="str">
            <v/>
          </cell>
          <cell r="P1238" t="str">
            <v/>
          </cell>
          <cell r="Q1238" t="str">
            <v/>
          </cell>
          <cell r="R1238" t="str">
            <v/>
          </cell>
          <cell r="S1238" t="str">
            <v/>
          </cell>
          <cell r="T1238" t="str">
            <v/>
          </cell>
          <cell r="U1238" t="str">
            <v/>
          </cell>
          <cell r="V1238" t="str">
            <v>N52</v>
          </cell>
          <cell r="W1238" t="str">
            <v/>
          </cell>
          <cell r="X1238" t="str">
            <v/>
          </cell>
          <cell r="Y1238" t="str">
            <v/>
          </cell>
          <cell r="Z1238" t="str">
            <v/>
          </cell>
          <cell r="AA1238" t="str">
            <v/>
          </cell>
          <cell r="AB1238" t="str">
            <v>PA_4338936-ED.7005-3</v>
          </cell>
          <cell r="AC1238">
            <v>1</v>
          </cell>
          <cell r="AD1238" t="str">
            <v/>
          </cell>
          <cell r="AE1238">
            <v>0</v>
          </cell>
          <cell r="AF1238" t="str">
            <v/>
          </cell>
          <cell r="AG1238" t="str">
            <v>12515817</v>
          </cell>
          <cell r="AH1238">
            <v>44951.952615740738</v>
          </cell>
          <cell r="AI1238" t="str">
            <v>N52</v>
          </cell>
          <cell r="AJ1238" t="str">
            <v>F</v>
          </cell>
          <cell r="AK1238" t="str">
            <v>A</v>
          </cell>
        </row>
        <row r="1239">
          <cell r="A1239" t="str">
            <v>12515817829530</v>
          </cell>
          <cell r="B1239" t="str">
            <v>Angefragt 22.03.2023</v>
          </cell>
          <cell r="C1239" t="e">
            <v>#N/A</v>
          </cell>
          <cell r="D1239" t="str">
            <v>EK65</v>
          </cell>
          <cell r="E1239" t="str">
            <v>703460</v>
          </cell>
          <cell r="F1239" t="str">
            <v>E</v>
          </cell>
          <cell r="G1239" t="str">
            <v>12515817</v>
          </cell>
          <cell r="H1239" t="str">
            <v>Auflage</v>
          </cell>
          <cell r="I1239">
            <v>14</v>
          </cell>
          <cell r="J1239" t="str">
            <v>Stk</v>
          </cell>
          <cell r="K1239">
            <v>45061</v>
          </cell>
          <cell r="L1239" t="str">
            <v>829530</v>
          </cell>
          <cell r="M1239" t="str">
            <v/>
          </cell>
          <cell r="N1239" t="str">
            <v/>
          </cell>
          <cell r="O1239" t="str">
            <v/>
          </cell>
          <cell r="P1239" t="str">
            <v/>
          </cell>
          <cell r="Q1239" t="str">
            <v/>
          </cell>
          <cell r="R1239" t="str">
            <v/>
          </cell>
          <cell r="S1239" t="str">
            <v/>
          </cell>
          <cell r="T1239" t="str">
            <v/>
          </cell>
          <cell r="U1239" t="str">
            <v/>
          </cell>
          <cell r="V1239" t="str">
            <v>N52</v>
          </cell>
          <cell r="W1239" t="str">
            <v/>
          </cell>
          <cell r="X1239" t="str">
            <v/>
          </cell>
          <cell r="Y1239" t="str">
            <v/>
          </cell>
          <cell r="Z1239" t="str">
            <v/>
          </cell>
          <cell r="AA1239" t="str">
            <v/>
          </cell>
          <cell r="AB1239" t="str">
            <v>PA_4338936-ED.7005-3</v>
          </cell>
          <cell r="AC1239">
            <v>1</v>
          </cell>
          <cell r="AD1239" t="str">
            <v/>
          </cell>
          <cell r="AE1239">
            <v>0</v>
          </cell>
          <cell r="AF1239" t="str">
            <v/>
          </cell>
          <cell r="AG1239" t="str">
            <v>12515817</v>
          </cell>
          <cell r="AH1239">
            <v>44951.952615740738</v>
          </cell>
          <cell r="AI1239" t="str">
            <v>N52</v>
          </cell>
          <cell r="AJ1239" t="str">
            <v>F</v>
          </cell>
          <cell r="AK1239" t="str">
            <v>A</v>
          </cell>
        </row>
        <row r="1240">
          <cell r="A1240" t="str">
            <v>12515864829560</v>
          </cell>
          <cell r="B1240">
            <v>0</v>
          </cell>
          <cell r="C1240" t="e">
            <v>#N/A</v>
          </cell>
          <cell r="D1240" t="str">
            <v>EK65</v>
          </cell>
          <cell r="E1240" t="str">
            <v>703462</v>
          </cell>
          <cell r="F1240" t="str">
            <v>E</v>
          </cell>
          <cell r="G1240" t="str">
            <v>12515864</v>
          </cell>
          <cell r="H1240" t="str">
            <v>Beilage</v>
          </cell>
          <cell r="I1240">
            <v>49</v>
          </cell>
          <cell r="J1240" t="str">
            <v>Stk</v>
          </cell>
          <cell r="K1240">
            <v>44721</v>
          </cell>
          <cell r="L1240" t="str">
            <v>829560</v>
          </cell>
          <cell r="M1240" t="str">
            <v/>
          </cell>
          <cell r="N1240" t="str">
            <v/>
          </cell>
          <cell r="O1240" t="str">
            <v/>
          </cell>
          <cell r="P1240" t="str">
            <v/>
          </cell>
          <cell r="Q1240" t="str">
            <v/>
          </cell>
          <cell r="R1240" t="str">
            <v/>
          </cell>
          <cell r="S1240" t="str">
            <v/>
          </cell>
          <cell r="T1240" t="str">
            <v/>
          </cell>
          <cell r="U1240" t="str">
            <v/>
          </cell>
          <cell r="V1240" t="str">
            <v>N52</v>
          </cell>
          <cell r="W1240" t="str">
            <v/>
          </cell>
          <cell r="X1240" t="str">
            <v/>
          </cell>
          <cell r="Y1240" t="str">
            <v/>
          </cell>
          <cell r="Z1240" t="str">
            <v/>
          </cell>
          <cell r="AA1240" t="str">
            <v/>
          </cell>
          <cell r="AB1240" t="str">
            <v>PA_2335049-ED.7005-3</v>
          </cell>
          <cell r="AC1240">
            <v>1</v>
          </cell>
          <cell r="AD1240" t="str">
            <v/>
          </cell>
          <cell r="AE1240">
            <v>0</v>
          </cell>
          <cell r="AF1240" t="str">
            <v/>
          </cell>
          <cell r="AG1240" t="str">
            <v>12515864</v>
          </cell>
          <cell r="AH1240">
            <v>44951.952627314815</v>
          </cell>
          <cell r="AI1240" t="str">
            <v>N52</v>
          </cell>
          <cell r="AJ1240" t="str">
            <v>F</v>
          </cell>
          <cell r="AK1240" t="str">
            <v/>
          </cell>
        </row>
        <row r="1241">
          <cell r="A1241" t="str">
            <v>12515864829540</v>
          </cell>
          <cell r="B1241" t="str">
            <v>Übergabe Task Force</v>
          </cell>
          <cell r="C1241" t="e">
            <v>#N/A</v>
          </cell>
          <cell r="D1241" t="str">
            <v>EK65</v>
          </cell>
          <cell r="E1241" t="str">
            <v>703463</v>
          </cell>
          <cell r="F1241" t="str">
            <v>E</v>
          </cell>
          <cell r="G1241" t="str">
            <v>12515864</v>
          </cell>
          <cell r="H1241" t="str">
            <v>Beilage</v>
          </cell>
          <cell r="I1241">
            <v>276</v>
          </cell>
          <cell r="J1241" t="str">
            <v>Stk</v>
          </cell>
          <cell r="K1241">
            <v>44988</v>
          </cell>
          <cell r="L1241" t="str">
            <v>829540</v>
          </cell>
          <cell r="M1241" t="str">
            <v/>
          </cell>
          <cell r="N1241" t="str">
            <v/>
          </cell>
          <cell r="O1241" t="str">
            <v/>
          </cell>
          <cell r="P1241" t="str">
            <v/>
          </cell>
          <cell r="Q1241" t="str">
            <v/>
          </cell>
          <cell r="R1241" t="str">
            <v/>
          </cell>
          <cell r="S1241" t="str">
            <v/>
          </cell>
          <cell r="T1241" t="str">
            <v/>
          </cell>
          <cell r="U1241" t="str">
            <v/>
          </cell>
          <cell r="V1241" t="str">
            <v>N52</v>
          </cell>
          <cell r="W1241" t="str">
            <v/>
          </cell>
          <cell r="X1241" t="str">
            <v/>
          </cell>
          <cell r="Y1241" t="str">
            <v/>
          </cell>
          <cell r="Z1241" t="str">
            <v/>
          </cell>
          <cell r="AA1241" t="str">
            <v/>
          </cell>
          <cell r="AB1241" t="str">
            <v>PA_2335049-ED.7005-3</v>
          </cell>
          <cell r="AC1241">
            <v>1</v>
          </cell>
          <cell r="AD1241" t="str">
            <v/>
          </cell>
          <cell r="AE1241">
            <v>0</v>
          </cell>
          <cell r="AF1241" t="str">
            <v/>
          </cell>
          <cell r="AG1241" t="str">
            <v>12515864</v>
          </cell>
          <cell r="AH1241">
            <v>44951.952627314815</v>
          </cell>
          <cell r="AI1241" t="str">
            <v>N52</v>
          </cell>
          <cell r="AJ1241" t="str">
            <v>F</v>
          </cell>
          <cell r="AK1241" t="str">
            <v/>
          </cell>
        </row>
        <row r="1242">
          <cell r="A1242" t="str">
            <v>12515864829510</v>
          </cell>
          <cell r="B1242" t="str">
            <v>Übergabe Task Force</v>
          </cell>
          <cell r="C1242" t="e">
            <v>#N/A</v>
          </cell>
          <cell r="D1242" t="str">
            <v>EK65</v>
          </cell>
          <cell r="E1242" t="str">
            <v>703464</v>
          </cell>
          <cell r="F1242" t="str">
            <v>E</v>
          </cell>
          <cell r="G1242" t="str">
            <v>12515864</v>
          </cell>
          <cell r="H1242" t="str">
            <v>Beilage</v>
          </cell>
          <cell r="I1242">
            <v>285</v>
          </cell>
          <cell r="J1242" t="str">
            <v>Stk</v>
          </cell>
          <cell r="K1242">
            <v>45048</v>
          </cell>
          <cell r="L1242" t="str">
            <v>829510</v>
          </cell>
          <cell r="M1242" t="str">
            <v/>
          </cell>
          <cell r="N1242" t="str">
            <v/>
          </cell>
          <cell r="O1242" t="str">
            <v/>
          </cell>
          <cell r="P1242" t="str">
            <v/>
          </cell>
          <cell r="Q1242" t="str">
            <v/>
          </cell>
          <cell r="R1242" t="str">
            <v/>
          </cell>
          <cell r="S1242" t="str">
            <v/>
          </cell>
          <cell r="T1242" t="str">
            <v/>
          </cell>
          <cell r="U1242" t="str">
            <v/>
          </cell>
          <cell r="V1242" t="str">
            <v>N52</v>
          </cell>
          <cell r="W1242" t="str">
            <v/>
          </cell>
          <cell r="X1242" t="str">
            <v/>
          </cell>
          <cell r="Y1242" t="str">
            <v/>
          </cell>
          <cell r="Z1242" t="str">
            <v/>
          </cell>
          <cell r="AA1242" t="str">
            <v/>
          </cell>
          <cell r="AB1242" t="str">
            <v>PA_2335049-ED.7005-3</v>
          </cell>
          <cell r="AC1242">
            <v>1</v>
          </cell>
          <cell r="AD1242" t="str">
            <v/>
          </cell>
          <cell r="AE1242">
            <v>0</v>
          </cell>
          <cell r="AF1242" t="str">
            <v/>
          </cell>
          <cell r="AG1242" t="str">
            <v>12515864</v>
          </cell>
          <cell r="AH1242">
            <v>44951.952638888892</v>
          </cell>
          <cell r="AI1242" t="str">
            <v>N52</v>
          </cell>
          <cell r="AJ1242" t="str">
            <v>F</v>
          </cell>
          <cell r="AK1242" t="str">
            <v/>
          </cell>
        </row>
        <row r="1243">
          <cell r="A1243" t="str">
            <v>12515864829520</v>
          </cell>
          <cell r="B1243" t="str">
            <v>Übergabe Task Force</v>
          </cell>
          <cell r="C1243" t="e">
            <v>#N/A</v>
          </cell>
          <cell r="D1243" t="str">
            <v>EK65</v>
          </cell>
          <cell r="E1243" t="str">
            <v>703465</v>
          </cell>
          <cell r="F1243" t="str">
            <v>E</v>
          </cell>
          <cell r="G1243" t="str">
            <v>12515864</v>
          </cell>
          <cell r="H1243" t="str">
            <v>Beilage</v>
          </cell>
          <cell r="I1243">
            <v>332</v>
          </cell>
          <cell r="J1243" t="str">
            <v>Stk</v>
          </cell>
          <cell r="K1243">
            <v>45048</v>
          </cell>
          <cell r="L1243" t="str">
            <v>829520</v>
          </cell>
          <cell r="M1243" t="str">
            <v/>
          </cell>
          <cell r="N1243" t="str">
            <v/>
          </cell>
          <cell r="O1243" t="str">
            <v/>
          </cell>
          <cell r="P1243" t="str">
            <v/>
          </cell>
          <cell r="Q1243" t="str">
            <v/>
          </cell>
          <cell r="R1243" t="str">
            <v/>
          </cell>
          <cell r="S1243" t="str">
            <v/>
          </cell>
          <cell r="T1243" t="str">
            <v/>
          </cell>
          <cell r="U1243" t="str">
            <v/>
          </cell>
          <cell r="V1243" t="str">
            <v>N52</v>
          </cell>
          <cell r="W1243" t="str">
            <v/>
          </cell>
          <cell r="X1243" t="str">
            <v/>
          </cell>
          <cell r="Y1243" t="str">
            <v/>
          </cell>
          <cell r="Z1243" t="str">
            <v/>
          </cell>
          <cell r="AA1243" t="str">
            <v/>
          </cell>
          <cell r="AB1243" t="str">
            <v>PA_2335049-ED.7005-3</v>
          </cell>
          <cell r="AC1243">
            <v>1</v>
          </cell>
          <cell r="AD1243" t="str">
            <v/>
          </cell>
          <cell r="AE1243">
            <v>0</v>
          </cell>
          <cell r="AF1243" t="str">
            <v/>
          </cell>
          <cell r="AG1243" t="str">
            <v>12515864</v>
          </cell>
          <cell r="AH1243">
            <v>44951.952638888892</v>
          </cell>
          <cell r="AI1243" t="str">
            <v>N52</v>
          </cell>
          <cell r="AJ1243" t="str">
            <v>F</v>
          </cell>
          <cell r="AK1243" t="str">
            <v/>
          </cell>
        </row>
        <row r="1244">
          <cell r="A1244" t="str">
            <v>12515864829530</v>
          </cell>
          <cell r="B1244" t="str">
            <v>Angefragt 22.03.2023</v>
          </cell>
          <cell r="C1244" t="e">
            <v>#N/A</v>
          </cell>
          <cell r="D1244" t="str">
            <v>EK65</v>
          </cell>
          <cell r="E1244" t="str">
            <v>703466</v>
          </cell>
          <cell r="F1244" t="str">
            <v>E</v>
          </cell>
          <cell r="G1244" t="str">
            <v>12515864</v>
          </cell>
          <cell r="H1244" t="str">
            <v>Beilage</v>
          </cell>
          <cell r="I1244">
            <v>48</v>
          </cell>
          <cell r="J1244" t="str">
            <v>Stk</v>
          </cell>
          <cell r="K1244">
            <v>45061</v>
          </cell>
          <cell r="L1244" t="str">
            <v>829530</v>
          </cell>
          <cell r="M1244" t="str">
            <v/>
          </cell>
          <cell r="N1244" t="str">
            <v/>
          </cell>
          <cell r="O1244" t="str">
            <v/>
          </cell>
          <cell r="P1244" t="str">
            <v/>
          </cell>
          <cell r="Q1244" t="str">
            <v/>
          </cell>
          <cell r="R1244" t="str">
            <v/>
          </cell>
          <cell r="S1244" t="str">
            <v/>
          </cell>
          <cell r="T1244" t="str">
            <v/>
          </cell>
          <cell r="U1244" t="str">
            <v/>
          </cell>
          <cell r="V1244" t="str">
            <v>N52</v>
          </cell>
          <cell r="W1244" t="str">
            <v/>
          </cell>
          <cell r="X1244" t="str">
            <v/>
          </cell>
          <cell r="Y1244" t="str">
            <v/>
          </cell>
          <cell r="Z1244" t="str">
            <v/>
          </cell>
          <cell r="AA1244" t="str">
            <v/>
          </cell>
          <cell r="AB1244" t="str">
            <v>PA_2335049-ED.7005-3</v>
          </cell>
          <cell r="AC1244">
            <v>1</v>
          </cell>
          <cell r="AD1244" t="str">
            <v/>
          </cell>
          <cell r="AE1244">
            <v>0</v>
          </cell>
          <cell r="AF1244" t="str">
            <v/>
          </cell>
          <cell r="AG1244" t="str">
            <v>12515864</v>
          </cell>
          <cell r="AH1244">
            <v>44951.952638888892</v>
          </cell>
          <cell r="AI1244" t="str">
            <v>N52</v>
          </cell>
          <cell r="AJ1244" t="str">
            <v>F</v>
          </cell>
          <cell r="AK1244" t="str">
            <v/>
          </cell>
        </row>
        <row r="1245">
          <cell r="A1245" t="str">
            <v>12516111829540</v>
          </cell>
          <cell r="B1245" t="str">
            <v>Übergabe Task Force</v>
          </cell>
          <cell r="C1245" t="e">
            <v>#N/A</v>
          </cell>
          <cell r="D1245" t="str">
            <v>EK65</v>
          </cell>
          <cell r="E1245" t="str">
            <v>703470</v>
          </cell>
          <cell r="F1245" t="str">
            <v>E</v>
          </cell>
          <cell r="G1245" t="str">
            <v>12516111</v>
          </cell>
          <cell r="H1245" t="str">
            <v>Beilage</v>
          </cell>
          <cell r="I1245">
            <v>87</v>
          </cell>
          <cell r="J1245" t="str">
            <v>Stk</v>
          </cell>
          <cell r="K1245">
            <v>44991</v>
          </cell>
          <cell r="L1245" t="str">
            <v>829540</v>
          </cell>
          <cell r="M1245" t="str">
            <v/>
          </cell>
          <cell r="N1245" t="str">
            <v/>
          </cell>
          <cell r="O1245" t="str">
            <v/>
          </cell>
          <cell r="P1245" t="str">
            <v/>
          </cell>
          <cell r="Q1245" t="str">
            <v/>
          </cell>
          <cell r="R1245" t="str">
            <v/>
          </cell>
          <cell r="S1245" t="str">
            <v/>
          </cell>
          <cell r="T1245" t="str">
            <v/>
          </cell>
          <cell r="U1245" t="str">
            <v/>
          </cell>
          <cell r="V1245" t="str">
            <v>N52</v>
          </cell>
          <cell r="W1245" t="str">
            <v/>
          </cell>
          <cell r="X1245" t="str">
            <v/>
          </cell>
          <cell r="Y1245" t="str">
            <v/>
          </cell>
          <cell r="Z1245" t="str">
            <v/>
          </cell>
          <cell r="AA1245" t="str">
            <v/>
          </cell>
          <cell r="AB1245" t="str">
            <v>PA_4551853-ED.7005-4</v>
          </cell>
          <cell r="AC1245">
            <v>1</v>
          </cell>
          <cell r="AD1245" t="str">
            <v/>
          </cell>
          <cell r="AE1245">
            <v>0</v>
          </cell>
          <cell r="AF1245" t="str">
            <v/>
          </cell>
          <cell r="AG1245" t="str">
            <v>12516111</v>
          </cell>
          <cell r="AH1245">
            <v>44951.952685185184</v>
          </cell>
          <cell r="AI1245" t="str">
            <v>N52</v>
          </cell>
          <cell r="AJ1245" t="str">
            <v>F</v>
          </cell>
          <cell r="AK1245" t="str">
            <v/>
          </cell>
        </row>
        <row r="1246">
          <cell r="A1246" t="str">
            <v>12516111829560</v>
          </cell>
          <cell r="B1246" t="str">
            <v>Übergabe Task Force</v>
          </cell>
          <cell r="C1246" t="e">
            <v>#N/A</v>
          </cell>
          <cell r="D1246" t="str">
            <v>EK65</v>
          </cell>
          <cell r="E1246" t="str">
            <v>703471</v>
          </cell>
          <cell r="F1246" t="str">
            <v>E</v>
          </cell>
          <cell r="G1246" t="str">
            <v>12516111</v>
          </cell>
          <cell r="H1246" t="str">
            <v>Beilage</v>
          </cell>
          <cell r="I1246">
            <v>16</v>
          </cell>
          <cell r="J1246" t="str">
            <v>Stk</v>
          </cell>
          <cell r="K1246">
            <v>45028</v>
          </cell>
          <cell r="L1246" t="str">
            <v>829560</v>
          </cell>
          <cell r="M1246" t="str">
            <v/>
          </cell>
          <cell r="N1246" t="str">
            <v/>
          </cell>
          <cell r="O1246" t="str">
            <v/>
          </cell>
          <cell r="P1246" t="str">
            <v/>
          </cell>
          <cell r="Q1246" t="str">
            <v/>
          </cell>
          <cell r="R1246" t="str">
            <v/>
          </cell>
          <cell r="S1246" t="str">
            <v/>
          </cell>
          <cell r="T1246" t="str">
            <v/>
          </cell>
          <cell r="U1246" t="str">
            <v/>
          </cell>
          <cell r="V1246" t="str">
            <v>N52</v>
          </cell>
          <cell r="W1246" t="str">
            <v/>
          </cell>
          <cell r="X1246" t="str">
            <v/>
          </cell>
          <cell r="Y1246" t="str">
            <v/>
          </cell>
          <cell r="Z1246" t="str">
            <v/>
          </cell>
          <cell r="AA1246" t="str">
            <v/>
          </cell>
          <cell r="AB1246" t="str">
            <v>PA_4551853-ED.7005-4</v>
          </cell>
          <cell r="AC1246">
            <v>1</v>
          </cell>
          <cell r="AD1246" t="str">
            <v/>
          </cell>
          <cell r="AE1246">
            <v>0</v>
          </cell>
          <cell r="AF1246" t="str">
            <v/>
          </cell>
          <cell r="AG1246" t="str">
            <v>12516111</v>
          </cell>
          <cell r="AH1246">
            <v>44951.952685185184</v>
          </cell>
          <cell r="AI1246" t="str">
            <v>N52</v>
          </cell>
          <cell r="AJ1246" t="str">
            <v>F</v>
          </cell>
          <cell r="AK1246" t="str">
            <v/>
          </cell>
        </row>
        <row r="1247">
          <cell r="A1247" t="str">
            <v>12516111829510</v>
          </cell>
          <cell r="B1247" t="str">
            <v>Übergabe Task Force</v>
          </cell>
          <cell r="C1247" t="e">
            <v>#N/A</v>
          </cell>
          <cell r="D1247" t="str">
            <v>EK65</v>
          </cell>
          <cell r="E1247" t="str">
            <v>703472</v>
          </cell>
          <cell r="F1247" t="str">
            <v>E</v>
          </cell>
          <cell r="G1247" t="str">
            <v>12516111</v>
          </cell>
          <cell r="H1247" t="str">
            <v>Beilage</v>
          </cell>
          <cell r="I1247">
            <v>95</v>
          </cell>
          <cell r="J1247" t="str">
            <v>Stk</v>
          </cell>
          <cell r="K1247">
            <v>45048</v>
          </cell>
          <cell r="L1247" t="str">
            <v>829510</v>
          </cell>
          <cell r="M1247" t="str">
            <v/>
          </cell>
          <cell r="N1247" t="str">
            <v/>
          </cell>
          <cell r="O1247" t="str">
            <v/>
          </cell>
          <cell r="P1247" t="str">
            <v/>
          </cell>
          <cell r="Q1247" t="str">
            <v/>
          </cell>
          <cell r="R1247" t="str">
            <v/>
          </cell>
          <cell r="S1247" t="str">
            <v/>
          </cell>
          <cell r="T1247" t="str">
            <v/>
          </cell>
          <cell r="U1247" t="str">
            <v/>
          </cell>
          <cell r="V1247" t="str">
            <v>N52</v>
          </cell>
          <cell r="W1247" t="str">
            <v/>
          </cell>
          <cell r="X1247" t="str">
            <v/>
          </cell>
          <cell r="Y1247" t="str">
            <v/>
          </cell>
          <cell r="Z1247" t="str">
            <v/>
          </cell>
          <cell r="AA1247" t="str">
            <v/>
          </cell>
          <cell r="AB1247" t="str">
            <v>PA_4551853-ED.7005-4</v>
          </cell>
          <cell r="AC1247">
            <v>1</v>
          </cell>
          <cell r="AD1247" t="str">
            <v/>
          </cell>
          <cell r="AE1247">
            <v>0</v>
          </cell>
          <cell r="AF1247" t="str">
            <v/>
          </cell>
          <cell r="AG1247" t="str">
            <v>12516111</v>
          </cell>
          <cell r="AH1247">
            <v>44951.952685185184</v>
          </cell>
          <cell r="AI1247" t="str">
            <v>N52</v>
          </cell>
          <cell r="AJ1247" t="str">
            <v>F</v>
          </cell>
          <cell r="AK1247" t="str">
            <v/>
          </cell>
        </row>
        <row r="1248">
          <cell r="A1248" t="str">
            <v>12516111829520</v>
          </cell>
          <cell r="B1248" t="str">
            <v>Übergabe Task Force</v>
          </cell>
          <cell r="C1248" t="e">
            <v>#N/A</v>
          </cell>
          <cell r="D1248" t="str">
            <v>EK65</v>
          </cell>
          <cell r="E1248" t="str">
            <v>703473</v>
          </cell>
          <cell r="F1248" t="str">
            <v>E</v>
          </cell>
          <cell r="G1248" t="str">
            <v>12516111</v>
          </cell>
          <cell r="H1248" t="str">
            <v>Beilage</v>
          </cell>
          <cell r="I1248">
            <v>109</v>
          </cell>
          <cell r="J1248" t="str">
            <v>Stk</v>
          </cell>
          <cell r="K1248">
            <v>45048</v>
          </cell>
          <cell r="L1248" t="str">
            <v>829520</v>
          </cell>
          <cell r="M1248" t="str">
            <v/>
          </cell>
          <cell r="N1248" t="str">
            <v/>
          </cell>
          <cell r="O1248" t="str">
            <v/>
          </cell>
          <cell r="P1248" t="str">
            <v/>
          </cell>
          <cell r="Q1248" t="str">
            <v/>
          </cell>
          <cell r="R1248" t="str">
            <v/>
          </cell>
          <cell r="S1248" t="str">
            <v/>
          </cell>
          <cell r="T1248" t="str">
            <v/>
          </cell>
          <cell r="U1248" t="str">
            <v/>
          </cell>
          <cell r="V1248" t="str">
            <v>N52</v>
          </cell>
          <cell r="W1248" t="str">
            <v/>
          </cell>
          <cell r="X1248" t="str">
            <v/>
          </cell>
          <cell r="Y1248" t="str">
            <v/>
          </cell>
          <cell r="Z1248" t="str">
            <v/>
          </cell>
          <cell r="AA1248" t="str">
            <v/>
          </cell>
          <cell r="AB1248" t="str">
            <v>PA_4551853-ED.7005-4</v>
          </cell>
          <cell r="AC1248">
            <v>1</v>
          </cell>
          <cell r="AD1248" t="str">
            <v/>
          </cell>
          <cell r="AE1248">
            <v>0</v>
          </cell>
          <cell r="AF1248" t="str">
            <v/>
          </cell>
          <cell r="AG1248" t="str">
            <v>12516111</v>
          </cell>
          <cell r="AH1248">
            <v>44951.952685185184</v>
          </cell>
          <cell r="AI1248" t="str">
            <v>N52</v>
          </cell>
          <cell r="AJ1248" t="str">
            <v>F</v>
          </cell>
          <cell r="AK1248" t="str">
            <v/>
          </cell>
        </row>
        <row r="1249">
          <cell r="A1249" t="str">
            <v>12516111829530</v>
          </cell>
          <cell r="B1249" t="str">
            <v>Angefragt 22.03.2023</v>
          </cell>
          <cell r="C1249" t="e">
            <v>#N/A</v>
          </cell>
          <cell r="D1249" t="str">
            <v>EK65</v>
          </cell>
          <cell r="E1249" t="str">
            <v>703474</v>
          </cell>
          <cell r="F1249" t="str">
            <v>E</v>
          </cell>
          <cell r="G1249" t="str">
            <v>12516111</v>
          </cell>
          <cell r="H1249" t="str">
            <v>Beilage</v>
          </cell>
          <cell r="I1249">
            <v>14</v>
          </cell>
          <cell r="J1249" t="str">
            <v>Stk</v>
          </cell>
          <cell r="K1249">
            <v>45061</v>
          </cell>
          <cell r="L1249" t="str">
            <v>829530</v>
          </cell>
          <cell r="M1249" t="str">
            <v/>
          </cell>
          <cell r="N1249" t="str">
            <v/>
          </cell>
          <cell r="O1249" t="str">
            <v/>
          </cell>
          <cell r="P1249" t="str">
            <v/>
          </cell>
          <cell r="Q1249" t="str">
            <v/>
          </cell>
          <cell r="R1249" t="str">
            <v/>
          </cell>
          <cell r="S1249" t="str">
            <v/>
          </cell>
          <cell r="T1249" t="str">
            <v/>
          </cell>
          <cell r="U1249" t="str">
            <v/>
          </cell>
          <cell r="V1249" t="str">
            <v>N52</v>
          </cell>
          <cell r="W1249" t="str">
            <v/>
          </cell>
          <cell r="X1249" t="str">
            <v/>
          </cell>
          <cell r="Y1249" t="str">
            <v/>
          </cell>
          <cell r="Z1249" t="str">
            <v/>
          </cell>
          <cell r="AA1249" t="str">
            <v/>
          </cell>
          <cell r="AB1249" t="str">
            <v>PA_4551853-ED.7005-4</v>
          </cell>
          <cell r="AC1249">
            <v>1</v>
          </cell>
          <cell r="AD1249" t="str">
            <v/>
          </cell>
          <cell r="AE1249">
            <v>0</v>
          </cell>
          <cell r="AF1249" t="str">
            <v/>
          </cell>
          <cell r="AG1249" t="str">
            <v>12516111</v>
          </cell>
          <cell r="AH1249">
            <v>44951.952685185184</v>
          </cell>
          <cell r="AI1249" t="str">
            <v>N52</v>
          </cell>
          <cell r="AJ1249" t="str">
            <v>F</v>
          </cell>
          <cell r="AK1249" t="str">
            <v/>
          </cell>
        </row>
        <row r="1250">
          <cell r="A1250" t="str">
            <v>12516114829560</v>
          </cell>
          <cell r="B1250">
            <v>0</v>
          </cell>
          <cell r="C1250" t="e">
            <v>#N/A</v>
          </cell>
          <cell r="D1250" t="str">
            <v>EK65</v>
          </cell>
          <cell r="E1250" t="str">
            <v>703476</v>
          </cell>
          <cell r="F1250" t="str">
            <v>E</v>
          </cell>
          <cell r="G1250" t="str">
            <v>12516114</v>
          </cell>
          <cell r="H1250" t="str">
            <v>Beilage</v>
          </cell>
          <cell r="I1250">
            <v>62</v>
          </cell>
          <cell r="J1250" t="str">
            <v>Stk</v>
          </cell>
          <cell r="K1250">
            <v>44721</v>
          </cell>
          <cell r="L1250" t="str">
            <v>829560</v>
          </cell>
          <cell r="M1250" t="str">
            <v/>
          </cell>
          <cell r="N1250" t="str">
            <v/>
          </cell>
          <cell r="O1250" t="str">
            <v/>
          </cell>
          <cell r="P1250" t="str">
            <v/>
          </cell>
          <cell r="Q1250" t="str">
            <v/>
          </cell>
          <cell r="R1250" t="str">
            <v/>
          </cell>
          <cell r="S1250" t="str">
            <v/>
          </cell>
          <cell r="T1250" t="str">
            <v/>
          </cell>
          <cell r="U1250" t="str">
            <v/>
          </cell>
          <cell r="V1250" t="str">
            <v>N52</v>
          </cell>
          <cell r="W1250" t="str">
            <v/>
          </cell>
          <cell r="X1250" t="str">
            <v/>
          </cell>
          <cell r="Y1250" t="str">
            <v/>
          </cell>
          <cell r="Z1250" t="str">
            <v/>
          </cell>
          <cell r="AA1250" t="str">
            <v/>
          </cell>
          <cell r="AB1250" t="str">
            <v>PA_4551854-ED.7005-4</v>
          </cell>
          <cell r="AC1250">
            <v>1</v>
          </cell>
          <cell r="AD1250" t="str">
            <v/>
          </cell>
          <cell r="AE1250">
            <v>0</v>
          </cell>
          <cell r="AF1250" t="str">
            <v/>
          </cell>
          <cell r="AG1250" t="str">
            <v>12516114</v>
          </cell>
          <cell r="AH1250">
            <v>44951.952696759261</v>
          </cell>
          <cell r="AI1250" t="str">
            <v>N52</v>
          </cell>
          <cell r="AJ1250" t="str">
            <v>F</v>
          </cell>
          <cell r="AK1250" t="str">
            <v/>
          </cell>
        </row>
        <row r="1251">
          <cell r="A1251" t="str">
            <v>12516114829540</v>
          </cell>
          <cell r="B1251" t="str">
            <v>Übergabe Task Force</v>
          </cell>
          <cell r="C1251" t="e">
            <v>#N/A</v>
          </cell>
          <cell r="D1251" t="str">
            <v>EK65</v>
          </cell>
          <cell r="E1251" t="str">
            <v>703477</v>
          </cell>
          <cell r="F1251" t="str">
            <v>E</v>
          </cell>
          <cell r="G1251" t="str">
            <v>12516114</v>
          </cell>
          <cell r="H1251" t="str">
            <v>Beilage</v>
          </cell>
          <cell r="I1251">
            <v>288</v>
          </cell>
          <cell r="J1251" t="str">
            <v>Stk</v>
          </cell>
          <cell r="K1251">
            <v>44988</v>
          </cell>
          <cell r="L1251" t="str">
            <v>829540</v>
          </cell>
          <cell r="M1251" t="str">
            <v/>
          </cell>
          <cell r="N1251" t="str">
            <v/>
          </cell>
          <cell r="O1251" t="str">
            <v/>
          </cell>
          <cell r="P1251" t="str">
            <v/>
          </cell>
          <cell r="Q1251" t="str">
            <v/>
          </cell>
          <cell r="R1251" t="str">
            <v/>
          </cell>
          <cell r="S1251" t="str">
            <v/>
          </cell>
          <cell r="T1251" t="str">
            <v/>
          </cell>
          <cell r="U1251" t="str">
            <v/>
          </cell>
          <cell r="V1251" t="str">
            <v>N52</v>
          </cell>
          <cell r="W1251" t="str">
            <v/>
          </cell>
          <cell r="X1251" t="str">
            <v/>
          </cell>
          <cell r="Y1251" t="str">
            <v/>
          </cell>
          <cell r="Z1251" t="str">
            <v/>
          </cell>
          <cell r="AA1251" t="str">
            <v/>
          </cell>
          <cell r="AB1251" t="str">
            <v>PA_4551854-ED.7005-4</v>
          </cell>
          <cell r="AC1251">
            <v>1</v>
          </cell>
          <cell r="AD1251" t="str">
            <v/>
          </cell>
          <cell r="AE1251">
            <v>0</v>
          </cell>
          <cell r="AF1251" t="str">
            <v/>
          </cell>
          <cell r="AG1251" t="str">
            <v>12516114</v>
          </cell>
          <cell r="AH1251">
            <v>44951.952696759261</v>
          </cell>
          <cell r="AI1251" t="str">
            <v>N52</v>
          </cell>
          <cell r="AJ1251" t="str">
            <v>F</v>
          </cell>
          <cell r="AK1251" t="str">
            <v/>
          </cell>
        </row>
        <row r="1252">
          <cell r="A1252" t="str">
            <v>12516114829550</v>
          </cell>
          <cell r="B1252" t="e">
            <v>#N/A</v>
          </cell>
          <cell r="C1252" t="e">
            <v>#N/A</v>
          </cell>
          <cell r="D1252" t="str">
            <v>EK65</v>
          </cell>
          <cell r="E1252" t="str">
            <v>703478</v>
          </cell>
          <cell r="F1252" t="str">
            <v>E</v>
          </cell>
          <cell r="G1252" t="str">
            <v>12516114</v>
          </cell>
          <cell r="H1252" t="str">
            <v>Beilage</v>
          </cell>
          <cell r="I1252">
            <v>3</v>
          </cell>
          <cell r="J1252" t="str">
            <v>Stk</v>
          </cell>
          <cell r="K1252">
            <v>45030</v>
          </cell>
          <cell r="L1252" t="str">
            <v>829550</v>
          </cell>
          <cell r="M1252" t="str">
            <v/>
          </cell>
          <cell r="N1252" t="str">
            <v/>
          </cell>
          <cell r="O1252" t="str">
            <v/>
          </cell>
          <cell r="P1252" t="str">
            <v/>
          </cell>
          <cell r="Q1252" t="str">
            <v/>
          </cell>
          <cell r="R1252" t="str">
            <v/>
          </cell>
          <cell r="S1252" t="str">
            <v/>
          </cell>
          <cell r="T1252" t="str">
            <v/>
          </cell>
          <cell r="U1252" t="str">
            <v/>
          </cell>
          <cell r="V1252" t="str">
            <v>N52</v>
          </cell>
          <cell r="W1252" t="str">
            <v/>
          </cell>
          <cell r="X1252" t="str">
            <v/>
          </cell>
          <cell r="Y1252" t="str">
            <v/>
          </cell>
          <cell r="Z1252" t="str">
            <v/>
          </cell>
          <cell r="AA1252" t="str">
            <v/>
          </cell>
          <cell r="AB1252" t="str">
            <v>PA_4551854-ED.7005-4</v>
          </cell>
          <cell r="AC1252">
            <v>1</v>
          </cell>
          <cell r="AD1252" t="str">
            <v/>
          </cell>
          <cell r="AE1252">
            <v>0</v>
          </cell>
          <cell r="AF1252" t="str">
            <v/>
          </cell>
          <cell r="AG1252" t="str">
            <v>12516114</v>
          </cell>
          <cell r="AH1252">
            <v>44951.952696759261</v>
          </cell>
          <cell r="AI1252" t="str">
            <v>N52</v>
          </cell>
          <cell r="AJ1252" t="str">
            <v>F</v>
          </cell>
          <cell r="AK1252" t="str">
            <v/>
          </cell>
        </row>
        <row r="1253">
          <cell r="A1253" t="str">
            <v>12516114829510</v>
          </cell>
          <cell r="B1253" t="str">
            <v>Übergabe Task Force</v>
          </cell>
          <cell r="C1253" t="e">
            <v>#N/A</v>
          </cell>
          <cell r="D1253" t="str">
            <v>EK65</v>
          </cell>
          <cell r="E1253" t="str">
            <v>703479</v>
          </cell>
          <cell r="F1253" t="str">
            <v>E</v>
          </cell>
          <cell r="G1253" t="str">
            <v>12516114</v>
          </cell>
          <cell r="H1253" t="str">
            <v>Beilage</v>
          </cell>
          <cell r="I1253">
            <v>285</v>
          </cell>
          <cell r="J1253" t="str">
            <v>Stk</v>
          </cell>
          <cell r="K1253">
            <v>45048</v>
          </cell>
          <cell r="L1253" t="str">
            <v>829510</v>
          </cell>
          <cell r="M1253" t="str">
            <v/>
          </cell>
          <cell r="N1253" t="str">
            <v/>
          </cell>
          <cell r="O1253" t="str">
            <v/>
          </cell>
          <cell r="P1253" t="str">
            <v/>
          </cell>
          <cell r="Q1253" t="str">
            <v/>
          </cell>
          <cell r="R1253" t="str">
            <v/>
          </cell>
          <cell r="S1253" t="str">
            <v/>
          </cell>
          <cell r="T1253" t="str">
            <v/>
          </cell>
          <cell r="U1253" t="str">
            <v/>
          </cell>
          <cell r="V1253" t="str">
            <v>N52</v>
          </cell>
          <cell r="W1253" t="str">
            <v/>
          </cell>
          <cell r="X1253" t="str">
            <v/>
          </cell>
          <cell r="Y1253" t="str">
            <v/>
          </cell>
          <cell r="Z1253" t="str">
            <v/>
          </cell>
          <cell r="AA1253" t="str">
            <v/>
          </cell>
          <cell r="AB1253" t="str">
            <v>PA_4551854-ED.7005-4</v>
          </cell>
          <cell r="AC1253">
            <v>1</v>
          </cell>
          <cell r="AD1253" t="str">
            <v/>
          </cell>
          <cell r="AE1253">
            <v>0</v>
          </cell>
          <cell r="AF1253" t="str">
            <v/>
          </cell>
          <cell r="AG1253" t="str">
            <v>12516114</v>
          </cell>
          <cell r="AH1253">
            <v>44951.952696759261</v>
          </cell>
          <cell r="AI1253" t="str">
            <v>N52</v>
          </cell>
          <cell r="AJ1253" t="str">
            <v>F</v>
          </cell>
          <cell r="AK1253" t="str">
            <v/>
          </cell>
        </row>
        <row r="1254">
          <cell r="A1254" t="str">
            <v>12516114829520</v>
          </cell>
          <cell r="B1254" t="str">
            <v>Übergabe Task Force</v>
          </cell>
          <cell r="C1254" t="e">
            <v>#N/A</v>
          </cell>
          <cell r="D1254" t="str">
            <v>EK65</v>
          </cell>
          <cell r="E1254" t="str">
            <v>703480</v>
          </cell>
          <cell r="F1254" t="str">
            <v>E</v>
          </cell>
          <cell r="G1254" t="str">
            <v>12516114</v>
          </cell>
          <cell r="H1254" t="str">
            <v>Beilage</v>
          </cell>
          <cell r="I1254">
            <v>332</v>
          </cell>
          <cell r="J1254" t="str">
            <v>Stk</v>
          </cell>
          <cell r="K1254">
            <v>45048</v>
          </cell>
          <cell r="L1254" t="str">
            <v>829520</v>
          </cell>
          <cell r="M1254" t="str">
            <v/>
          </cell>
          <cell r="N1254" t="str">
            <v/>
          </cell>
          <cell r="O1254" t="str">
            <v/>
          </cell>
          <cell r="P1254" t="str">
            <v/>
          </cell>
          <cell r="Q1254" t="str">
            <v/>
          </cell>
          <cell r="R1254" t="str">
            <v/>
          </cell>
          <cell r="S1254" t="str">
            <v/>
          </cell>
          <cell r="T1254" t="str">
            <v/>
          </cell>
          <cell r="U1254" t="str">
            <v/>
          </cell>
          <cell r="V1254" t="str">
            <v>N52</v>
          </cell>
          <cell r="W1254" t="str">
            <v/>
          </cell>
          <cell r="X1254" t="str">
            <v/>
          </cell>
          <cell r="Y1254" t="str">
            <v/>
          </cell>
          <cell r="Z1254" t="str">
            <v/>
          </cell>
          <cell r="AA1254" t="str">
            <v/>
          </cell>
          <cell r="AB1254" t="str">
            <v>PA_4551854-ED.7005-4</v>
          </cell>
          <cell r="AC1254">
            <v>1</v>
          </cell>
          <cell r="AD1254" t="str">
            <v/>
          </cell>
          <cell r="AE1254">
            <v>0</v>
          </cell>
          <cell r="AF1254" t="str">
            <v/>
          </cell>
          <cell r="AG1254" t="str">
            <v>12516114</v>
          </cell>
          <cell r="AH1254">
            <v>44951.952696759261</v>
          </cell>
          <cell r="AI1254" t="str">
            <v>N52</v>
          </cell>
          <cell r="AJ1254" t="str">
            <v>F</v>
          </cell>
          <cell r="AK1254" t="str">
            <v/>
          </cell>
        </row>
        <row r="1255">
          <cell r="A1255" t="str">
            <v>12516134829540</v>
          </cell>
          <cell r="B1255" t="str">
            <v>Übergabe Task Force</v>
          </cell>
          <cell r="C1255" t="e">
            <v>#N/A</v>
          </cell>
          <cell r="D1255" t="str">
            <v>EK65</v>
          </cell>
          <cell r="E1255" t="str">
            <v>703482</v>
          </cell>
          <cell r="F1255" t="str">
            <v>E</v>
          </cell>
          <cell r="G1255" t="str">
            <v>12516134</v>
          </cell>
          <cell r="H1255" t="str">
            <v>Beilage</v>
          </cell>
          <cell r="I1255">
            <v>87</v>
          </cell>
          <cell r="J1255" t="str">
            <v>Stk</v>
          </cell>
          <cell r="K1255">
            <v>44991</v>
          </cell>
          <cell r="L1255" t="str">
            <v>829540</v>
          </cell>
          <cell r="M1255" t="str">
            <v/>
          </cell>
          <cell r="N1255" t="str">
            <v/>
          </cell>
          <cell r="O1255" t="str">
            <v/>
          </cell>
          <cell r="P1255" t="str">
            <v/>
          </cell>
          <cell r="Q1255" t="str">
            <v/>
          </cell>
          <cell r="R1255" t="str">
            <v/>
          </cell>
          <cell r="S1255" t="str">
            <v/>
          </cell>
          <cell r="T1255" t="str">
            <v/>
          </cell>
          <cell r="U1255" t="str">
            <v/>
          </cell>
          <cell r="V1255" t="str">
            <v>N52</v>
          </cell>
          <cell r="W1255" t="str">
            <v/>
          </cell>
          <cell r="X1255" t="str">
            <v/>
          </cell>
          <cell r="Y1255" t="str">
            <v/>
          </cell>
          <cell r="Z1255" t="str">
            <v/>
          </cell>
          <cell r="AA1255" t="str">
            <v/>
          </cell>
          <cell r="AB1255" t="str">
            <v>PA_4551855-ED.7005-4</v>
          </cell>
          <cell r="AC1255">
            <v>1</v>
          </cell>
          <cell r="AD1255" t="str">
            <v/>
          </cell>
          <cell r="AE1255">
            <v>0</v>
          </cell>
          <cell r="AF1255" t="str">
            <v/>
          </cell>
          <cell r="AG1255" t="str">
            <v>12516134</v>
          </cell>
          <cell r="AH1255">
            <v>44951.952719907407</v>
          </cell>
          <cell r="AI1255" t="str">
            <v>N52</v>
          </cell>
          <cell r="AJ1255" t="str">
            <v>F</v>
          </cell>
          <cell r="AK1255" t="str">
            <v/>
          </cell>
        </row>
        <row r="1256">
          <cell r="A1256" t="str">
            <v>12516134829560</v>
          </cell>
          <cell r="B1256" t="str">
            <v>Übergabe Task Force</v>
          </cell>
          <cell r="C1256" t="e">
            <v>#N/A</v>
          </cell>
          <cell r="D1256" t="str">
            <v>EK65</v>
          </cell>
          <cell r="E1256" t="str">
            <v>703483</v>
          </cell>
          <cell r="F1256" t="str">
            <v>E</v>
          </cell>
          <cell r="G1256" t="str">
            <v>12516134</v>
          </cell>
          <cell r="H1256" t="str">
            <v>Beilage</v>
          </cell>
          <cell r="I1256">
            <v>16</v>
          </cell>
          <cell r="J1256" t="str">
            <v>Stk</v>
          </cell>
          <cell r="K1256">
            <v>45028</v>
          </cell>
          <cell r="L1256" t="str">
            <v>829560</v>
          </cell>
          <cell r="M1256" t="str">
            <v/>
          </cell>
          <cell r="N1256" t="str">
            <v/>
          </cell>
          <cell r="O1256" t="str">
            <v/>
          </cell>
          <cell r="P1256" t="str">
            <v/>
          </cell>
          <cell r="Q1256" t="str">
            <v/>
          </cell>
          <cell r="R1256" t="str">
            <v/>
          </cell>
          <cell r="S1256" t="str">
            <v/>
          </cell>
          <cell r="T1256" t="str">
            <v/>
          </cell>
          <cell r="U1256" t="str">
            <v/>
          </cell>
          <cell r="V1256" t="str">
            <v>N52</v>
          </cell>
          <cell r="W1256" t="str">
            <v/>
          </cell>
          <cell r="X1256" t="str">
            <v/>
          </cell>
          <cell r="Y1256" t="str">
            <v/>
          </cell>
          <cell r="Z1256" t="str">
            <v/>
          </cell>
          <cell r="AA1256" t="str">
            <v/>
          </cell>
          <cell r="AB1256" t="str">
            <v>PA_4551855-ED.7005-4</v>
          </cell>
          <cell r="AC1256">
            <v>1</v>
          </cell>
          <cell r="AD1256" t="str">
            <v/>
          </cell>
          <cell r="AE1256">
            <v>0</v>
          </cell>
          <cell r="AF1256" t="str">
            <v/>
          </cell>
          <cell r="AG1256" t="str">
            <v>12516134</v>
          </cell>
          <cell r="AH1256">
            <v>44951.952719907407</v>
          </cell>
          <cell r="AI1256" t="str">
            <v>N52</v>
          </cell>
          <cell r="AJ1256" t="str">
            <v>F</v>
          </cell>
          <cell r="AK1256" t="str">
            <v/>
          </cell>
        </row>
        <row r="1257">
          <cell r="A1257" t="str">
            <v>12516134829510</v>
          </cell>
          <cell r="B1257" t="str">
            <v>Übergabe Task Force</v>
          </cell>
          <cell r="C1257" t="e">
            <v>#N/A</v>
          </cell>
          <cell r="D1257" t="str">
            <v>EK65</v>
          </cell>
          <cell r="E1257" t="str">
            <v>703484</v>
          </cell>
          <cell r="F1257" t="str">
            <v>E</v>
          </cell>
          <cell r="G1257" t="str">
            <v>12516134</v>
          </cell>
          <cell r="H1257" t="str">
            <v>Beilage</v>
          </cell>
          <cell r="I1257">
            <v>95</v>
          </cell>
          <cell r="J1257" t="str">
            <v>Stk</v>
          </cell>
          <cell r="K1257">
            <v>45048</v>
          </cell>
          <cell r="L1257" t="str">
            <v>829510</v>
          </cell>
          <cell r="M1257" t="str">
            <v/>
          </cell>
          <cell r="N1257" t="str">
            <v/>
          </cell>
          <cell r="O1257" t="str">
            <v/>
          </cell>
          <cell r="P1257" t="str">
            <v/>
          </cell>
          <cell r="Q1257" t="str">
            <v/>
          </cell>
          <cell r="R1257" t="str">
            <v/>
          </cell>
          <cell r="S1257" t="str">
            <v/>
          </cell>
          <cell r="T1257" t="str">
            <v/>
          </cell>
          <cell r="U1257" t="str">
            <v/>
          </cell>
          <cell r="V1257" t="str">
            <v>N52</v>
          </cell>
          <cell r="W1257" t="str">
            <v/>
          </cell>
          <cell r="X1257" t="str">
            <v/>
          </cell>
          <cell r="Y1257" t="str">
            <v/>
          </cell>
          <cell r="Z1257" t="str">
            <v/>
          </cell>
          <cell r="AA1257" t="str">
            <v/>
          </cell>
          <cell r="AB1257" t="str">
            <v>PA_4551855-ED.7005-4</v>
          </cell>
          <cell r="AC1257">
            <v>1</v>
          </cell>
          <cell r="AD1257" t="str">
            <v/>
          </cell>
          <cell r="AE1257">
            <v>0</v>
          </cell>
          <cell r="AF1257" t="str">
            <v/>
          </cell>
          <cell r="AG1257" t="str">
            <v>12516134</v>
          </cell>
          <cell r="AH1257">
            <v>44951.952719907407</v>
          </cell>
          <cell r="AI1257" t="str">
            <v>N52</v>
          </cell>
          <cell r="AJ1257" t="str">
            <v>F</v>
          </cell>
          <cell r="AK1257" t="str">
            <v/>
          </cell>
        </row>
        <row r="1258">
          <cell r="A1258" t="str">
            <v>12516134829520</v>
          </cell>
          <cell r="B1258" t="str">
            <v>Übergabe Task Force</v>
          </cell>
          <cell r="C1258" t="e">
            <v>#N/A</v>
          </cell>
          <cell r="D1258" t="str">
            <v>EK65</v>
          </cell>
          <cell r="E1258" t="str">
            <v>703485</v>
          </cell>
          <cell r="F1258" t="str">
            <v>E</v>
          </cell>
          <cell r="G1258" t="str">
            <v>12516134</v>
          </cell>
          <cell r="H1258" t="str">
            <v>Beilage</v>
          </cell>
          <cell r="I1258">
            <v>109</v>
          </cell>
          <cell r="J1258" t="str">
            <v>Stk</v>
          </cell>
          <cell r="K1258">
            <v>45048</v>
          </cell>
          <cell r="L1258" t="str">
            <v>829520</v>
          </cell>
          <cell r="M1258" t="str">
            <v/>
          </cell>
          <cell r="N1258" t="str">
            <v/>
          </cell>
          <cell r="O1258" t="str">
            <v/>
          </cell>
          <cell r="P1258" t="str">
            <v/>
          </cell>
          <cell r="Q1258" t="str">
            <v/>
          </cell>
          <cell r="R1258" t="str">
            <v/>
          </cell>
          <cell r="S1258" t="str">
            <v/>
          </cell>
          <cell r="T1258" t="str">
            <v/>
          </cell>
          <cell r="U1258" t="str">
            <v/>
          </cell>
          <cell r="V1258" t="str">
            <v>N52</v>
          </cell>
          <cell r="W1258" t="str">
            <v/>
          </cell>
          <cell r="X1258" t="str">
            <v/>
          </cell>
          <cell r="Y1258" t="str">
            <v/>
          </cell>
          <cell r="Z1258" t="str">
            <v/>
          </cell>
          <cell r="AA1258" t="str">
            <v/>
          </cell>
          <cell r="AB1258" t="str">
            <v>PA_4551855-ED.7005-4</v>
          </cell>
          <cell r="AC1258">
            <v>1</v>
          </cell>
          <cell r="AD1258" t="str">
            <v/>
          </cell>
          <cell r="AE1258">
            <v>0</v>
          </cell>
          <cell r="AF1258" t="str">
            <v/>
          </cell>
          <cell r="AG1258" t="str">
            <v>12516134</v>
          </cell>
          <cell r="AH1258">
            <v>44951.952719907407</v>
          </cell>
          <cell r="AI1258" t="str">
            <v>N52</v>
          </cell>
          <cell r="AJ1258" t="str">
            <v>F</v>
          </cell>
          <cell r="AK1258" t="str">
            <v/>
          </cell>
        </row>
        <row r="1259">
          <cell r="A1259" t="str">
            <v>12516134829530</v>
          </cell>
          <cell r="B1259" t="str">
            <v>Angefragt 22.03.2023</v>
          </cell>
          <cell r="C1259" t="e">
            <v>#N/A</v>
          </cell>
          <cell r="D1259" t="str">
            <v>EK65</v>
          </cell>
          <cell r="E1259" t="str">
            <v>703486</v>
          </cell>
          <cell r="F1259" t="str">
            <v>E</v>
          </cell>
          <cell r="G1259" t="str">
            <v>12516134</v>
          </cell>
          <cell r="H1259" t="str">
            <v>Beilage</v>
          </cell>
          <cell r="I1259">
            <v>14</v>
          </cell>
          <cell r="J1259" t="str">
            <v>Stk</v>
          </cell>
          <cell r="K1259">
            <v>45061</v>
          </cell>
          <cell r="L1259" t="str">
            <v>829530</v>
          </cell>
          <cell r="M1259" t="str">
            <v/>
          </cell>
          <cell r="N1259" t="str">
            <v/>
          </cell>
          <cell r="O1259" t="str">
            <v/>
          </cell>
          <cell r="P1259" t="str">
            <v/>
          </cell>
          <cell r="Q1259" t="str">
            <v/>
          </cell>
          <cell r="R1259" t="str">
            <v/>
          </cell>
          <cell r="S1259" t="str">
            <v/>
          </cell>
          <cell r="T1259" t="str">
            <v/>
          </cell>
          <cell r="U1259" t="str">
            <v/>
          </cell>
          <cell r="V1259" t="str">
            <v>N52</v>
          </cell>
          <cell r="W1259" t="str">
            <v/>
          </cell>
          <cell r="X1259" t="str">
            <v/>
          </cell>
          <cell r="Y1259" t="str">
            <v/>
          </cell>
          <cell r="Z1259" t="str">
            <v/>
          </cell>
          <cell r="AA1259" t="str">
            <v/>
          </cell>
          <cell r="AB1259" t="str">
            <v>PA_4551855-ED.7005-4</v>
          </cell>
          <cell r="AC1259">
            <v>1</v>
          </cell>
          <cell r="AD1259" t="str">
            <v/>
          </cell>
          <cell r="AE1259">
            <v>0</v>
          </cell>
          <cell r="AF1259" t="str">
            <v/>
          </cell>
          <cell r="AG1259" t="str">
            <v>12516134</v>
          </cell>
          <cell r="AH1259">
            <v>44951.952719907407</v>
          </cell>
          <cell r="AI1259" t="str">
            <v>N52</v>
          </cell>
          <cell r="AJ1259" t="str">
            <v>F</v>
          </cell>
          <cell r="AK1259" t="str">
            <v/>
          </cell>
        </row>
        <row r="1260">
          <cell r="A1260" t="str">
            <v>12516313829540</v>
          </cell>
          <cell r="B1260" t="str">
            <v>Übergabe Task Force</v>
          </cell>
          <cell r="C1260" t="e">
            <v>#N/A</v>
          </cell>
          <cell r="D1260" t="str">
            <v>EK65</v>
          </cell>
          <cell r="E1260" t="str">
            <v>703488</v>
          </cell>
          <cell r="F1260" t="str">
            <v>E</v>
          </cell>
          <cell r="G1260" t="str">
            <v>12516313</v>
          </cell>
          <cell r="H1260" t="str">
            <v>Beilage</v>
          </cell>
          <cell r="I1260">
            <v>87</v>
          </cell>
          <cell r="J1260" t="str">
            <v>Stk</v>
          </cell>
          <cell r="K1260">
            <v>44991</v>
          </cell>
          <cell r="L1260" t="str">
            <v>829540</v>
          </cell>
          <cell r="M1260" t="str">
            <v/>
          </cell>
          <cell r="N1260" t="str">
            <v/>
          </cell>
          <cell r="O1260" t="str">
            <v/>
          </cell>
          <cell r="P1260" t="str">
            <v/>
          </cell>
          <cell r="Q1260" t="str">
            <v/>
          </cell>
          <cell r="R1260" t="str">
            <v/>
          </cell>
          <cell r="S1260" t="str">
            <v/>
          </cell>
          <cell r="T1260" t="str">
            <v/>
          </cell>
          <cell r="U1260" t="str">
            <v/>
          </cell>
          <cell r="V1260" t="str">
            <v>N52</v>
          </cell>
          <cell r="W1260" t="str">
            <v/>
          </cell>
          <cell r="X1260" t="str">
            <v/>
          </cell>
          <cell r="Y1260" t="str">
            <v/>
          </cell>
          <cell r="Z1260" t="str">
            <v/>
          </cell>
          <cell r="AA1260" t="str">
            <v/>
          </cell>
          <cell r="AB1260" t="str">
            <v>PA_4553128-ED.7005-3</v>
          </cell>
          <cell r="AC1260">
            <v>1</v>
          </cell>
          <cell r="AD1260" t="str">
            <v/>
          </cell>
          <cell r="AE1260">
            <v>0</v>
          </cell>
          <cell r="AF1260" t="str">
            <v/>
          </cell>
          <cell r="AG1260" t="str">
            <v>12516313</v>
          </cell>
          <cell r="AH1260">
            <v>44951.952731481484</v>
          </cell>
          <cell r="AI1260" t="str">
            <v>N52</v>
          </cell>
          <cell r="AJ1260" t="str">
            <v>F</v>
          </cell>
          <cell r="AK1260" t="str">
            <v/>
          </cell>
        </row>
        <row r="1261">
          <cell r="A1261" t="str">
            <v>12516313829560</v>
          </cell>
          <cell r="B1261" t="str">
            <v>Übergabe Task Force</v>
          </cell>
          <cell r="C1261" t="e">
            <v>#N/A</v>
          </cell>
          <cell r="D1261" t="str">
            <v>EK65</v>
          </cell>
          <cell r="E1261" t="str">
            <v>703489</v>
          </cell>
          <cell r="F1261" t="str">
            <v>E</v>
          </cell>
          <cell r="G1261" t="str">
            <v>12516313</v>
          </cell>
          <cell r="H1261" t="str">
            <v>Beilage</v>
          </cell>
          <cell r="I1261">
            <v>16</v>
          </cell>
          <cell r="J1261" t="str">
            <v>Stk</v>
          </cell>
          <cell r="K1261">
            <v>45028</v>
          </cell>
          <cell r="L1261" t="str">
            <v>829560</v>
          </cell>
          <cell r="M1261" t="str">
            <v/>
          </cell>
          <cell r="N1261" t="str">
            <v/>
          </cell>
          <cell r="O1261" t="str">
            <v/>
          </cell>
          <cell r="P1261" t="str">
            <v/>
          </cell>
          <cell r="Q1261" t="str">
            <v/>
          </cell>
          <cell r="R1261" t="str">
            <v/>
          </cell>
          <cell r="S1261" t="str">
            <v/>
          </cell>
          <cell r="T1261" t="str">
            <v/>
          </cell>
          <cell r="U1261" t="str">
            <v/>
          </cell>
          <cell r="V1261" t="str">
            <v>N52</v>
          </cell>
          <cell r="W1261" t="str">
            <v/>
          </cell>
          <cell r="X1261" t="str">
            <v/>
          </cell>
          <cell r="Y1261" t="str">
            <v/>
          </cell>
          <cell r="Z1261" t="str">
            <v/>
          </cell>
          <cell r="AA1261" t="str">
            <v/>
          </cell>
          <cell r="AB1261" t="str">
            <v>PA_4553128-ED.7005-3</v>
          </cell>
          <cell r="AC1261">
            <v>1</v>
          </cell>
          <cell r="AD1261" t="str">
            <v/>
          </cell>
          <cell r="AE1261">
            <v>0</v>
          </cell>
          <cell r="AF1261" t="str">
            <v/>
          </cell>
          <cell r="AG1261" t="str">
            <v>12516313</v>
          </cell>
          <cell r="AH1261">
            <v>44951.952731481484</v>
          </cell>
          <cell r="AI1261" t="str">
            <v>N52</v>
          </cell>
          <cell r="AJ1261" t="str">
            <v>F</v>
          </cell>
          <cell r="AK1261" t="str">
            <v/>
          </cell>
        </row>
        <row r="1262">
          <cell r="A1262" t="str">
            <v>12516313829510</v>
          </cell>
          <cell r="B1262" t="str">
            <v>Übergabe Task Force</v>
          </cell>
          <cell r="C1262" t="e">
            <v>#N/A</v>
          </cell>
          <cell r="D1262" t="str">
            <v>EK65</v>
          </cell>
          <cell r="E1262" t="str">
            <v>703490</v>
          </cell>
          <cell r="F1262" t="str">
            <v>E</v>
          </cell>
          <cell r="G1262" t="str">
            <v>12516313</v>
          </cell>
          <cell r="H1262" t="str">
            <v>Beilage</v>
          </cell>
          <cell r="I1262">
            <v>95</v>
          </cell>
          <cell r="J1262" t="str">
            <v>Stk</v>
          </cell>
          <cell r="K1262">
            <v>45048</v>
          </cell>
          <cell r="L1262" t="str">
            <v>829510</v>
          </cell>
          <cell r="M1262" t="str">
            <v/>
          </cell>
          <cell r="N1262" t="str">
            <v/>
          </cell>
          <cell r="O1262" t="str">
            <v/>
          </cell>
          <cell r="P1262" t="str">
            <v/>
          </cell>
          <cell r="Q1262" t="str">
            <v/>
          </cell>
          <cell r="R1262" t="str">
            <v/>
          </cell>
          <cell r="S1262" t="str">
            <v/>
          </cell>
          <cell r="T1262" t="str">
            <v/>
          </cell>
          <cell r="U1262" t="str">
            <v/>
          </cell>
          <cell r="V1262" t="str">
            <v>N52</v>
          </cell>
          <cell r="W1262" t="str">
            <v/>
          </cell>
          <cell r="X1262" t="str">
            <v/>
          </cell>
          <cell r="Y1262" t="str">
            <v/>
          </cell>
          <cell r="Z1262" t="str">
            <v/>
          </cell>
          <cell r="AA1262" t="str">
            <v/>
          </cell>
          <cell r="AB1262" t="str">
            <v>PA_4553128-ED.7005-3</v>
          </cell>
          <cell r="AC1262">
            <v>1</v>
          </cell>
          <cell r="AD1262" t="str">
            <v/>
          </cell>
          <cell r="AE1262">
            <v>0</v>
          </cell>
          <cell r="AF1262" t="str">
            <v/>
          </cell>
          <cell r="AG1262" t="str">
            <v>12516313</v>
          </cell>
          <cell r="AH1262">
            <v>44951.952731481484</v>
          </cell>
          <cell r="AI1262" t="str">
            <v>N52</v>
          </cell>
          <cell r="AJ1262" t="str">
            <v>F</v>
          </cell>
          <cell r="AK1262" t="str">
            <v/>
          </cell>
        </row>
        <row r="1263">
          <cell r="A1263" t="str">
            <v>12516313829520</v>
          </cell>
          <cell r="B1263" t="str">
            <v>Übergabe Task Force</v>
          </cell>
          <cell r="C1263" t="e">
            <v>#N/A</v>
          </cell>
          <cell r="D1263" t="str">
            <v>EK65</v>
          </cell>
          <cell r="E1263" t="str">
            <v>703491</v>
          </cell>
          <cell r="F1263" t="str">
            <v>E</v>
          </cell>
          <cell r="G1263" t="str">
            <v>12516313</v>
          </cell>
          <cell r="H1263" t="str">
            <v>Beilage</v>
          </cell>
          <cell r="I1263">
            <v>109</v>
          </cell>
          <cell r="J1263" t="str">
            <v>Stk</v>
          </cell>
          <cell r="K1263">
            <v>45048</v>
          </cell>
          <cell r="L1263" t="str">
            <v>829520</v>
          </cell>
          <cell r="M1263" t="str">
            <v/>
          </cell>
          <cell r="N1263" t="str">
            <v/>
          </cell>
          <cell r="O1263" t="str">
            <v/>
          </cell>
          <cell r="P1263" t="str">
            <v/>
          </cell>
          <cell r="Q1263" t="str">
            <v/>
          </cell>
          <cell r="R1263" t="str">
            <v/>
          </cell>
          <cell r="S1263" t="str">
            <v/>
          </cell>
          <cell r="T1263" t="str">
            <v/>
          </cell>
          <cell r="U1263" t="str">
            <v/>
          </cell>
          <cell r="V1263" t="str">
            <v>N52</v>
          </cell>
          <cell r="W1263" t="str">
            <v/>
          </cell>
          <cell r="X1263" t="str">
            <v/>
          </cell>
          <cell r="Y1263" t="str">
            <v/>
          </cell>
          <cell r="Z1263" t="str">
            <v/>
          </cell>
          <cell r="AA1263" t="str">
            <v/>
          </cell>
          <cell r="AB1263" t="str">
            <v>PA_4553128-ED.7005-3</v>
          </cell>
          <cell r="AC1263">
            <v>1</v>
          </cell>
          <cell r="AD1263" t="str">
            <v/>
          </cell>
          <cell r="AE1263">
            <v>0</v>
          </cell>
          <cell r="AF1263" t="str">
            <v/>
          </cell>
          <cell r="AG1263" t="str">
            <v>12516313</v>
          </cell>
          <cell r="AH1263">
            <v>44951.952731481484</v>
          </cell>
          <cell r="AI1263" t="str">
            <v>N52</v>
          </cell>
          <cell r="AJ1263" t="str">
            <v>F</v>
          </cell>
          <cell r="AK1263" t="str">
            <v/>
          </cell>
        </row>
        <row r="1264">
          <cell r="A1264" t="str">
            <v>12516313829530</v>
          </cell>
          <cell r="B1264" t="str">
            <v>Angefragt 22.03.2023</v>
          </cell>
          <cell r="C1264" t="e">
            <v>#N/A</v>
          </cell>
          <cell r="D1264" t="str">
            <v>EK65</v>
          </cell>
          <cell r="E1264" t="str">
            <v>703492</v>
          </cell>
          <cell r="F1264" t="str">
            <v>E</v>
          </cell>
          <cell r="G1264" t="str">
            <v>12516313</v>
          </cell>
          <cell r="H1264" t="str">
            <v>Beilage</v>
          </cell>
          <cell r="I1264">
            <v>14</v>
          </cell>
          <cell r="J1264" t="str">
            <v>Stk</v>
          </cell>
          <cell r="K1264">
            <v>45061</v>
          </cell>
          <cell r="L1264" t="str">
            <v>829530</v>
          </cell>
          <cell r="M1264" t="str">
            <v/>
          </cell>
          <cell r="N1264" t="str">
            <v/>
          </cell>
          <cell r="O1264" t="str">
            <v/>
          </cell>
          <cell r="P1264" t="str">
            <v/>
          </cell>
          <cell r="Q1264" t="str">
            <v/>
          </cell>
          <cell r="R1264" t="str">
            <v/>
          </cell>
          <cell r="S1264" t="str">
            <v/>
          </cell>
          <cell r="T1264" t="str">
            <v/>
          </cell>
          <cell r="U1264" t="str">
            <v/>
          </cell>
          <cell r="V1264" t="str">
            <v>N52</v>
          </cell>
          <cell r="W1264" t="str">
            <v/>
          </cell>
          <cell r="X1264" t="str">
            <v/>
          </cell>
          <cell r="Y1264" t="str">
            <v/>
          </cell>
          <cell r="Z1264" t="str">
            <v/>
          </cell>
          <cell r="AA1264" t="str">
            <v/>
          </cell>
          <cell r="AB1264" t="str">
            <v>PA_4553128-ED.7005-3</v>
          </cell>
          <cell r="AC1264">
            <v>1</v>
          </cell>
          <cell r="AD1264" t="str">
            <v/>
          </cell>
          <cell r="AE1264">
            <v>0</v>
          </cell>
          <cell r="AF1264" t="str">
            <v/>
          </cell>
          <cell r="AG1264" t="str">
            <v>12516313</v>
          </cell>
          <cell r="AH1264">
            <v>44951.952743055554</v>
          </cell>
          <cell r="AI1264" t="str">
            <v>N52</v>
          </cell>
          <cell r="AJ1264" t="str">
            <v>F</v>
          </cell>
          <cell r="AK1264" t="str">
            <v/>
          </cell>
        </row>
        <row r="1265">
          <cell r="A1265" t="str">
            <v>12516316829540</v>
          </cell>
          <cell r="B1265" t="str">
            <v>Übergabe Task Force</v>
          </cell>
          <cell r="C1265" t="e">
            <v>#N/A</v>
          </cell>
          <cell r="D1265" t="str">
            <v>EK65</v>
          </cell>
          <cell r="E1265" t="str">
            <v>703494</v>
          </cell>
          <cell r="F1265" t="str">
            <v>E</v>
          </cell>
          <cell r="G1265" t="str">
            <v>12516316</v>
          </cell>
          <cell r="H1265" t="str">
            <v>Beilage</v>
          </cell>
          <cell r="I1265">
            <v>87</v>
          </cell>
          <cell r="J1265" t="str">
            <v>Stk</v>
          </cell>
          <cell r="K1265">
            <v>44991</v>
          </cell>
          <cell r="L1265" t="str">
            <v>829540</v>
          </cell>
          <cell r="M1265" t="str">
            <v/>
          </cell>
          <cell r="N1265" t="str">
            <v/>
          </cell>
          <cell r="O1265" t="str">
            <v/>
          </cell>
          <cell r="P1265" t="str">
            <v/>
          </cell>
          <cell r="Q1265" t="str">
            <v/>
          </cell>
          <cell r="R1265" t="str">
            <v/>
          </cell>
          <cell r="S1265" t="str">
            <v/>
          </cell>
          <cell r="T1265" t="str">
            <v/>
          </cell>
          <cell r="U1265" t="str">
            <v/>
          </cell>
          <cell r="V1265" t="str">
            <v>N52</v>
          </cell>
          <cell r="W1265" t="str">
            <v/>
          </cell>
          <cell r="X1265" t="str">
            <v/>
          </cell>
          <cell r="Y1265" t="str">
            <v/>
          </cell>
          <cell r="Z1265" t="str">
            <v/>
          </cell>
          <cell r="AA1265" t="str">
            <v/>
          </cell>
          <cell r="AB1265" t="str">
            <v>PA_4553132-ED.7005-3</v>
          </cell>
          <cell r="AC1265">
            <v>1</v>
          </cell>
          <cell r="AD1265" t="str">
            <v/>
          </cell>
          <cell r="AE1265">
            <v>0</v>
          </cell>
          <cell r="AF1265" t="str">
            <v/>
          </cell>
          <cell r="AG1265" t="str">
            <v>12516316</v>
          </cell>
          <cell r="AH1265">
            <v>44951.95275462963</v>
          </cell>
          <cell r="AI1265" t="str">
            <v>N52</v>
          </cell>
          <cell r="AJ1265" t="str">
            <v>F</v>
          </cell>
          <cell r="AK1265" t="str">
            <v/>
          </cell>
        </row>
        <row r="1266">
          <cell r="A1266" t="str">
            <v>12516316829560</v>
          </cell>
          <cell r="B1266" t="str">
            <v>Übergabe Task Force</v>
          </cell>
          <cell r="C1266" t="e">
            <v>#N/A</v>
          </cell>
          <cell r="D1266" t="str">
            <v>EK65</v>
          </cell>
          <cell r="E1266" t="str">
            <v>703495</v>
          </cell>
          <cell r="F1266" t="str">
            <v>E</v>
          </cell>
          <cell r="G1266" t="str">
            <v>12516316</v>
          </cell>
          <cell r="H1266" t="str">
            <v>Beilage</v>
          </cell>
          <cell r="I1266">
            <v>16</v>
          </cell>
          <cell r="J1266" t="str">
            <v>Stk</v>
          </cell>
          <cell r="K1266">
            <v>45028</v>
          </cell>
          <cell r="L1266" t="str">
            <v>829560</v>
          </cell>
          <cell r="M1266" t="str">
            <v/>
          </cell>
          <cell r="N1266" t="str">
            <v/>
          </cell>
          <cell r="O1266" t="str">
            <v/>
          </cell>
          <cell r="P1266" t="str">
            <v/>
          </cell>
          <cell r="Q1266" t="str">
            <v/>
          </cell>
          <cell r="R1266" t="str">
            <v/>
          </cell>
          <cell r="S1266" t="str">
            <v/>
          </cell>
          <cell r="T1266" t="str">
            <v/>
          </cell>
          <cell r="U1266" t="str">
            <v/>
          </cell>
          <cell r="V1266" t="str">
            <v>N52</v>
          </cell>
          <cell r="W1266" t="str">
            <v/>
          </cell>
          <cell r="X1266" t="str">
            <v/>
          </cell>
          <cell r="Y1266" t="str">
            <v/>
          </cell>
          <cell r="Z1266" t="str">
            <v/>
          </cell>
          <cell r="AA1266" t="str">
            <v/>
          </cell>
          <cell r="AB1266" t="str">
            <v>PA_4553132-ED.7005-3</v>
          </cell>
          <cell r="AC1266">
            <v>1</v>
          </cell>
          <cell r="AD1266" t="str">
            <v/>
          </cell>
          <cell r="AE1266">
            <v>0</v>
          </cell>
          <cell r="AF1266" t="str">
            <v/>
          </cell>
          <cell r="AG1266" t="str">
            <v>12516316</v>
          </cell>
          <cell r="AH1266">
            <v>44951.95275462963</v>
          </cell>
          <cell r="AI1266" t="str">
            <v>N52</v>
          </cell>
          <cell r="AJ1266" t="str">
            <v>F</v>
          </cell>
          <cell r="AK1266" t="str">
            <v/>
          </cell>
        </row>
        <row r="1267">
          <cell r="A1267" t="str">
            <v>12516316829510</v>
          </cell>
          <cell r="B1267" t="str">
            <v>Übergabe Task Force</v>
          </cell>
          <cell r="C1267" t="e">
            <v>#N/A</v>
          </cell>
          <cell r="D1267" t="str">
            <v>EK65</v>
          </cell>
          <cell r="E1267" t="str">
            <v>703496</v>
          </cell>
          <cell r="F1267" t="str">
            <v>E</v>
          </cell>
          <cell r="G1267" t="str">
            <v>12516316</v>
          </cell>
          <cell r="H1267" t="str">
            <v>Beilage</v>
          </cell>
          <cell r="I1267">
            <v>95</v>
          </cell>
          <cell r="J1267" t="str">
            <v>Stk</v>
          </cell>
          <cell r="K1267">
            <v>45048</v>
          </cell>
          <cell r="L1267" t="str">
            <v>829510</v>
          </cell>
          <cell r="M1267" t="str">
            <v/>
          </cell>
          <cell r="N1267" t="str">
            <v/>
          </cell>
          <cell r="O1267" t="str">
            <v/>
          </cell>
          <cell r="P1267" t="str">
            <v/>
          </cell>
          <cell r="Q1267" t="str">
            <v/>
          </cell>
          <cell r="R1267" t="str">
            <v/>
          </cell>
          <cell r="S1267" t="str">
            <v/>
          </cell>
          <cell r="T1267" t="str">
            <v/>
          </cell>
          <cell r="U1267" t="str">
            <v/>
          </cell>
          <cell r="V1267" t="str">
            <v>N52</v>
          </cell>
          <cell r="W1267" t="str">
            <v/>
          </cell>
          <cell r="X1267" t="str">
            <v/>
          </cell>
          <cell r="Y1267" t="str">
            <v/>
          </cell>
          <cell r="Z1267" t="str">
            <v/>
          </cell>
          <cell r="AA1267" t="str">
            <v/>
          </cell>
          <cell r="AB1267" t="str">
            <v>PA_4553132-ED.7005-3</v>
          </cell>
          <cell r="AC1267">
            <v>1</v>
          </cell>
          <cell r="AD1267" t="str">
            <v/>
          </cell>
          <cell r="AE1267">
            <v>0</v>
          </cell>
          <cell r="AF1267" t="str">
            <v/>
          </cell>
          <cell r="AG1267" t="str">
            <v>12516316</v>
          </cell>
          <cell r="AH1267">
            <v>44951.95275462963</v>
          </cell>
          <cell r="AI1267" t="str">
            <v>N52</v>
          </cell>
          <cell r="AJ1267" t="str">
            <v>F</v>
          </cell>
          <cell r="AK1267" t="str">
            <v/>
          </cell>
        </row>
        <row r="1268">
          <cell r="A1268" t="str">
            <v>12516316829520</v>
          </cell>
          <cell r="B1268" t="str">
            <v>Übergabe Task Force</v>
          </cell>
          <cell r="C1268" t="e">
            <v>#N/A</v>
          </cell>
          <cell r="D1268" t="str">
            <v>EK65</v>
          </cell>
          <cell r="E1268" t="str">
            <v>703497</v>
          </cell>
          <cell r="F1268" t="str">
            <v>E</v>
          </cell>
          <cell r="G1268" t="str">
            <v>12516316</v>
          </cell>
          <cell r="H1268" t="str">
            <v>Beilage</v>
          </cell>
          <cell r="I1268">
            <v>109</v>
          </cell>
          <cell r="J1268" t="str">
            <v>Stk</v>
          </cell>
          <cell r="K1268">
            <v>45048</v>
          </cell>
          <cell r="L1268" t="str">
            <v>829520</v>
          </cell>
          <cell r="M1268" t="str">
            <v/>
          </cell>
          <cell r="N1268" t="str">
            <v/>
          </cell>
          <cell r="O1268" t="str">
            <v/>
          </cell>
          <cell r="P1268" t="str">
            <v/>
          </cell>
          <cell r="Q1268" t="str">
            <v/>
          </cell>
          <cell r="R1268" t="str">
            <v/>
          </cell>
          <cell r="S1268" t="str">
            <v/>
          </cell>
          <cell r="T1268" t="str">
            <v/>
          </cell>
          <cell r="U1268" t="str">
            <v/>
          </cell>
          <cell r="V1268" t="str">
            <v>N52</v>
          </cell>
          <cell r="W1268" t="str">
            <v/>
          </cell>
          <cell r="X1268" t="str">
            <v/>
          </cell>
          <cell r="Y1268" t="str">
            <v/>
          </cell>
          <cell r="Z1268" t="str">
            <v/>
          </cell>
          <cell r="AA1268" t="str">
            <v/>
          </cell>
          <cell r="AB1268" t="str">
            <v>PA_4553132-ED.7005-3</v>
          </cell>
          <cell r="AC1268">
            <v>1</v>
          </cell>
          <cell r="AD1268" t="str">
            <v/>
          </cell>
          <cell r="AE1268">
            <v>0</v>
          </cell>
          <cell r="AF1268" t="str">
            <v/>
          </cell>
          <cell r="AG1268" t="str">
            <v>12516316</v>
          </cell>
          <cell r="AH1268">
            <v>44951.95275462963</v>
          </cell>
          <cell r="AI1268" t="str">
            <v>N52</v>
          </cell>
          <cell r="AJ1268" t="str">
            <v>F</v>
          </cell>
          <cell r="AK1268" t="str">
            <v/>
          </cell>
        </row>
        <row r="1269">
          <cell r="A1269" t="str">
            <v>12516316829530</v>
          </cell>
          <cell r="B1269" t="str">
            <v>Angefragt 22.03.2023</v>
          </cell>
          <cell r="C1269" t="e">
            <v>#N/A</v>
          </cell>
          <cell r="D1269" t="str">
            <v>EK65</v>
          </cell>
          <cell r="E1269" t="str">
            <v>703498</v>
          </cell>
          <cell r="F1269" t="str">
            <v>E</v>
          </cell>
          <cell r="G1269" t="str">
            <v>12516316</v>
          </cell>
          <cell r="H1269" t="str">
            <v>Beilage</v>
          </cell>
          <cell r="I1269">
            <v>14</v>
          </cell>
          <cell r="J1269" t="str">
            <v>Stk</v>
          </cell>
          <cell r="K1269">
            <v>45061</v>
          </cell>
          <cell r="L1269" t="str">
            <v>829530</v>
          </cell>
          <cell r="M1269" t="str">
            <v/>
          </cell>
          <cell r="N1269" t="str">
            <v/>
          </cell>
          <cell r="O1269" t="str">
            <v/>
          </cell>
          <cell r="P1269" t="str">
            <v/>
          </cell>
          <cell r="Q1269" t="str">
            <v/>
          </cell>
          <cell r="R1269" t="str">
            <v/>
          </cell>
          <cell r="S1269" t="str">
            <v/>
          </cell>
          <cell r="T1269" t="str">
            <v/>
          </cell>
          <cell r="U1269" t="str">
            <v/>
          </cell>
          <cell r="V1269" t="str">
            <v>N52</v>
          </cell>
          <cell r="W1269" t="str">
            <v/>
          </cell>
          <cell r="X1269" t="str">
            <v/>
          </cell>
          <cell r="Y1269" t="str">
            <v/>
          </cell>
          <cell r="Z1269" t="str">
            <v/>
          </cell>
          <cell r="AA1269" t="str">
            <v/>
          </cell>
          <cell r="AB1269" t="str">
            <v>PA_4553132-ED.7005-3</v>
          </cell>
          <cell r="AC1269">
            <v>1</v>
          </cell>
          <cell r="AD1269" t="str">
            <v/>
          </cell>
          <cell r="AE1269">
            <v>0</v>
          </cell>
          <cell r="AF1269" t="str">
            <v/>
          </cell>
          <cell r="AG1269" t="str">
            <v>12516316</v>
          </cell>
          <cell r="AH1269">
            <v>44951.95275462963</v>
          </cell>
          <cell r="AI1269" t="str">
            <v>N52</v>
          </cell>
          <cell r="AJ1269" t="str">
            <v>F</v>
          </cell>
          <cell r="AK1269" t="str">
            <v/>
          </cell>
        </row>
        <row r="1270">
          <cell r="A1270" t="str">
            <v>12516462829540</v>
          </cell>
          <cell r="B1270" t="str">
            <v>Übergabe Task Force</v>
          </cell>
          <cell r="C1270" t="e">
            <v>#N/A</v>
          </cell>
          <cell r="D1270" t="str">
            <v>EK65</v>
          </cell>
          <cell r="E1270" t="str">
            <v>703500</v>
          </cell>
          <cell r="F1270" t="str">
            <v>E</v>
          </cell>
          <cell r="G1270" t="str">
            <v>12516462</v>
          </cell>
          <cell r="H1270" t="str">
            <v>Beilage</v>
          </cell>
          <cell r="I1270">
            <v>87</v>
          </cell>
          <cell r="J1270" t="str">
            <v>Stk</v>
          </cell>
          <cell r="K1270">
            <v>44991</v>
          </cell>
          <cell r="L1270" t="str">
            <v>829540</v>
          </cell>
          <cell r="M1270" t="str">
            <v/>
          </cell>
          <cell r="N1270" t="str">
            <v/>
          </cell>
          <cell r="O1270" t="str">
            <v/>
          </cell>
          <cell r="P1270" t="str">
            <v/>
          </cell>
          <cell r="Q1270" t="str">
            <v/>
          </cell>
          <cell r="R1270" t="str">
            <v/>
          </cell>
          <cell r="S1270" t="str">
            <v/>
          </cell>
          <cell r="T1270" t="str">
            <v/>
          </cell>
          <cell r="U1270" t="str">
            <v/>
          </cell>
          <cell r="V1270" t="str">
            <v>N52</v>
          </cell>
          <cell r="W1270" t="str">
            <v/>
          </cell>
          <cell r="X1270" t="str">
            <v/>
          </cell>
          <cell r="Y1270" t="str">
            <v/>
          </cell>
          <cell r="Z1270" t="str">
            <v/>
          </cell>
          <cell r="AA1270" t="str">
            <v/>
          </cell>
          <cell r="AB1270" t="str">
            <v>PA_2335284-ED.7005-4</v>
          </cell>
          <cell r="AC1270">
            <v>1</v>
          </cell>
          <cell r="AD1270" t="str">
            <v/>
          </cell>
          <cell r="AE1270">
            <v>0</v>
          </cell>
          <cell r="AF1270" t="str">
            <v/>
          </cell>
          <cell r="AG1270" t="str">
            <v>12516462</v>
          </cell>
          <cell r="AH1270">
            <v>44951.952766203707</v>
          </cell>
          <cell r="AI1270" t="str">
            <v>N52</v>
          </cell>
          <cell r="AJ1270" t="str">
            <v>F</v>
          </cell>
          <cell r="AK1270" t="str">
            <v/>
          </cell>
        </row>
        <row r="1271">
          <cell r="A1271" t="str">
            <v>12516462829560</v>
          </cell>
          <cell r="B1271" t="str">
            <v>Übergabe Task Force</v>
          </cell>
          <cell r="C1271" t="e">
            <v>#N/A</v>
          </cell>
          <cell r="D1271" t="str">
            <v>EK65</v>
          </cell>
          <cell r="E1271" t="str">
            <v>703501</v>
          </cell>
          <cell r="F1271" t="str">
            <v>E</v>
          </cell>
          <cell r="G1271" t="str">
            <v>12516462</v>
          </cell>
          <cell r="H1271" t="str">
            <v>Beilage</v>
          </cell>
          <cell r="I1271">
            <v>16</v>
          </cell>
          <cell r="J1271" t="str">
            <v>Stk</v>
          </cell>
          <cell r="K1271">
            <v>45028</v>
          </cell>
          <cell r="L1271" t="str">
            <v>829560</v>
          </cell>
          <cell r="M1271" t="str">
            <v/>
          </cell>
          <cell r="N1271" t="str">
            <v/>
          </cell>
          <cell r="O1271" t="str">
            <v/>
          </cell>
          <cell r="P1271" t="str">
            <v/>
          </cell>
          <cell r="Q1271" t="str">
            <v/>
          </cell>
          <cell r="R1271" t="str">
            <v/>
          </cell>
          <cell r="S1271" t="str">
            <v/>
          </cell>
          <cell r="T1271" t="str">
            <v/>
          </cell>
          <cell r="U1271" t="str">
            <v/>
          </cell>
          <cell r="V1271" t="str">
            <v>N52</v>
          </cell>
          <cell r="W1271" t="str">
            <v/>
          </cell>
          <cell r="X1271" t="str">
            <v/>
          </cell>
          <cell r="Y1271" t="str">
            <v/>
          </cell>
          <cell r="Z1271" t="str">
            <v/>
          </cell>
          <cell r="AA1271" t="str">
            <v/>
          </cell>
          <cell r="AB1271" t="str">
            <v>PA_2335284-ED.7005-4</v>
          </cell>
          <cell r="AC1271">
            <v>1</v>
          </cell>
          <cell r="AD1271" t="str">
            <v/>
          </cell>
          <cell r="AE1271">
            <v>0</v>
          </cell>
          <cell r="AF1271" t="str">
            <v/>
          </cell>
          <cell r="AG1271" t="str">
            <v>12516462</v>
          </cell>
          <cell r="AH1271">
            <v>44951.952766203707</v>
          </cell>
          <cell r="AI1271" t="str">
            <v>N52</v>
          </cell>
          <cell r="AJ1271" t="str">
            <v>F</v>
          </cell>
          <cell r="AK1271" t="str">
            <v/>
          </cell>
        </row>
        <row r="1272">
          <cell r="A1272" t="str">
            <v>12516462829510</v>
          </cell>
          <cell r="B1272" t="str">
            <v>Übergabe Task Force</v>
          </cell>
          <cell r="C1272" t="e">
            <v>#N/A</v>
          </cell>
          <cell r="D1272" t="str">
            <v>EK65</v>
          </cell>
          <cell r="E1272" t="str">
            <v>703502</v>
          </cell>
          <cell r="F1272" t="str">
            <v>E</v>
          </cell>
          <cell r="G1272" t="str">
            <v>12516462</v>
          </cell>
          <cell r="H1272" t="str">
            <v>Beilage</v>
          </cell>
          <cell r="I1272">
            <v>95</v>
          </cell>
          <cell r="J1272" t="str">
            <v>Stk</v>
          </cell>
          <cell r="K1272">
            <v>45048</v>
          </cell>
          <cell r="L1272" t="str">
            <v>829510</v>
          </cell>
          <cell r="M1272" t="str">
            <v/>
          </cell>
          <cell r="N1272" t="str">
            <v/>
          </cell>
          <cell r="O1272" t="str">
            <v/>
          </cell>
          <cell r="P1272" t="str">
            <v/>
          </cell>
          <cell r="Q1272" t="str">
            <v/>
          </cell>
          <cell r="R1272" t="str">
            <v/>
          </cell>
          <cell r="S1272" t="str">
            <v/>
          </cell>
          <cell r="T1272" t="str">
            <v/>
          </cell>
          <cell r="U1272" t="str">
            <v/>
          </cell>
          <cell r="V1272" t="str">
            <v>N52</v>
          </cell>
          <cell r="W1272" t="str">
            <v/>
          </cell>
          <cell r="X1272" t="str">
            <v/>
          </cell>
          <cell r="Y1272" t="str">
            <v/>
          </cell>
          <cell r="Z1272" t="str">
            <v/>
          </cell>
          <cell r="AA1272" t="str">
            <v/>
          </cell>
          <cell r="AB1272" t="str">
            <v>PA_2335284-ED.7005-4</v>
          </cell>
          <cell r="AC1272">
            <v>1</v>
          </cell>
          <cell r="AD1272" t="str">
            <v/>
          </cell>
          <cell r="AE1272">
            <v>0</v>
          </cell>
          <cell r="AF1272" t="str">
            <v/>
          </cell>
          <cell r="AG1272" t="str">
            <v>12516462</v>
          </cell>
          <cell r="AH1272">
            <v>44951.952766203707</v>
          </cell>
          <cell r="AI1272" t="str">
            <v>N52</v>
          </cell>
          <cell r="AJ1272" t="str">
            <v>F</v>
          </cell>
          <cell r="AK1272" t="str">
            <v/>
          </cell>
        </row>
        <row r="1273">
          <cell r="A1273" t="str">
            <v>12516462829520</v>
          </cell>
          <cell r="B1273" t="str">
            <v>Übergabe Task Force</v>
          </cell>
          <cell r="C1273" t="e">
            <v>#N/A</v>
          </cell>
          <cell r="D1273" t="str">
            <v>EK65</v>
          </cell>
          <cell r="E1273" t="str">
            <v>703503</v>
          </cell>
          <cell r="F1273" t="str">
            <v>E</v>
          </cell>
          <cell r="G1273" t="str">
            <v>12516462</v>
          </cell>
          <cell r="H1273" t="str">
            <v>Beilage</v>
          </cell>
          <cell r="I1273">
            <v>105</v>
          </cell>
          <cell r="J1273" t="str">
            <v>Stk</v>
          </cell>
          <cell r="K1273">
            <v>45048</v>
          </cell>
          <cell r="L1273" t="str">
            <v>829520</v>
          </cell>
          <cell r="M1273" t="str">
            <v/>
          </cell>
          <cell r="N1273" t="str">
            <v/>
          </cell>
          <cell r="O1273" t="str">
            <v/>
          </cell>
          <cell r="P1273" t="str">
            <v/>
          </cell>
          <cell r="Q1273" t="str">
            <v/>
          </cell>
          <cell r="R1273" t="str">
            <v/>
          </cell>
          <cell r="S1273" t="str">
            <v/>
          </cell>
          <cell r="T1273" t="str">
            <v/>
          </cell>
          <cell r="U1273" t="str">
            <v/>
          </cell>
          <cell r="V1273" t="str">
            <v>N52</v>
          </cell>
          <cell r="W1273" t="str">
            <v/>
          </cell>
          <cell r="X1273" t="str">
            <v/>
          </cell>
          <cell r="Y1273" t="str">
            <v/>
          </cell>
          <cell r="Z1273" t="str">
            <v/>
          </cell>
          <cell r="AA1273" t="str">
            <v/>
          </cell>
          <cell r="AB1273" t="str">
            <v>PA_2335284-ED.7005-4</v>
          </cell>
          <cell r="AC1273">
            <v>1</v>
          </cell>
          <cell r="AD1273" t="str">
            <v/>
          </cell>
          <cell r="AE1273">
            <v>0</v>
          </cell>
          <cell r="AF1273" t="str">
            <v/>
          </cell>
          <cell r="AG1273" t="str">
            <v>12516462</v>
          </cell>
          <cell r="AH1273">
            <v>44951.952766203707</v>
          </cell>
          <cell r="AI1273" t="str">
            <v>N52</v>
          </cell>
          <cell r="AJ1273" t="str">
            <v>F</v>
          </cell>
          <cell r="AK1273" t="str">
            <v/>
          </cell>
        </row>
        <row r="1274">
          <cell r="A1274" t="str">
            <v>12516462829530</v>
          </cell>
          <cell r="B1274" t="str">
            <v>Angefragt 22.03.2023</v>
          </cell>
          <cell r="C1274" t="e">
            <v>#N/A</v>
          </cell>
          <cell r="D1274" t="str">
            <v>EK65</v>
          </cell>
          <cell r="E1274" t="str">
            <v>703504</v>
          </cell>
          <cell r="F1274" t="str">
            <v>E</v>
          </cell>
          <cell r="G1274" t="str">
            <v>12516462</v>
          </cell>
          <cell r="H1274" t="str">
            <v>Beilage</v>
          </cell>
          <cell r="I1274">
            <v>14</v>
          </cell>
          <cell r="J1274" t="str">
            <v>Stk</v>
          </cell>
          <cell r="K1274">
            <v>45061</v>
          </cell>
          <cell r="L1274" t="str">
            <v>829530</v>
          </cell>
          <cell r="M1274" t="str">
            <v/>
          </cell>
          <cell r="N1274" t="str">
            <v/>
          </cell>
          <cell r="O1274" t="str">
            <v/>
          </cell>
          <cell r="P1274" t="str">
            <v/>
          </cell>
          <cell r="Q1274" t="str">
            <v/>
          </cell>
          <cell r="R1274" t="str">
            <v/>
          </cell>
          <cell r="S1274" t="str">
            <v/>
          </cell>
          <cell r="T1274" t="str">
            <v/>
          </cell>
          <cell r="U1274" t="str">
            <v/>
          </cell>
          <cell r="V1274" t="str">
            <v>N52</v>
          </cell>
          <cell r="W1274" t="str">
            <v/>
          </cell>
          <cell r="X1274" t="str">
            <v/>
          </cell>
          <cell r="Y1274" t="str">
            <v/>
          </cell>
          <cell r="Z1274" t="str">
            <v/>
          </cell>
          <cell r="AA1274" t="str">
            <v/>
          </cell>
          <cell r="AB1274" t="str">
            <v>PA_2335284-ED.7005-4</v>
          </cell>
          <cell r="AC1274">
            <v>1</v>
          </cell>
          <cell r="AD1274" t="str">
            <v/>
          </cell>
          <cell r="AE1274">
            <v>0</v>
          </cell>
          <cell r="AF1274" t="str">
            <v/>
          </cell>
          <cell r="AG1274" t="str">
            <v>12516462</v>
          </cell>
          <cell r="AH1274">
            <v>44951.952766203707</v>
          </cell>
          <cell r="AI1274" t="str">
            <v>N52</v>
          </cell>
          <cell r="AJ1274" t="str">
            <v>F</v>
          </cell>
          <cell r="AK1274" t="str">
            <v/>
          </cell>
        </row>
        <row r="1275">
          <cell r="A1275" t="str">
            <v>12516467829560</v>
          </cell>
          <cell r="B1275" t="str">
            <v>Übergabe Task Force</v>
          </cell>
          <cell r="C1275" t="e">
            <v>#N/A</v>
          </cell>
          <cell r="D1275" t="str">
            <v>EK65</v>
          </cell>
          <cell r="E1275" t="str">
            <v>703506</v>
          </cell>
          <cell r="F1275" t="str">
            <v>E</v>
          </cell>
          <cell r="G1275" t="str">
            <v>12516467</v>
          </cell>
          <cell r="H1275" t="str">
            <v>Beilage</v>
          </cell>
          <cell r="I1275">
            <v>8</v>
          </cell>
          <cell r="J1275" t="str">
            <v>Stk</v>
          </cell>
          <cell r="K1275">
            <v>45028</v>
          </cell>
          <cell r="L1275" t="str">
            <v>829560</v>
          </cell>
          <cell r="M1275" t="str">
            <v/>
          </cell>
          <cell r="N1275" t="str">
            <v/>
          </cell>
          <cell r="O1275" t="str">
            <v/>
          </cell>
          <cell r="P1275" t="str">
            <v/>
          </cell>
          <cell r="Q1275" t="str">
            <v/>
          </cell>
          <cell r="R1275" t="str">
            <v/>
          </cell>
          <cell r="S1275" t="str">
            <v/>
          </cell>
          <cell r="T1275" t="str">
            <v/>
          </cell>
          <cell r="U1275" t="str">
            <v/>
          </cell>
          <cell r="V1275" t="str">
            <v>N52</v>
          </cell>
          <cell r="W1275" t="str">
            <v/>
          </cell>
          <cell r="X1275" t="str">
            <v/>
          </cell>
          <cell r="Y1275" t="str">
            <v/>
          </cell>
          <cell r="Z1275" t="str">
            <v/>
          </cell>
          <cell r="AA1275" t="str">
            <v/>
          </cell>
          <cell r="AB1275" t="str">
            <v>PA_4553825-ED.7005-4</v>
          </cell>
          <cell r="AC1275">
            <v>1</v>
          </cell>
          <cell r="AD1275" t="str">
            <v/>
          </cell>
          <cell r="AE1275">
            <v>0</v>
          </cell>
          <cell r="AF1275" t="str">
            <v/>
          </cell>
          <cell r="AG1275" t="str">
            <v>12516467</v>
          </cell>
          <cell r="AH1275">
            <v>44951.952777777777</v>
          </cell>
          <cell r="AI1275" t="str">
            <v>N52</v>
          </cell>
          <cell r="AJ1275" t="str">
            <v>F</v>
          </cell>
          <cell r="AK1275" t="str">
            <v/>
          </cell>
        </row>
        <row r="1276">
          <cell r="A1276" t="str">
            <v>12516467829510</v>
          </cell>
          <cell r="B1276" t="str">
            <v>Übergabe Task Force</v>
          </cell>
          <cell r="C1276" t="e">
            <v>#N/A</v>
          </cell>
          <cell r="D1276" t="str">
            <v>EK65</v>
          </cell>
          <cell r="E1276" t="str">
            <v>703507</v>
          </cell>
          <cell r="F1276" t="str">
            <v>E</v>
          </cell>
          <cell r="G1276" t="str">
            <v>12516467</v>
          </cell>
          <cell r="H1276" t="str">
            <v>Beilage</v>
          </cell>
          <cell r="I1276">
            <v>45</v>
          </cell>
          <cell r="J1276" t="str">
            <v>Stk</v>
          </cell>
          <cell r="K1276">
            <v>45048</v>
          </cell>
          <cell r="L1276" t="str">
            <v>829510</v>
          </cell>
          <cell r="M1276" t="str">
            <v/>
          </cell>
          <cell r="N1276" t="str">
            <v/>
          </cell>
          <cell r="O1276" t="str">
            <v/>
          </cell>
          <cell r="P1276" t="str">
            <v/>
          </cell>
          <cell r="Q1276" t="str">
            <v/>
          </cell>
          <cell r="R1276" t="str">
            <v/>
          </cell>
          <cell r="S1276" t="str">
            <v/>
          </cell>
          <cell r="T1276" t="str">
            <v/>
          </cell>
          <cell r="U1276" t="str">
            <v/>
          </cell>
          <cell r="V1276" t="str">
            <v>N52</v>
          </cell>
          <cell r="W1276" t="str">
            <v/>
          </cell>
          <cell r="X1276" t="str">
            <v/>
          </cell>
          <cell r="Y1276" t="str">
            <v/>
          </cell>
          <cell r="Z1276" t="str">
            <v/>
          </cell>
          <cell r="AA1276" t="str">
            <v/>
          </cell>
          <cell r="AB1276" t="str">
            <v>PA_4553825-ED.7005-4</v>
          </cell>
          <cell r="AC1276">
            <v>1</v>
          </cell>
          <cell r="AD1276" t="str">
            <v/>
          </cell>
          <cell r="AE1276">
            <v>0</v>
          </cell>
          <cell r="AF1276" t="str">
            <v/>
          </cell>
          <cell r="AG1276" t="str">
            <v>12516467</v>
          </cell>
          <cell r="AH1276">
            <v>44951.952777777777</v>
          </cell>
          <cell r="AI1276" t="str">
            <v>N52</v>
          </cell>
          <cell r="AJ1276" t="str">
            <v>F</v>
          </cell>
          <cell r="AK1276" t="str">
            <v/>
          </cell>
        </row>
        <row r="1277">
          <cell r="A1277" t="str">
            <v>12516467829520</v>
          </cell>
          <cell r="B1277" t="str">
            <v>Übergabe Task Force</v>
          </cell>
          <cell r="C1277" t="e">
            <v>#N/A</v>
          </cell>
          <cell r="D1277" t="str">
            <v>EK65</v>
          </cell>
          <cell r="E1277" t="str">
            <v>703508</v>
          </cell>
          <cell r="F1277" t="str">
            <v>E</v>
          </cell>
          <cell r="G1277" t="str">
            <v>12516467</v>
          </cell>
          <cell r="H1277" t="str">
            <v>Beilage</v>
          </cell>
          <cell r="I1277">
            <v>56</v>
          </cell>
          <cell r="J1277" t="str">
            <v>Stk</v>
          </cell>
          <cell r="K1277">
            <v>45048</v>
          </cell>
          <cell r="L1277" t="str">
            <v>829520</v>
          </cell>
          <cell r="M1277" t="str">
            <v/>
          </cell>
          <cell r="N1277" t="str">
            <v/>
          </cell>
          <cell r="O1277" t="str">
            <v/>
          </cell>
          <cell r="P1277" t="str">
            <v/>
          </cell>
          <cell r="Q1277" t="str">
            <v/>
          </cell>
          <cell r="R1277" t="str">
            <v/>
          </cell>
          <cell r="S1277" t="str">
            <v/>
          </cell>
          <cell r="T1277" t="str">
            <v/>
          </cell>
          <cell r="U1277" t="str">
            <v/>
          </cell>
          <cell r="V1277" t="str">
            <v>N52</v>
          </cell>
          <cell r="W1277" t="str">
            <v/>
          </cell>
          <cell r="X1277" t="str">
            <v/>
          </cell>
          <cell r="Y1277" t="str">
            <v/>
          </cell>
          <cell r="Z1277" t="str">
            <v/>
          </cell>
          <cell r="AA1277" t="str">
            <v/>
          </cell>
          <cell r="AB1277" t="str">
            <v>PA_4553825-ED.7005-4</v>
          </cell>
          <cell r="AC1277">
            <v>1</v>
          </cell>
          <cell r="AD1277" t="str">
            <v/>
          </cell>
          <cell r="AE1277">
            <v>0</v>
          </cell>
          <cell r="AF1277" t="str">
            <v/>
          </cell>
          <cell r="AG1277" t="str">
            <v>12516467</v>
          </cell>
          <cell r="AH1277">
            <v>44951.952777777777</v>
          </cell>
          <cell r="AI1277" t="str">
            <v>N52</v>
          </cell>
          <cell r="AJ1277" t="str">
            <v>F</v>
          </cell>
          <cell r="AK1277" t="str">
            <v/>
          </cell>
        </row>
        <row r="1278">
          <cell r="A1278" t="str">
            <v>12516467829530</v>
          </cell>
          <cell r="B1278" t="str">
            <v>Angefragt 22.03.2023</v>
          </cell>
          <cell r="C1278" t="e">
            <v>#N/A</v>
          </cell>
          <cell r="D1278" t="str">
            <v>EK65</v>
          </cell>
          <cell r="E1278" t="str">
            <v>703509</v>
          </cell>
          <cell r="F1278" t="str">
            <v>E</v>
          </cell>
          <cell r="G1278" t="str">
            <v>12516467</v>
          </cell>
          <cell r="H1278" t="str">
            <v>Beilage</v>
          </cell>
          <cell r="I1278">
            <v>7</v>
          </cell>
          <cell r="J1278" t="str">
            <v>Stk</v>
          </cell>
          <cell r="K1278">
            <v>45061</v>
          </cell>
          <cell r="L1278" t="str">
            <v>829530</v>
          </cell>
          <cell r="M1278" t="str">
            <v/>
          </cell>
          <cell r="N1278" t="str">
            <v/>
          </cell>
          <cell r="O1278" t="str">
            <v/>
          </cell>
          <cell r="P1278" t="str">
            <v/>
          </cell>
          <cell r="Q1278" t="str">
            <v/>
          </cell>
          <cell r="R1278" t="str">
            <v/>
          </cell>
          <cell r="S1278" t="str">
            <v/>
          </cell>
          <cell r="T1278" t="str">
            <v/>
          </cell>
          <cell r="U1278" t="str">
            <v/>
          </cell>
          <cell r="V1278" t="str">
            <v>N52</v>
          </cell>
          <cell r="W1278" t="str">
            <v/>
          </cell>
          <cell r="X1278" t="str">
            <v/>
          </cell>
          <cell r="Y1278" t="str">
            <v/>
          </cell>
          <cell r="Z1278" t="str">
            <v/>
          </cell>
          <cell r="AA1278" t="str">
            <v/>
          </cell>
          <cell r="AB1278" t="str">
            <v>PA_4553825-ED.7005-4</v>
          </cell>
          <cell r="AC1278">
            <v>1</v>
          </cell>
          <cell r="AD1278" t="str">
            <v/>
          </cell>
          <cell r="AE1278">
            <v>0</v>
          </cell>
          <cell r="AF1278" t="str">
            <v/>
          </cell>
          <cell r="AG1278" t="str">
            <v>12516467</v>
          </cell>
          <cell r="AH1278">
            <v>44951.952789351853</v>
          </cell>
          <cell r="AI1278" t="str">
            <v>N52</v>
          </cell>
          <cell r="AJ1278" t="str">
            <v>F</v>
          </cell>
          <cell r="AK1278" t="str">
            <v/>
          </cell>
        </row>
        <row r="1279">
          <cell r="A1279" t="str">
            <v>12516472829560</v>
          </cell>
          <cell r="B1279" t="str">
            <v>Übergabe Task Force</v>
          </cell>
          <cell r="C1279" t="e">
            <v>#N/A</v>
          </cell>
          <cell r="D1279" t="str">
            <v>EK65</v>
          </cell>
          <cell r="E1279" t="str">
            <v>703512</v>
          </cell>
          <cell r="F1279" t="str">
            <v>E</v>
          </cell>
          <cell r="G1279" t="str">
            <v>12516472</v>
          </cell>
          <cell r="H1279" t="str">
            <v>Beilage</v>
          </cell>
          <cell r="I1279">
            <v>8</v>
          </cell>
          <cell r="J1279" t="str">
            <v>Stk</v>
          </cell>
          <cell r="K1279">
            <v>45028</v>
          </cell>
          <cell r="L1279" t="str">
            <v>829560</v>
          </cell>
          <cell r="M1279" t="str">
            <v/>
          </cell>
          <cell r="N1279" t="str">
            <v/>
          </cell>
          <cell r="O1279" t="str">
            <v/>
          </cell>
          <cell r="P1279" t="str">
            <v/>
          </cell>
          <cell r="Q1279" t="str">
            <v/>
          </cell>
          <cell r="R1279" t="str">
            <v/>
          </cell>
          <cell r="S1279" t="str">
            <v/>
          </cell>
          <cell r="T1279" t="str">
            <v/>
          </cell>
          <cell r="U1279" t="str">
            <v/>
          </cell>
          <cell r="V1279" t="str">
            <v>N52</v>
          </cell>
          <cell r="W1279" t="str">
            <v/>
          </cell>
          <cell r="X1279" t="str">
            <v/>
          </cell>
          <cell r="Y1279" t="str">
            <v/>
          </cell>
          <cell r="Z1279" t="str">
            <v/>
          </cell>
          <cell r="AA1279" t="str">
            <v/>
          </cell>
          <cell r="AB1279" t="str">
            <v>PA_4553826-ED.7005-4</v>
          </cell>
          <cell r="AC1279">
            <v>1</v>
          </cell>
          <cell r="AD1279" t="str">
            <v/>
          </cell>
          <cell r="AE1279">
            <v>0</v>
          </cell>
          <cell r="AF1279" t="str">
            <v/>
          </cell>
          <cell r="AG1279" t="str">
            <v>12516472</v>
          </cell>
          <cell r="AH1279">
            <v>44951.952800925923</v>
          </cell>
          <cell r="AI1279" t="str">
            <v>N52</v>
          </cell>
          <cell r="AJ1279" t="str">
            <v>F</v>
          </cell>
          <cell r="AK1279" t="str">
            <v/>
          </cell>
        </row>
        <row r="1280">
          <cell r="A1280" t="str">
            <v>12516472829510</v>
          </cell>
          <cell r="B1280" t="str">
            <v>Übergabe Task Force</v>
          </cell>
          <cell r="C1280" t="e">
            <v>#N/A</v>
          </cell>
          <cell r="D1280" t="str">
            <v>EK65</v>
          </cell>
          <cell r="E1280" t="str">
            <v>703513</v>
          </cell>
          <cell r="F1280" t="str">
            <v>E</v>
          </cell>
          <cell r="G1280" t="str">
            <v>12516472</v>
          </cell>
          <cell r="H1280" t="str">
            <v>Beilage</v>
          </cell>
          <cell r="I1280">
            <v>45</v>
          </cell>
          <cell r="J1280" t="str">
            <v>Stk</v>
          </cell>
          <cell r="K1280">
            <v>45048</v>
          </cell>
          <cell r="L1280" t="str">
            <v>829510</v>
          </cell>
          <cell r="M1280" t="str">
            <v/>
          </cell>
          <cell r="N1280" t="str">
            <v/>
          </cell>
          <cell r="O1280" t="str">
            <v/>
          </cell>
          <cell r="P1280" t="str">
            <v/>
          </cell>
          <cell r="Q1280" t="str">
            <v/>
          </cell>
          <cell r="R1280" t="str">
            <v/>
          </cell>
          <cell r="S1280" t="str">
            <v/>
          </cell>
          <cell r="T1280" t="str">
            <v/>
          </cell>
          <cell r="U1280" t="str">
            <v/>
          </cell>
          <cell r="V1280" t="str">
            <v>N52</v>
          </cell>
          <cell r="W1280" t="str">
            <v/>
          </cell>
          <cell r="X1280" t="str">
            <v/>
          </cell>
          <cell r="Y1280" t="str">
            <v/>
          </cell>
          <cell r="Z1280" t="str">
            <v/>
          </cell>
          <cell r="AA1280" t="str">
            <v/>
          </cell>
          <cell r="AB1280" t="str">
            <v>PA_4553826-ED.7005-4</v>
          </cell>
          <cell r="AC1280">
            <v>1</v>
          </cell>
          <cell r="AD1280" t="str">
            <v/>
          </cell>
          <cell r="AE1280">
            <v>0</v>
          </cell>
          <cell r="AF1280" t="str">
            <v/>
          </cell>
          <cell r="AG1280" t="str">
            <v>12516472</v>
          </cell>
          <cell r="AH1280">
            <v>44951.952800925923</v>
          </cell>
          <cell r="AI1280" t="str">
            <v>N52</v>
          </cell>
          <cell r="AJ1280" t="str">
            <v>F</v>
          </cell>
          <cell r="AK1280" t="str">
            <v/>
          </cell>
        </row>
        <row r="1281">
          <cell r="A1281" t="str">
            <v>12516472829520</v>
          </cell>
          <cell r="B1281" t="str">
            <v>Übergabe Task Force</v>
          </cell>
          <cell r="C1281" t="e">
            <v>#N/A</v>
          </cell>
          <cell r="D1281" t="str">
            <v>EK65</v>
          </cell>
          <cell r="E1281" t="str">
            <v>703514</v>
          </cell>
          <cell r="F1281" t="str">
            <v>E</v>
          </cell>
          <cell r="G1281" t="str">
            <v>12516472</v>
          </cell>
          <cell r="H1281" t="str">
            <v>Beilage</v>
          </cell>
          <cell r="I1281">
            <v>56</v>
          </cell>
          <cell r="J1281" t="str">
            <v>Stk</v>
          </cell>
          <cell r="K1281">
            <v>45048</v>
          </cell>
          <cell r="L1281" t="str">
            <v>829520</v>
          </cell>
          <cell r="M1281" t="str">
            <v/>
          </cell>
          <cell r="N1281" t="str">
            <v/>
          </cell>
          <cell r="O1281" t="str">
            <v/>
          </cell>
          <cell r="P1281" t="str">
            <v/>
          </cell>
          <cell r="Q1281" t="str">
            <v/>
          </cell>
          <cell r="R1281" t="str">
            <v/>
          </cell>
          <cell r="S1281" t="str">
            <v/>
          </cell>
          <cell r="T1281" t="str">
            <v/>
          </cell>
          <cell r="U1281" t="str">
            <v/>
          </cell>
          <cell r="V1281" t="str">
            <v>N52</v>
          </cell>
          <cell r="W1281" t="str">
            <v/>
          </cell>
          <cell r="X1281" t="str">
            <v/>
          </cell>
          <cell r="Y1281" t="str">
            <v/>
          </cell>
          <cell r="Z1281" t="str">
            <v/>
          </cell>
          <cell r="AA1281" t="str">
            <v/>
          </cell>
          <cell r="AB1281" t="str">
            <v>PA_4553826-ED.7005-4</v>
          </cell>
          <cell r="AC1281">
            <v>1</v>
          </cell>
          <cell r="AD1281" t="str">
            <v/>
          </cell>
          <cell r="AE1281">
            <v>0</v>
          </cell>
          <cell r="AF1281" t="str">
            <v/>
          </cell>
          <cell r="AG1281" t="str">
            <v>12516472</v>
          </cell>
          <cell r="AH1281">
            <v>44951.952800925923</v>
          </cell>
          <cell r="AI1281" t="str">
            <v>N52</v>
          </cell>
          <cell r="AJ1281" t="str">
            <v>F</v>
          </cell>
          <cell r="AK1281" t="str">
            <v/>
          </cell>
        </row>
        <row r="1282">
          <cell r="A1282" t="str">
            <v>12516472829530</v>
          </cell>
          <cell r="B1282" t="str">
            <v>Angefragt 22.03.2023</v>
          </cell>
          <cell r="C1282" t="e">
            <v>#N/A</v>
          </cell>
          <cell r="D1282" t="str">
            <v>EK65</v>
          </cell>
          <cell r="E1282" t="str">
            <v>703515</v>
          </cell>
          <cell r="F1282" t="str">
            <v>E</v>
          </cell>
          <cell r="G1282" t="str">
            <v>12516472</v>
          </cell>
          <cell r="H1282" t="str">
            <v>Beilage</v>
          </cell>
          <cell r="I1282">
            <v>7</v>
          </cell>
          <cell r="J1282" t="str">
            <v>Stk</v>
          </cell>
          <cell r="K1282">
            <v>45061</v>
          </cell>
          <cell r="L1282" t="str">
            <v>829530</v>
          </cell>
          <cell r="M1282" t="str">
            <v/>
          </cell>
          <cell r="N1282" t="str">
            <v/>
          </cell>
          <cell r="O1282" t="str">
            <v/>
          </cell>
          <cell r="P1282" t="str">
            <v/>
          </cell>
          <cell r="Q1282" t="str">
            <v/>
          </cell>
          <cell r="R1282" t="str">
            <v/>
          </cell>
          <cell r="S1282" t="str">
            <v/>
          </cell>
          <cell r="T1282" t="str">
            <v/>
          </cell>
          <cell r="U1282" t="str">
            <v/>
          </cell>
          <cell r="V1282" t="str">
            <v>N52</v>
          </cell>
          <cell r="W1282" t="str">
            <v/>
          </cell>
          <cell r="X1282" t="str">
            <v/>
          </cell>
          <cell r="Y1282" t="str">
            <v/>
          </cell>
          <cell r="Z1282" t="str">
            <v/>
          </cell>
          <cell r="AA1282" t="str">
            <v/>
          </cell>
          <cell r="AB1282" t="str">
            <v>PA_4553826-ED.7005-4</v>
          </cell>
          <cell r="AC1282">
            <v>1</v>
          </cell>
          <cell r="AD1282" t="str">
            <v/>
          </cell>
          <cell r="AE1282">
            <v>0</v>
          </cell>
          <cell r="AF1282" t="str">
            <v/>
          </cell>
          <cell r="AG1282" t="str">
            <v>12516472</v>
          </cell>
          <cell r="AH1282">
            <v>44951.952800925923</v>
          </cell>
          <cell r="AI1282" t="str">
            <v>N52</v>
          </cell>
          <cell r="AJ1282" t="str">
            <v>F</v>
          </cell>
          <cell r="AK1282" t="str">
            <v/>
          </cell>
        </row>
        <row r="1283">
          <cell r="A1283" t="str">
            <v>12517147829054</v>
          </cell>
          <cell r="B1283" t="str">
            <v>Übergabe Task Force</v>
          </cell>
          <cell r="C1283" t="e">
            <v>#N/A</v>
          </cell>
          <cell r="D1283" t="str">
            <v>EK65</v>
          </cell>
          <cell r="E1283" t="str">
            <v>703518</v>
          </cell>
          <cell r="F1283" t="str">
            <v>E</v>
          </cell>
          <cell r="G1283" t="str">
            <v>12517147</v>
          </cell>
          <cell r="H1283" t="str">
            <v>Standardstrangkuehlkoerper</v>
          </cell>
          <cell r="I1283">
            <v>14</v>
          </cell>
          <cell r="J1283" t="str">
            <v>Stk</v>
          </cell>
          <cell r="K1283">
            <v>45189</v>
          </cell>
          <cell r="L1283" t="str">
            <v>829054</v>
          </cell>
          <cell r="M1283" t="str">
            <v/>
          </cell>
          <cell r="N1283" t="str">
            <v/>
          </cell>
          <cell r="O1283" t="str">
            <v/>
          </cell>
          <cell r="P1283" t="str">
            <v/>
          </cell>
          <cell r="Q1283" t="str">
            <v/>
          </cell>
          <cell r="R1283" t="str">
            <v/>
          </cell>
          <cell r="S1283" t="str">
            <v/>
          </cell>
          <cell r="T1283" t="str">
            <v/>
          </cell>
          <cell r="U1283" t="str">
            <v/>
          </cell>
          <cell r="V1283" t="str">
            <v>E05</v>
          </cell>
          <cell r="W1283" t="str">
            <v/>
          </cell>
          <cell r="X1283" t="str">
            <v/>
          </cell>
          <cell r="Y1283" t="str">
            <v/>
          </cell>
          <cell r="Z1283" t="str">
            <v/>
          </cell>
          <cell r="AA1283" t="str">
            <v/>
          </cell>
          <cell r="AB1283" t="str">
            <v>PA_4252779-UA.7005-1</v>
          </cell>
          <cell r="AC1283">
            <v>1</v>
          </cell>
          <cell r="AD1283" t="str">
            <v/>
          </cell>
          <cell r="AE1283">
            <v>0</v>
          </cell>
          <cell r="AF1283" t="str">
            <v/>
          </cell>
          <cell r="AG1283" t="str">
            <v>12517147</v>
          </cell>
          <cell r="AH1283">
            <v>44951.9528125</v>
          </cell>
          <cell r="AI1283" t="str">
            <v>E05</v>
          </cell>
          <cell r="AJ1283" t="str">
            <v>F</v>
          </cell>
          <cell r="AK1283" t="str">
            <v/>
          </cell>
        </row>
        <row r="1284">
          <cell r="A1284" t="str">
            <v>12517147829052</v>
          </cell>
          <cell r="B1284" t="str">
            <v>Übergabe Task Force</v>
          </cell>
          <cell r="C1284" t="e">
            <v>#N/A</v>
          </cell>
          <cell r="D1284" t="str">
            <v>EK65</v>
          </cell>
          <cell r="E1284" t="str">
            <v>703519</v>
          </cell>
          <cell r="F1284" t="str">
            <v>E</v>
          </cell>
          <cell r="G1284" t="str">
            <v>12517147</v>
          </cell>
          <cell r="H1284" t="str">
            <v>Standardstrangkuehlkoerper</v>
          </cell>
          <cell r="I1284">
            <v>28</v>
          </cell>
          <cell r="J1284" t="str">
            <v>Stk</v>
          </cell>
          <cell r="K1284">
            <v>45681</v>
          </cell>
          <cell r="L1284" t="str">
            <v>829052</v>
          </cell>
          <cell r="M1284" t="str">
            <v/>
          </cell>
          <cell r="N1284" t="str">
            <v/>
          </cell>
          <cell r="O1284" t="str">
            <v/>
          </cell>
          <cell r="P1284" t="str">
            <v/>
          </cell>
          <cell r="Q1284" t="str">
            <v/>
          </cell>
          <cell r="R1284" t="str">
            <v/>
          </cell>
          <cell r="S1284" t="str">
            <v/>
          </cell>
          <cell r="T1284" t="str">
            <v/>
          </cell>
          <cell r="U1284" t="str">
            <v/>
          </cell>
          <cell r="V1284" t="str">
            <v>E05</v>
          </cell>
          <cell r="W1284" t="str">
            <v/>
          </cell>
          <cell r="X1284" t="str">
            <v/>
          </cell>
          <cell r="Y1284" t="str">
            <v/>
          </cell>
          <cell r="Z1284" t="str">
            <v/>
          </cell>
          <cell r="AA1284" t="str">
            <v/>
          </cell>
          <cell r="AB1284" t="str">
            <v>PA_4252779-UA.7005-1</v>
          </cell>
          <cell r="AC1284">
            <v>1</v>
          </cell>
          <cell r="AD1284" t="str">
            <v/>
          </cell>
          <cell r="AE1284">
            <v>0</v>
          </cell>
          <cell r="AF1284" t="str">
            <v/>
          </cell>
          <cell r="AG1284" t="str">
            <v>12517147</v>
          </cell>
          <cell r="AH1284">
            <v>44951.9528125</v>
          </cell>
          <cell r="AI1284" t="str">
            <v>E05</v>
          </cell>
          <cell r="AJ1284" t="str">
            <v>F</v>
          </cell>
          <cell r="AK1284" t="str">
            <v/>
          </cell>
        </row>
        <row r="1285">
          <cell r="A1285" t="str">
            <v>12517147829051</v>
          </cell>
          <cell r="B1285" t="str">
            <v>Übergabe Task Force</v>
          </cell>
          <cell r="C1285" t="e">
            <v>#N/A</v>
          </cell>
          <cell r="D1285" t="str">
            <v>EK65</v>
          </cell>
          <cell r="E1285" t="str">
            <v>703520</v>
          </cell>
          <cell r="F1285" t="str">
            <v>E</v>
          </cell>
          <cell r="G1285" t="str">
            <v>12517147</v>
          </cell>
          <cell r="H1285" t="str">
            <v>Standardstrangkuehlkoerper</v>
          </cell>
          <cell r="I1285">
            <v>88</v>
          </cell>
          <cell r="J1285" t="str">
            <v>Stk</v>
          </cell>
          <cell r="K1285">
            <v>45682</v>
          </cell>
          <cell r="L1285" t="str">
            <v>829051</v>
          </cell>
          <cell r="M1285" t="str">
            <v/>
          </cell>
          <cell r="N1285" t="str">
            <v/>
          </cell>
          <cell r="O1285" t="str">
            <v/>
          </cell>
          <cell r="P1285" t="str">
            <v/>
          </cell>
          <cell r="Q1285" t="str">
            <v/>
          </cell>
          <cell r="R1285" t="str">
            <v/>
          </cell>
          <cell r="S1285" t="str">
            <v/>
          </cell>
          <cell r="T1285" t="str">
            <v/>
          </cell>
          <cell r="U1285" t="str">
            <v/>
          </cell>
          <cell r="V1285" t="str">
            <v>E05</v>
          </cell>
          <cell r="W1285" t="str">
            <v/>
          </cell>
          <cell r="X1285" t="str">
            <v/>
          </cell>
          <cell r="Y1285" t="str">
            <v/>
          </cell>
          <cell r="Z1285" t="str">
            <v/>
          </cell>
          <cell r="AA1285" t="str">
            <v/>
          </cell>
          <cell r="AB1285" t="str">
            <v>PA_4252779-UA.7005-1</v>
          </cell>
          <cell r="AC1285">
            <v>1</v>
          </cell>
          <cell r="AD1285" t="str">
            <v/>
          </cell>
          <cell r="AE1285">
            <v>0</v>
          </cell>
          <cell r="AF1285" t="str">
            <v/>
          </cell>
          <cell r="AG1285" t="str">
            <v>12517147</v>
          </cell>
          <cell r="AH1285">
            <v>44951.9528125</v>
          </cell>
          <cell r="AI1285" t="str">
            <v>E05</v>
          </cell>
          <cell r="AJ1285" t="str">
            <v>F</v>
          </cell>
          <cell r="AK1285" t="str">
            <v/>
          </cell>
        </row>
        <row r="1286">
          <cell r="A1286" t="str">
            <v>12517237829053</v>
          </cell>
          <cell r="B1286" t="str">
            <v>Übergabe Task Force</v>
          </cell>
          <cell r="C1286">
            <v>6</v>
          </cell>
          <cell r="D1286" t="str">
            <v>EK65</v>
          </cell>
          <cell r="E1286" t="str">
            <v>703524</v>
          </cell>
          <cell r="F1286" t="str">
            <v>E</v>
          </cell>
          <cell r="G1286" t="str">
            <v>12517237</v>
          </cell>
          <cell r="H1286" t="str">
            <v>Diodenbruecke</v>
          </cell>
          <cell r="I1286">
            <v>203</v>
          </cell>
          <cell r="J1286" t="str">
            <v>Stk</v>
          </cell>
          <cell r="K1286">
            <v>45139</v>
          </cell>
          <cell r="L1286" t="str">
            <v>829053</v>
          </cell>
          <cell r="M1286" t="str">
            <v/>
          </cell>
          <cell r="N1286" t="str">
            <v/>
          </cell>
          <cell r="O1286" t="str">
            <v/>
          </cell>
          <cell r="P1286" t="str">
            <v/>
          </cell>
          <cell r="Q1286" t="str">
            <v/>
          </cell>
          <cell r="R1286" t="str">
            <v/>
          </cell>
          <cell r="S1286" t="str">
            <v/>
          </cell>
          <cell r="T1286" t="str">
            <v/>
          </cell>
          <cell r="U1286" t="str">
            <v/>
          </cell>
          <cell r="V1286" t="str">
            <v>N52</v>
          </cell>
          <cell r="W1286" t="str">
            <v/>
          </cell>
          <cell r="X1286" t="str">
            <v/>
          </cell>
          <cell r="Y1286" t="str">
            <v/>
          </cell>
          <cell r="Z1286" t="str">
            <v/>
          </cell>
          <cell r="AA1286" t="str">
            <v/>
          </cell>
          <cell r="AB1286" t="str">
            <v>PA_4553483-UA.7005-4</v>
          </cell>
          <cell r="AC1286">
            <v>1</v>
          </cell>
          <cell r="AD1286" t="str">
            <v/>
          </cell>
          <cell r="AE1286">
            <v>0</v>
          </cell>
          <cell r="AF1286" t="str">
            <v/>
          </cell>
          <cell r="AG1286" t="str">
            <v>12517237</v>
          </cell>
          <cell r="AH1286">
            <v>44951.952870370369</v>
          </cell>
          <cell r="AI1286" t="str">
            <v>N52</v>
          </cell>
          <cell r="AJ1286" t="str">
            <v>F</v>
          </cell>
          <cell r="AK1286" t="str">
            <v/>
          </cell>
        </row>
        <row r="1287">
          <cell r="A1287" t="str">
            <v>12517237829054</v>
          </cell>
          <cell r="B1287" t="str">
            <v>Übergabe Task Force</v>
          </cell>
          <cell r="C1287">
            <v>6</v>
          </cell>
          <cell r="D1287" t="str">
            <v>EK65</v>
          </cell>
          <cell r="E1287" t="str">
            <v>703525</v>
          </cell>
          <cell r="F1287" t="str">
            <v>E</v>
          </cell>
          <cell r="G1287" t="str">
            <v>12517237</v>
          </cell>
          <cell r="H1287" t="str">
            <v>Diodenbruecke</v>
          </cell>
          <cell r="I1287">
            <v>34</v>
          </cell>
          <cell r="J1287" t="str">
            <v>Stk</v>
          </cell>
          <cell r="K1287">
            <v>45146</v>
          </cell>
          <cell r="L1287" t="str">
            <v>829054</v>
          </cell>
          <cell r="M1287" t="str">
            <v/>
          </cell>
          <cell r="N1287" t="str">
            <v/>
          </cell>
          <cell r="O1287" t="str">
            <v/>
          </cell>
          <cell r="P1287" t="str">
            <v/>
          </cell>
          <cell r="Q1287" t="str">
            <v/>
          </cell>
          <cell r="R1287" t="str">
            <v/>
          </cell>
          <cell r="S1287" t="str">
            <v/>
          </cell>
          <cell r="T1287" t="str">
            <v/>
          </cell>
          <cell r="U1287" t="str">
            <v/>
          </cell>
          <cell r="V1287" t="str">
            <v>N52</v>
          </cell>
          <cell r="W1287" t="str">
            <v/>
          </cell>
          <cell r="X1287" t="str">
            <v/>
          </cell>
          <cell r="Y1287" t="str">
            <v/>
          </cell>
          <cell r="Z1287" t="str">
            <v/>
          </cell>
          <cell r="AA1287" t="str">
            <v/>
          </cell>
          <cell r="AB1287" t="str">
            <v>PA_4553483-UA.7005-4</v>
          </cell>
          <cell r="AC1287">
            <v>1</v>
          </cell>
          <cell r="AD1287" t="str">
            <v/>
          </cell>
          <cell r="AE1287">
            <v>0</v>
          </cell>
          <cell r="AF1287" t="str">
            <v/>
          </cell>
          <cell r="AG1287" t="str">
            <v>12517237</v>
          </cell>
          <cell r="AH1287">
            <v>44951.952870370369</v>
          </cell>
          <cell r="AI1287" t="str">
            <v>N52</v>
          </cell>
          <cell r="AJ1287" t="str">
            <v>F</v>
          </cell>
          <cell r="AK1287" t="str">
            <v/>
          </cell>
        </row>
        <row r="1288">
          <cell r="A1288" t="str">
            <v>12517286829560</v>
          </cell>
          <cell r="B1288" t="str">
            <v>Übergabe Task Force</v>
          </cell>
          <cell r="C1288" t="e">
            <v>#N/A</v>
          </cell>
          <cell r="D1288" t="str">
            <v>EK65</v>
          </cell>
          <cell r="E1288" t="str">
            <v>703532</v>
          </cell>
          <cell r="F1288" t="str">
            <v>E</v>
          </cell>
          <cell r="G1288" t="str">
            <v>12517286</v>
          </cell>
          <cell r="H1288" t="str">
            <v>Huelse lackiert</v>
          </cell>
          <cell r="I1288">
            <v>8</v>
          </cell>
          <cell r="J1288" t="str">
            <v>Stk</v>
          </cell>
          <cell r="K1288">
            <v>45028</v>
          </cell>
          <cell r="L1288" t="str">
            <v>829560</v>
          </cell>
          <cell r="M1288" t="str">
            <v/>
          </cell>
          <cell r="N1288" t="str">
            <v/>
          </cell>
          <cell r="O1288" t="str">
            <v/>
          </cell>
          <cell r="P1288" t="str">
            <v/>
          </cell>
          <cell r="Q1288" t="str">
            <v/>
          </cell>
          <cell r="R1288" t="str">
            <v/>
          </cell>
          <cell r="S1288" t="str">
            <v/>
          </cell>
          <cell r="T1288" t="str">
            <v/>
          </cell>
          <cell r="U1288" t="str">
            <v/>
          </cell>
          <cell r="V1288" t="str">
            <v>N34</v>
          </cell>
          <cell r="W1288" t="str">
            <v/>
          </cell>
          <cell r="X1288" t="str">
            <v/>
          </cell>
          <cell r="Y1288" t="str">
            <v/>
          </cell>
          <cell r="Z1288" t="str">
            <v/>
          </cell>
          <cell r="AA1288" t="str">
            <v/>
          </cell>
          <cell r="AB1288" t="str">
            <v>PA_2334924-ED.7005-4</v>
          </cell>
          <cell r="AC1288">
            <v>1</v>
          </cell>
          <cell r="AD1288" t="str">
            <v/>
          </cell>
          <cell r="AE1288">
            <v>0</v>
          </cell>
          <cell r="AF1288" t="str">
            <v/>
          </cell>
          <cell r="AG1288" t="str">
            <v>12517286</v>
          </cell>
          <cell r="AH1288">
            <v>44951.952905092592</v>
          </cell>
          <cell r="AI1288" t="str">
            <v>N34</v>
          </cell>
          <cell r="AJ1288" t="str">
            <v>F</v>
          </cell>
          <cell r="AK1288" t="str">
            <v/>
          </cell>
        </row>
        <row r="1289">
          <cell r="A1289" t="str">
            <v>12517373829054</v>
          </cell>
          <cell r="B1289" t="str">
            <v>Übergabe Task Force</v>
          </cell>
          <cell r="C1289">
            <v>8</v>
          </cell>
          <cell r="D1289" t="str">
            <v>EK65</v>
          </cell>
          <cell r="E1289" t="str">
            <v>703535</v>
          </cell>
          <cell r="F1289" t="str">
            <v>E</v>
          </cell>
          <cell r="G1289" t="str">
            <v>12517373</v>
          </cell>
          <cell r="H1289" t="str">
            <v>Sammelschiene vollst.</v>
          </cell>
          <cell r="I1289">
            <v>14</v>
          </cell>
          <cell r="J1289" t="str">
            <v>Stk</v>
          </cell>
          <cell r="K1289">
            <v>45189</v>
          </cell>
          <cell r="L1289" t="str">
            <v>829054</v>
          </cell>
          <cell r="M1289" t="str">
            <v/>
          </cell>
          <cell r="N1289" t="str">
            <v/>
          </cell>
          <cell r="O1289" t="str">
            <v/>
          </cell>
          <cell r="P1289" t="str">
            <v/>
          </cell>
          <cell r="Q1289" t="str">
            <v/>
          </cell>
          <cell r="R1289" t="str">
            <v/>
          </cell>
          <cell r="S1289" t="str">
            <v/>
          </cell>
          <cell r="T1289" t="str">
            <v/>
          </cell>
          <cell r="U1289" t="str">
            <v/>
          </cell>
          <cell r="V1289" t="str">
            <v>N52</v>
          </cell>
          <cell r="W1289" t="str">
            <v/>
          </cell>
          <cell r="X1289" t="str">
            <v/>
          </cell>
          <cell r="Y1289" t="str">
            <v/>
          </cell>
          <cell r="Z1289" t="str">
            <v/>
          </cell>
          <cell r="AA1289" t="str">
            <v/>
          </cell>
          <cell r="AB1289" t="str">
            <v>PA_4308749-UA.7005-2</v>
          </cell>
          <cell r="AC1289">
            <v>1</v>
          </cell>
          <cell r="AD1289" t="str">
            <v/>
          </cell>
          <cell r="AE1289">
            <v>0</v>
          </cell>
          <cell r="AF1289" t="str">
            <v/>
          </cell>
          <cell r="AG1289" t="str">
            <v>12517373</v>
          </cell>
          <cell r="AH1289">
            <v>44951.952916666669</v>
          </cell>
          <cell r="AI1289" t="str">
            <v>N52</v>
          </cell>
          <cell r="AJ1289" t="str">
            <v>F</v>
          </cell>
          <cell r="AK1289" t="str">
            <v/>
          </cell>
        </row>
        <row r="1290">
          <cell r="A1290" t="str">
            <v>12517373829052</v>
          </cell>
          <cell r="B1290" t="str">
            <v>Übergabe Task Force</v>
          </cell>
          <cell r="C1290">
            <v>8</v>
          </cell>
          <cell r="D1290" t="str">
            <v>EK65</v>
          </cell>
          <cell r="E1290" t="str">
            <v>703536</v>
          </cell>
          <cell r="F1290" t="str">
            <v>E</v>
          </cell>
          <cell r="G1290" t="str">
            <v>12517373</v>
          </cell>
          <cell r="H1290" t="str">
            <v>Sammelschiene vollst.</v>
          </cell>
          <cell r="I1290">
            <v>29</v>
          </cell>
          <cell r="J1290" t="str">
            <v>Stk</v>
          </cell>
          <cell r="K1290">
            <v>45681</v>
          </cell>
          <cell r="L1290" t="str">
            <v>829052</v>
          </cell>
          <cell r="M1290" t="str">
            <v/>
          </cell>
          <cell r="N1290" t="str">
            <v/>
          </cell>
          <cell r="O1290" t="str">
            <v/>
          </cell>
          <cell r="P1290" t="str">
            <v/>
          </cell>
          <cell r="Q1290" t="str">
            <v/>
          </cell>
          <cell r="R1290" t="str">
            <v/>
          </cell>
          <cell r="S1290" t="str">
            <v/>
          </cell>
          <cell r="T1290" t="str">
            <v/>
          </cell>
          <cell r="U1290" t="str">
            <v/>
          </cell>
          <cell r="V1290" t="str">
            <v>N52</v>
          </cell>
          <cell r="W1290" t="str">
            <v/>
          </cell>
          <cell r="X1290" t="str">
            <v/>
          </cell>
          <cell r="Y1290" t="str">
            <v/>
          </cell>
          <cell r="Z1290" t="str">
            <v/>
          </cell>
          <cell r="AA1290" t="str">
            <v/>
          </cell>
          <cell r="AB1290" t="str">
            <v>PA_4308749-UA.7005-2</v>
          </cell>
          <cell r="AC1290">
            <v>1</v>
          </cell>
          <cell r="AD1290" t="str">
            <v/>
          </cell>
          <cell r="AE1290">
            <v>0</v>
          </cell>
          <cell r="AF1290" t="str">
            <v/>
          </cell>
          <cell r="AG1290" t="str">
            <v>12517373</v>
          </cell>
          <cell r="AH1290">
            <v>44951.952916666669</v>
          </cell>
          <cell r="AI1290" t="str">
            <v>N52</v>
          </cell>
          <cell r="AJ1290" t="str">
            <v>F</v>
          </cell>
          <cell r="AK1290" t="str">
            <v/>
          </cell>
        </row>
        <row r="1291">
          <cell r="A1291" t="str">
            <v>12517373829051</v>
          </cell>
          <cell r="B1291" t="str">
            <v>Übergabe Task Force</v>
          </cell>
          <cell r="C1291">
            <v>8</v>
          </cell>
          <cell r="D1291" t="str">
            <v>EK65</v>
          </cell>
          <cell r="E1291" t="str">
            <v>703537</v>
          </cell>
          <cell r="F1291" t="str">
            <v>E</v>
          </cell>
          <cell r="G1291" t="str">
            <v>12517373</v>
          </cell>
          <cell r="H1291" t="str">
            <v>Sammelschiene vollst.</v>
          </cell>
          <cell r="I1291">
            <v>89</v>
          </cell>
          <cell r="J1291" t="str">
            <v>Stk</v>
          </cell>
          <cell r="K1291">
            <v>45682</v>
          </cell>
          <cell r="L1291" t="str">
            <v>829051</v>
          </cell>
          <cell r="M1291" t="str">
            <v/>
          </cell>
          <cell r="N1291" t="str">
            <v/>
          </cell>
          <cell r="O1291" t="str">
            <v/>
          </cell>
          <cell r="P1291" t="str">
            <v/>
          </cell>
          <cell r="Q1291" t="str">
            <v/>
          </cell>
          <cell r="R1291" t="str">
            <v/>
          </cell>
          <cell r="S1291" t="str">
            <v/>
          </cell>
          <cell r="T1291" t="str">
            <v/>
          </cell>
          <cell r="U1291" t="str">
            <v/>
          </cell>
          <cell r="V1291" t="str">
            <v>N52</v>
          </cell>
          <cell r="W1291" t="str">
            <v/>
          </cell>
          <cell r="X1291" t="str">
            <v/>
          </cell>
          <cell r="Y1291" t="str">
            <v/>
          </cell>
          <cell r="Z1291" t="str">
            <v/>
          </cell>
          <cell r="AA1291" t="str">
            <v/>
          </cell>
          <cell r="AB1291" t="str">
            <v>PA_4308749-UA.7005-2</v>
          </cell>
          <cell r="AC1291">
            <v>1</v>
          </cell>
          <cell r="AD1291" t="str">
            <v/>
          </cell>
          <cell r="AE1291">
            <v>0</v>
          </cell>
          <cell r="AF1291" t="str">
            <v/>
          </cell>
          <cell r="AG1291" t="str">
            <v>12517373</v>
          </cell>
          <cell r="AH1291">
            <v>44951.952916666669</v>
          </cell>
          <cell r="AI1291" t="str">
            <v>N52</v>
          </cell>
          <cell r="AJ1291" t="str">
            <v>F</v>
          </cell>
          <cell r="AK1291" t="str">
            <v/>
          </cell>
        </row>
        <row r="1292">
          <cell r="A1292" t="str">
            <v>12517434829540</v>
          </cell>
          <cell r="B1292" t="str">
            <v>Übergabe Task Force</v>
          </cell>
          <cell r="C1292" t="e">
            <v>#N/A</v>
          </cell>
          <cell r="D1292" t="str">
            <v>EK65</v>
          </cell>
          <cell r="E1292" t="str">
            <v>703544</v>
          </cell>
          <cell r="F1292" t="str">
            <v>E</v>
          </cell>
          <cell r="G1292" t="str">
            <v>12517434</v>
          </cell>
          <cell r="H1292" t="str">
            <v>Huelse</v>
          </cell>
          <cell r="I1292">
            <v>89</v>
          </cell>
          <cell r="J1292" t="str">
            <v>Stk</v>
          </cell>
          <cell r="K1292">
            <v>44988</v>
          </cell>
          <cell r="L1292" t="str">
            <v>829540</v>
          </cell>
          <cell r="M1292" t="str">
            <v/>
          </cell>
          <cell r="N1292" t="str">
            <v/>
          </cell>
          <cell r="O1292" t="str">
            <v/>
          </cell>
          <cell r="P1292" t="str">
            <v/>
          </cell>
          <cell r="Q1292" t="str">
            <v/>
          </cell>
          <cell r="R1292" t="str">
            <v/>
          </cell>
          <cell r="S1292" t="str">
            <v/>
          </cell>
          <cell r="T1292" t="str">
            <v/>
          </cell>
          <cell r="U1292" t="str">
            <v/>
          </cell>
          <cell r="V1292" t="str">
            <v>N52</v>
          </cell>
          <cell r="W1292" t="str">
            <v/>
          </cell>
          <cell r="X1292" t="str">
            <v/>
          </cell>
          <cell r="Y1292" t="str">
            <v/>
          </cell>
          <cell r="Z1292" t="str">
            <v/>
          </cell>
          <cell r="AA1292" t="str">
            <v/>
          </cell>
          <cell r="AB1292" t="str">
            <v>PA_4560630-ED.7005-4</v>
          </cell>
          <cell r="AC1292">
            <v>1</v>
          </cell>
          <cell r="AD1292" t="str">
            <v/>
          </cell>
          <cell r="AE1292">
            <v>0</v>
          </cell>
          <cell r="AF1292" t="str">
            <v/>
          </cell>
          <cell r="AG1292" t="str">
            <v>12517434</v>
          </cell>
          <cell r="AH1292">
            <v>44951.952986111108</v>
          </cell>
          <cell r="AI1292" t="str">
            <v>N52</v>
          </cell>
          <cell r="AJ1292" t="str">
            <v>F</v>
          </cell>
          <cell r="AK1292" t="str">
            <v/>
          </cell>
        </row>
        <row r="1293">
          <cell r="A1293" t="str">
            <v>12517434829560</v>
          </cell>
          <cell r="B1293" t="str">
            <v>Übergabe Task Force</v>
          </cell>
          <cell r="C1293" t="e">
            <v>#N/A</v>
          </cell>
          <cell r="D1293" t="str">
            <v>EK65</v>
          </cell>
          <cell r="E1293" t="str">
            <v>703545</v>
          </cell>
          <cell r="F1293" t="str">
            <v>E</v>
          </cell>
          <cell r="G1293" t="str">
            <v>12517434</v>
          </cell>
          <cell r="H1293" t="str">
            <v>Huelse</v>
          </cell>
          <cell r="I1293">
            <v>16</v>
          </cell>
          <cell r="J1293" t="str">
            <v>Stk</v>
          </cell>
          <cell r="K1293">
            <v>45028</v>
          </cell>
          <cell r="L1293" t="str">
            <v>829560</v>
          </cell>
          <cell r="M1293" t="str">
            <v/>
          </cell>
          <cell r="N1293" t="str">
            <v/>
          </cell>
          <cell r="O1293" t="str">
            <v/>
          </cell>
          <cell r="P1293" t="str">
            <v/>
          </cell>
          <cell r="Q1293" t="str">
            <v/>
          </cell>
          <cell r="R1293" t="str">
            <v/>
          </cell>
          <cell r="S1293" t="str">
            <v/>
          </cell>
          <cell r="T1293" t="str">
            <v/>
          </cell>
          <cell r="U1293" t="str">
            <v/>
          </cell>
          <cell r="V1293" t="str">
            <v>N52</v>
          </cell>
          <cell r="W1293" t="str">
            <v/>
          </cell>
          <cell r="X1293" t="str">
            <v/>
          </cell>
          <cell r="Y1293" t="str">
            <v/>
          </cell>
          <cell r="Z1293" t="str">
            <v/>
          </cell>
          <cell r="AA1293" t="str">
            <v/>
          </cell>
          <cell r="AB1293" t="str">
            <v>PA_4560630-ED.7005-4</v>
          </cell>
          <cell r="AC1293">
            <v>1</v>
          </cell>
          <cell r="AD1293" t="str">
            <v/>
          </cell>
          <cell r="AE1293">
            <v>0</v>
          </cell>
          <cell r="AF1293" t="str">
            <v/>
          </cell>
          <cell r="AG1293" t="str">
            <v>12517434</v>
          </cell>
          <cell r="AH1293">
            <v>44951.952986111108</v>
          </cell>
          <cell r="AI1293" t="str">
            <v>N52</v>
          </cell>
          <cell r="AJ1293" t="str">
            <v>F</v>
          </cell>
          <cell r="AK1293" t="str">
            <v/>
          </cell>
        </row>
        <row r="1294">
          <cell r="A1294" t="str">
            <v>12517556829052</v>
          </cell>
          <cell r="B1294" t="str">
            <v>Übergabe Task Force</v>
          </cell>
          <cell r="C1294">
            <v>7</v>
          </cell>
          <cell r="D1294" t="str">
            <v>EK65</v>
          </cell>
          <cell r="E1294" t="str">
            <v>703547</v>
          </cell>
          <cell r="F1294" t="str">
            <v>E</v>
          </cell>
          <cell r="G1294" t="str">
            <v>12517556</v>
          </cell>
          <cell r="H1294" t="str">
            <v>Sammelschiene 3 vollst.</v>
          </cell>
          <cell r="I1294">
            <v>75</v>
          </cell>
          <cell r="J1294" t="str">
            <v>Stk</v>
          </cell>
          <cell r="K1294">
            <v>45681</v>
          </cell>
          <cell r="L1294" t="str">
            <v>829052</v>
          </cell>
          <cell r="M1294" t="str">
            <v/>
          </cell>
          <cell r="N1294" t="str">
            <v/>
          </cell>
          <cell r="O1294" t="str">
            <v/>
          </cell>
          <cell r="P1294" t="str">
            <v/>
          </cell>
          <cell r="Q1294" t="str">
            <v/>
          </cell>
          <cell r="R1294" t="str">
            <v/>
          </cell>
          <cell r="S1294" t="str">
            <v/>
          </cell>
          <cell r="T1294" t="str">
            <v/>
          </cell>
          <cell r="U1294" t="str">
            <v/>
          </cell>
          <cell r="V1294" t="str">
            <v>N52</v>
          </cell>
          <cell r="W1294" t="str">
            <v/>
          </cell>
          <cell r="X1294" t="str">
            <v/>
          </cell>
          <cell r="Y1294" t="str">
            <v/>
          </cell>
          <cell r="Z1294" t="str">
            <v/>
          </cell>
          <cell r="AA1294" t="str">
            <v/>
          </cell>
          <cell r="AB1294" t="str">
            <v>PA_4444625-UA.7005-3</v>
          </cell>
          <cell r="AC1294">
            <v>1</v>
          </cell>
          <cell r="AD1294" t="str">
            <v/>
          </cell>
          <cell r="AE1294">
            <v>0</v>
          </cell>
          <cell r="AF1294" t="str">
            <v/>
          </cell>
          <cell r="AG1294" t="str">
            <v>12517556</v>
          </cell>
          <cell r="AH1294">
            <v>44951.952997685185</v>
          </cell>
          <cell r="AI1294" t="str">
            <v>N52</v>
          </cell>
          <cell r="AJ1294" t="str">
            <v>F</v>
          </cell>
          <cell r="AK1294" t="str">
            <v>A</v>
          </cell>
        </row>
        <row r="1295">
          <cell r="A1295" t="str">
            <v>12517556829051</v>
          </cell>
          <cell r="B1295" t="str">
            <v>Übergabe Task Force</v>
          </cell>
          <cell r="C1295">
            <v>7</v>
          </cell>
          <cell r="D1295" t="str">
            <v>EK65</v>
          </cell>
          <cell r="E1295" t="str">
            <v>703548</v>
          </cell>
          <cell r="F1295" t="str">
            <v>E</v>
          </cell>
          <cell r="G1295" t="str">
            <v>12517556</v>
          </cell>
          <cell r="H1295" t="str">
            <v>Sammelschiene 3 vollst.</v>
          </cell>
          <cell r="I1295">
            <v>173</v>
          </cell>
          <cell r="J1295" t="str">
            <v>Stk</v>
          </cell>
          <cell r="K1295">
            <v>45682</v>
          </cell>
          <cell r="L1295" t="str">
            <v>829051</v>
          </cell>
          <cell r="M1295" t="str">
            <v/>
          </cell>
          <cell r="N1295" t="str">
            <v/>
          </cell>
          <cell r="O1295" t="str">
            <v/>
          </cell>
          <cell r="P1295" t="str">
            <v/>
          </cell>
          <cell r="Q1295" t="str">
            <v/>
          </cell>
          <cell r="R1295" t="str">
            <v/>
          </cell>
          <cell r="S1295" t="str">
            <v/>
          </cell>
          <cell r="T1295" t="str">
            <v/>
          </cell>
          <cell r="U1295" t="str">
            <v/>
          </cell>
          <cell r="V1295" t="str">
            <v>N52</v>
          </cell>
          <cell r="W1295" t="str">
            <v/>
          </cell>
          <cell r="X1295" t="str">
            <v/>
          </cell>
          <cell r="Y1295" t="str">
            <v/>
          </cell>
          <cell r="Z1295" t="str">
            <v/>
          </cell>
          <cell r="AA1295" t="str">
            <v/>
          </cell>
          <cell r="AB1295" t="str">
            <v>PA_4444625-UA.7005-3</v>
          </cell>
          <cell r="AC1295">
            <v>1</v>
          </cell>
          <cell r="AD1295" t="str">
            <v/>
          </cell>
          <cell r="AE1295">
            <v>0</v>
          </cell>
          <cell r="AF1295" t="str">
            <v/>
          </cell>
          <cell r="AG1295" t="str">
            <v>12517556</v>
          </cell>
          <cell r="AH1295">
            <v>44951.952997685185</v>
          </cell>
          <cell r="AI1295" t="str">
            <v>N52</v>
          </cell>
          <cell r="AJ1295" t="str">
            <v>F</v>
          </cell>
          <cell r="AK1295" t="str">
            <v>A</v>
          </cell>
        </row>
        <row r="1296">
          <cell r="A1296" t="str">
            <v>12517579829053</v>
          </cell>
          <cell r="B1296" t="str">
            <v>Übergabe Task Force</v>
          </cell>
          <cell r="C1296">
            <v>6</v>
          </cell>
          <cell r="D1296" t="str">
            <v>EK65</v>
          </cell>
          <cell r="E1296" t="str">
            <v>703549</v>
          </cell>
          <cell r="F1296" t="str">
            <v>E</v>
          </cell>
          <cell r="G1296" t="str">
            <v>12517579</v>
          </cell>
          <cell r="H1296" t="str">
            <v>Sammelschiene 2 vollst.</v>
          </cell>
          <cell r="I1296">
            <v>96</v>
          </cell>
          <cell r="J1296" t="str">
            <v>Stk</v>
          </cell>
          <cell r="K1296">
            <v>45153</v>
          </cell>
          <cell r="L1296" t="str">
            <v>829053</v>
          </cell>
          <cell r="M1296" t="str">
            <v/>
          </cell>
          <cell r="N1296" t="str">
            <v/>
          </cell>
          <cell r="O1296" t="str">
            <v/>
          </cell>
          <cell r="P1296" t="str">
            <v/>
          </cell>
          <cell r="Q1296" t="str">
            <v/>
          </cell>
          <cell r="R1296" t="str">
            <v/>
          </cell>
          <cell r="S1296" t="str">
            <v/>
          </cell>
          <cell r="T1296" t="str">
            <v/>
          </cell>
          <cell r="U1296" t="str">
            <v/>
          </cell>
          <cell r="V1296" t="str">
            <v>N52</v>
          </cell>
          <cell r="W1296" t="str">
            <v/>
          </cell>
          <cell r="X1296" t="str">
            <v/>
          </cell>
          <cell r="Y1296" t="str">
            <v/>
          </cell>
          <cell r="Z1296" t="str">
            <v/>
          </cell>
          <cell r="AA1296" t="str">
            <v/>
          </cell>
          <cell r="AB1296" t="str">
            <v>PA_4553779-UA.7005-3</v>
          </cell>
          <cell r="AC1296">
            <v>1</v>
          </cell>
          <cell r="AD1296" t="str">
            <v/>
          </cell>
          <cell r="AE1296">
            <v>0</v>
          </cell>
          <cell r="AF1296" t="str">
            <v/>
          </cell>
          <cell r="AG1296" t="str">
            <v>12517579</v>
          </cell>
          <cell r="AH1296">
            <v>44951.953020833331</v>
          </cell>
          <cell r="AI1296" t="str">
            <v>N52</v>
          </cell>
          <cell r="AJ1296" t="str">
            <v>F</v>
          </cell>
          <cell r="AK1296" t="str">
            <v/>
          </cell>
        </row>
        <row r="1297">
          <cell r="A1297" t="str">
            <v>12517579829054</v>
          </cell>
          <cell r="B1297" t="str">
            <v>Übergabe Task Force</v>
          </cell>
          <cell r="C1297">
            <v>6</v>
          </cell>
          <cell r="D1297" t="str">
            <v>EK65</v>
          </cell>
          <cell r="E1297" t="str">
            <v>703550</v>
          </cell>
          <cell r="F1297" t="str">
            <v>E</v>
          </cell>
          <cell r="G1297" t="str">
            <v>12517579</v>
          </cell>
          <cell r="H1297" t="str">
            <v>Sammelschiene 2 vollst.</v>
          </cell>
          <cell r="I1297">
            <v>46</v>
          </cell>
          <cell r="J1297" t="str">
            <v>Stk</v>
          </cell>
          <cell r="K1297">
            <v>45167</v>
          </cell>
          <cell r="L1297" t="str">
            <v>829054</v>
          </cell>
          <cell r="M1297" t="str">
            <v/>
          </cell>
          <cell r="N1297" t="str">
            <v/>
          </cell>
          <cell r="O1297" t="str">
            <v/>
          </cell>
          <cell r="P1297" t="str">
            <v/>
          </cell>
          <cell r="Q1297" t="str">
            <v/>
          </cell>
          <cell r="R1297" t="str">
            <v/>
          </cell>
          <cell r="S1297" t="str">
            <v/>
          </cell>
          <cell r="T1297" t="str">
            <v/>
          </cell>
          <cell r="U1297" t="str">
            <v/>
          </cell>
          <cell r="V1297" t="str">
            <v>N52</v>
          </cell>
          <cell r="W1297" t="str">
            <v/>
          </cell>
          <cell r="X1297" t="str">
            <v/>
          </cell>
          <cell r="Y1297" t="str">
            <v/>
          </cell>
          <cell r="Z1297" t="str">
            <v/>
          </cell>
          <cell r="AA1297" t="str">
            <v/>
          </cell>
          <cell r="AB1297" t="str">
            <v>PA_4553779-UA.7005-3</v>
          </cell>
          <cell r="AC1297">
            <v>1</v>
          </cell>
          <cell r="AD1297" t="str">
            <v/>
          </cell>
          <cell r="AE1297">
            <v>0</v>
          </cell>
          <cell r="AF1297" t="str">
            <v/>
          </cell>
          <cell r="AG1297" t="str">
            <v>12517579</v>
          </cell>
          <cell r="AH1297">
            <v>44951.953020833331</v>
          </cell>
          <cell r="AI1297" t="str">
            <v>N52</v>
          </cell>
          <cell r="AJ1297" t="str">
            <v>F</v>
          </cell>
          <cell r="AK1297" t="str">
            <v/>
          </cell>
        </row>
        <row r="1298">
          <cell r="A1298" t="str">
            <v>12517579829052</v>
          </cell>
          <cell r="B1298" t="str">
            <v>Übergabe Task Force</v>
          </cell>
          <cell r="C1298">
            <v>6</v>
          </cell>
          <cell r="D1298" t="str">
            <v>EK65</v>
          </cell>
          <cell r="E1298" t="str">
            <v>703551</v>
          </cell>
          <cell r="F1298" t="str">
            <v>E</v>
          </cell>
          <cell r="G1298" t="str">
            <v>12517579</v>
          </cell>
          <cell r="H1298" t="str">
            <v>Sammelschiene 2 vollst.</v>
          </cell>
          <cell r="I1298">
            <v>14</v>
          </cell>
          <cell r="J1298" t="str">
            <v>Stk</v>
          </cell>
          <cell r="K1298">
            <v>45681</v>
          </cell>
          <cell r="L1298" t="str">
            <v>829052</v>
          </cell>
          <cell r="M1298" t="str">
            <v/>
          </cell>
          <cell r="N1298" t="str">
            <v/>
          </cell>
          <cell r="O1298" t="str">
            <v/>
          </cell>
          <cell r="P1298" t="str">
            <v/>
          </cell>
          <cell r="Q1298" t="str">
            <v/>
          </cell>
          <cell r="R1298" t="str">
            <v/>
          </cell>
          <cell r="S1298" t="str">
            <v/>
          </cell>
          <cell r="T1298" t="str">
            <v/>
          </cell>
          <cell r="U1298" t="str">
            <v/>
          </cell>
          <cell r="V1298" t="str">
            <v>N52</v>
          </cell>
          <cell r="W1298" t="str">
            <v/>
          </cell>
          <cell r="X1298" t="str">
            <v/>
          </cell>
          <cell r="Y1298" t="str">
            <v/>
          </cell>
          <cell r="Z1298" t="str">
            <v/>
          </cell>
          <cell r="AA1298" t="str">
            <v/>
          </cell>
          <cell r="AB1298" t="str">
            <v>PA_4553779-UA.7005-3</v>
          </cell>
          <cell r="AC1298">
            <v>1</v>
          </cell>
          <cell r="AD1298" t="str">
            <v/>
          </cell>
          <cell r="AE1298">
            <v>0</v>
          </cell>
          <cell r="AF1298" t="str">
            <v/>
          </cell>
          <cell r="AG1298" t="str">
            <v>12517579</v>
          </cell>
          <cell r="AH1298">
            <v>44951.953020833331</v>
          </cell>
          <cell r="AI1298" t="str">
            <v>N52</v>
          </cell>
          <cell r="AJ1298" t="str">
            <v>F</v>
          </cell>
          <cell r="AK1298" t="str">
            <v/>
          </cell>
        </row>
        <row r="1299">
          <cell r="A1299" t="str">
            <v>12517668829054</v>
          </cell>
          <cell r="B1299" t="str">
            <v>Übergabe Task Force</v>
          </cell>
          <cell r="C1299">
            <v>26</v>
          </cell>
          <cell r="D1299" t="str">
            <v>EK65</v>
          </cell>
          <cell r="E1299" t="str">
            <v>703552</v>
          </cell>
          <cell r="F1299" t="str">
            <v>E</v>
          </cell>
          <cell r="G1299" t="str">
            <v>12517668</v>
          </cell>
          <cell r="H1299" t="str">
            <v>Wandlerhalter vollst.</v>
          </cell>
          <cell r="I1299">
            <v>7</v>
          </cell>
          <cell r="J1299" t="str">
            <v>Stk</v>
          </cell>
          <cell r="K1299">
            <v>45189</v>
          </cell>
          <cell r="L1299" t="str">
            <v>829054</v>
          </cell>
          <cell r="M1299" t="str">
            <v/>
          </cell>
          <cell r="N1299" t="str">
            <v/>
          </cell>
          <cell r="O1299" t="str">
            <v/>
          </cell>
          <cell r="P1299" t="str">
            <v/>
          </cell>
          <cell r="Q1299" t="str">
            <v/>
          </cell>
          <cell r="R1299" t="str">
            <v/>
          </cell>
          <cell r="S1299" t="str">
            <v/>
          </cell>
          <cell r="T1299" t="str">
            <v/>
          </cell>
          <cell r="U1299" t="str">
            <v/>
          </cell>
          <cell r="V1299" t="str">
            <v>N52</v>
          </cell>
          <cell r="W1299" t="str">
            <v/>
          </cell>
          <cell r="X1299" t="str">
            <v/>
          </cell>
          <cell r="Y1299" t="str">
            <v/>
          </cell>
          <cell r="Z1299" t="str">
            <v/>
          </cell>
          <cell r="AA1299" t="str">
            <v/>
          </cell>
          <cell r="AB1299" t="str">
            <v>PA_4469058-UA.7005-3</v>
          </cell>
          <cell r="AC1299">
            <v>1</v>
          </cell>
          <cell r="AD1299" t="str">
            <v/>
          </cell>
          <cell r="AE1299">
            <v>0</v>
          </cell>
          <cell r="AF1299" t="str">
            <v/>
          </cell>
          <cell r="AG1299" t="str">
            <v>12517668</v>
          </cell>
          <cell r="AH1299">
            <v>44951.953043981484</v>
          </cell>
          <cell r="AI1299" t="str">
            <v>N52</v>
          </cell>
          <cell r="AJ1299" t="str">
            <v>F</v>
          </cell>
          <cell r="AK1299" t="str">
            <v/>
          </cell>
        </row>
        <row r="1300">
          <cell r="A1300" t="str">
            <v>12517668829052</v>
          </cell>
          <cell r="B1300" t="str">
            <v>Übergabe Task Force</v>
          </cell>
          <cell r="C1300">
            <v>26</v>
          </cell>
          <cell r="D1300" t="str">
            <v>EK65</v>
          </cell>
          <cell r="E1300" t="str">
            <v>703553</v>
          </cell>
          <cell r="F1300" t="str">
            <v>E</v>
          </cell>
          <cell r="G1300" t="str">
            <v>12517668</v>
          </cell>
          <cell r="H1300" t="str">
            <v>Wandlerhalter vollst.</v>
          </cell>
          <cell r="I1300">
            <v>15</v>
          </cell>
          <cell r="J1300" t="str">
            <v>Stk</v>
          </cell>
          <cell r="K1300">
            <v>45681</v>
          </cell>
          <cell r="L1300" t="str">
            <v>829052</v>
          </cell>
          <cell r="M1300" t="str">
            <v/>
          </cell>
          <cell r="N1300" t="str">
            <v/>
          </cell>
          <cell r="O1300" t="str">
            <v/>
          </cell>
          <cell r="P1300" t="str">
            <v/>
          </cell>
          <cell r="Q1300" t="str">
            <v/>
          </cell>
          <cell r="R1300" t="str">
            <v/>
          </cell>
          <cell r="S1300" t="str">
            <v/>
          </cell>
          <cell r="T1300" t="str">
            <v/>
          </cell>
          <cell r="U1300" t="str">
            <v/>
          </cell>
          <cell r="V1300" t="str">
            <v>N52</v>
          </cell>
          <cell r="W1300" t="str">
            <v/>
          </cell>
          <cell r="X1300" t="str">
            <v/>
          </cell>
          <cell r="Y1300" t="str">
            <v/>
          </cell>
          <cell r="Z1300" t="str">
            <v/>
          </cell>
          <cell r="AA1300" t="str">
            <v/>
          </cell>
          <cell r="AB1300" t="str">
            <v>PA_4469058-UA.7005-3</v>
          </cell>
          <cell r="AC1300">
            <v>1</v>
          </cell>
          <cell r="AD1300" t="str">
            <v/>
          </cell>
          <cell r="AE1300">
            <v>0</v>
          </cell>
          <cell r="AF1300" t="str">
            <v/>
          </cell>
          <cell r="AG1300" t="str">
            <v>12517668</v>
          </cell>
          <cell r="AH1300">
            <v>44951.953043981484</v>
          </cell>
          <cell r="AI1300" t="str">
            <v>N52</v>
          </cell>
          <cell r="AJ1300" t="str">
            <v>F</v>
          </cell>
          <cell r="AK1300" t="str">
            <v/>
          </cell>
        </row>
        <row r="1301">
          <cell r="A1301" t="str">
            <v>12517668829051</v>
          </cell>
          <cell r="B1301" t="str">
            <v>Übergabe Task Force</v>
          </cell>
          <cell r="C1301">
            <v>26</v>
          </cell>
          <cell r="D1301" t="str">
            <v>EK65</v>
          </cell>
          <cell r="E1301" t="str">
            <v>703554</v>
          </cell>
          <cell r="F1301" t="str">
            <v>E</v>
          </cell>
          <cell r="G1301" t="str">
            <v>12517668</v>
          </cell>
          <cell r="H1301" t="str">
            <v>Wandlerhalter vollst.</v>
          </cell>
          <cell r="I1301">
            <v>47</v>
          </cell>
          <cell r="J1301" t="str">
            <v>Stk</v>
          </cell>
          <cell r="K1301">
            <v>45682</v>
          </cell>
          <cell r="L1301" t="str">
            <v>829051</v>
          </cell>
          <cell r="M1301" t="str">
            <v/>
          </cell>
          <cell r="N1301" t="str">
            <v/>
          </cell>
          <cell r="O1301" t="str">
            <v/>
          </cell>
          <cell r="P1301" t="str">
            <v/>
          </cell>
          <cell r="Q1301" t="str">
            <v/>
          </cell>
          <cell r="R1301" t="str">
            <v/>
          </cell>
          <cell r="S1301" t="str">
            <v/>
          </cell>
          <cell r="T1301" t="str">
            <v/>
          </cell>
          <cell r="U1301" t="str">
            <v/>
          </cell>
          <cell r="V1301" t="str">
            <v>N52</v>
          </cell>
          <cell r="W1301" t="str">
            <v/>
          </cell>
          <cell r="X1301" t="str">
            <v/>
          </cell>
          <cell r="Y1301" t="str">
            <v/>
          </cell>
          <cell r="Z1301" t="str">
            <v/>
          </cell>
          <cell r="AA1301" t="str">
            <v/>
          </cell>
          <cell r="AB1301" t="str">
            <v>PA_4469058-UA.7005-3</v>
          </cell>
          <cell r="AC1301">
            <v>1</v>
          </cell>
          <cell r="AD1301" t="str">
            <v/>
          </cell>
          <cell r="AE1301">
            <v>0</v>
          </cell>
          <cell r="AF1301" t="str">
            <v/>
          </cell>
          <cell r="AG1301" t="str">
            <v>12517668</v>
          </cell>
          <cell r="AH1301">
            <v>44951.953043981484</v>
          </cell>
          <cell r="AI1301" t="str">
            <v>N52</v>
          </cell>
          <cell r="AJ1301" t="str">
            <v>F</v>
          </cell>
          <cell r="AK1301" t="str">
            <v/>
          </cell>
        </row>
        <row r="1302">
          <cell r="A1302" t="str">
            <v>12517784829560</v>
          </cell>
          <cell r="B1302" t="str">
            <v>Übergabe Task Force</v>
          </cell>
          <cell r="C1302" t="e">
            <v>#N/A</v>
          </cell>
          <cell r="D1302" t="str">
            <v>EK65</v>
          </cell>
          <cell r="E1302" t="str">
            <v>703565</v>
          </cell>
          <cell r="F1302" t="str">
            <v>E</v>
          </cell>
          <cell r="G1302" t="str">
            <v>12517784</v>
          </cell>
          <cell r="H1302" t="str">
            <v>Beilage</v>
          </cell>
          <cell r="I1302">
            <v>8</v>
          </cell>
          <cell r="J1302" t="str">
            <v>Stk</v>
          </cell>
          <cell r="K1302">
            <v>45028</v>
          </cell>
          <cell r="L1302" t="str">
            <v>829560</v>
          </cell>
          <cell r="M1302" t="str">
            <v/>
          </cell>
          <cell r="N1302" t="str">
            <v/>
          </cell>
          <cell r="O1302" t="str">
            <v/>
          </cell>
          <cell r="P1302" t="str">
            <v/>
          </cell>
          <cell r="Q1302" t="str">
            <v/>
          </cell>
          <cell r="R1302" t="str">
            <v/>
          </cell>
          <cell r="S1302" t="str">
            <v/>
          </cell>
          <cell r="T1302" t="str">
            <v/>
          </cell>
          <cell r="U1302" t="str">
            <v/>
          </cell>
          <cell r="V1302" t="str">
            <v>N52</v>
          </cell>
          <cell r="W1302" t="str">
            <v/>
          </cell>
          <cell r="X1302" t="str">
            <v/>
          </cell>
          <cell r="Y1302" t="str">
            <v/>
          </cell>
          <cell r="Z1302" t="str">
            <v/>
          </cell>
          <cell r="AA1302" t="str">
            <v/>
          </cell>
          <cell r="AB1302" t="str">
            <v>PA_4561946-ED.7005-4</v>
          </cell>
          <cell r="AC1302">
            <v>1</v>
          </cell>
          <cell r="AD1302" t="str">
            <v/>
          </cell>
          <cell r="AE1302">
            <v>0</v>
          </cell>
          <cell r="AF1302" t="str">
            <v/>
          </cell>
          <cell r="AG1302" t="str">
            <v>12517784</v>
          </cell>
          <cell r="AH1302">
            <v>44951.953113425923</v>
          </cell>
          <cell r="AI1302" t="str">
            <v>N52</v>
          </cell>
          <cell r="AJ1302" t="str">
            <v>F</v>
          </cell>
          <cell r="AK1302" t="str">
            <v/>
          </cell>
        </row>
        <row r="1303">
          <cell r="A1303" t="str">
            <v>12517784829510</v>
          </cell>
          <cell r="B1303" t="str">
            <v>Übergabe Task Force</v>
          </cell>
          <cell r="C1303" t="e">
            <v>#N/A</v>
          </cell>
          <cell r="D1303" t="str">
            <v>EK65</v>
          </cell>
          <cell r="E1303" t="str">
            <v>703566</v>
          </cell>
          <cell r="F1303" t="str">
            <v>E</v>
          </cell>
          <cell r="G1303" t="str">
            <v>12517784</v>
          </cell>
          <cell r="H1303" t="str">
            <v>Beilage</v>
          </cell>
          <cell r="I1303">
            <v>45</v>
          </cell>
          <cell r="J1303" t="str">
            <v>Stk</v>
          </cell>
          <cell r="K1303">
            <v>45048</v>
          </cell>
          <cell r="L1303" t="str">
            <v>829510</v>
          </cell>
          <cell r="M1303" t="str">
            <v/>
          </cell>
          <cell r="N1303" t="str">
            <v/>
          </cell>
          <cell r="O1303" t="str">
            <v/>
          </cell>
          <cell r="P1303" t="str">
            <v/>
          </cell>
          <cell r="Q1303" t="str">
            <v/>
          </cell>
          <cell r="R1303" t="str">
            <v/>
          </cell>
          <cell r="S1303" t="str">
            <v/>
          </cell>
          <cell r="T1303" t="str">
            <v/>
          </cell>
          <cell r="U1303" t="str">
            <v/>
          </cell>
          <cell r="V1303" t="str">
            <v>N52</v>
          </cell>
          <cell r="W1303" t="str">
            <v/>
          </cell>
          <cell r="X1303" t="str">
            <v/>
          </cell>
          <cell r="Y1303" t="str">
            <v/>
          </cell>
          <cell r="Z1303" t="str">
            <v/>
          </cell>
          <cell r="AA1303" t="str">
            <v/>
          </cell>
          <cell r="AB1303" t="str">
            <v>PA_4561946-ED.7005-4</v>
          </cell>
          <cell r="AC1303">
            <v>1</v>
          </cell>
          <cell r="AD1303" t="str">
            <v/>
          </cell>
          <cell r="AE1303">
            <v>0</v>
          </cell>
          <cell r="AF1303" t="str">
            <v/>
          </cell>
          <cell r="AG1303" t="str">
            <v>12517784</v>
          </cell>
          <cell r="AH1303">
            <v>44951.953113425923</v>
          </cell>
          <cell r="AI1303" t="str">
            <v>N52</v>
          </cell>
          <cell r="AJ1303" t="str">
            <v>F</v>
          </cell>
          <cell r="AK1303" t="str">
            <v/>
          </cell>
        </row>
        <row r="1304">
          <cell r="A1304" t="str">
            <v>12517784829520</v>
          </cell>
          <cell r="B1304" t="str">
            <v>Übergabe Task Force</v>
          </cell>
          <cell r="C1304" t="e">
            <v>#N/A</v>
          </cell>
          <cell r="D1304" t="str">
            <v>EK65</v>
          </cell>
          <cell r="E1304" t="str">
            <v>703567</v>
          </cell>
          <cell r="F1304" t="str">
            <v>E</v>
          </cell>
          <cell r="G1304" t="str">
            <v>12517784</v>
          </cell>
          <cell r="H1304" t="str">
            <v>Beilage</v>
          </cell>
          <cell r="I1304">
            <v>56</v>
          </cell>
          <cell r="J1304" t="str">
            <v>Stk</v>
          </cell>
          <cell r="K1304">
            <v>45048</v>
          </cell>
          <cell r="L1304" t="str">
            <v>829520</v>
          </cell>
          <cell r="M1304" t="str">
            <v/>
          </cell>
          <cell r="N1304" t="str">
            <v/>
          </cell>
          <cell r="O1304" t="str">
            <v/>
          </cell>
          <cell r="P1304" t="str">
            <v/>
          </cell>
          <cell r="Q1304" t="str">
            <v/>
          </cell>
          <cell r="R1304" t="str">
            <v/>
          </cell>
          <cell r="S1304" t="str">
            <v/>
          </cell>
          <cell r="T1304" t="str">
            <v/>
          </cell>
          <cell r="U1304" t="str">
            <v/>
          </cell>
          <cell r="V1304" t="str">
            <v>N52</v>
          </cell>
          <cell r="W1304" t="str">
            <v/>
          </cell>
          <cell r="X1304" t="str">
            <v/>
          </cell>
          <cell r="Y1304" t="str">
            <v/>
          </cell>
          <cell r="Z1304" t="str">
            <v/>
          </cell>
          <cell r="AA1304" t="str">
            <v/>
          </cell>
          <cell r="AB1304" t="str">
            <v>PA_4561946-ED.7005-4</v>
          </cell>
          <cell r="AC1304">
            <v>1</v>
          </cell>
          <cell r="AD1304" t="str">
            <v/>
          </cell>
          <cell r="AE1304">
            <v>0</v>
          </cell>
          <cell r="AF1304" t="str">
            <v/>
          </cell>
          <cell r="AG1304" t="str">
            <v>12517784</v>
          </cell>
          <cell r="AH1304">
            <v>44951.953125</v>
          </cell>
          <cell r="AI1304" t="str">
            <v>N52</v>
          </cell>
          <cell r="AJ1304" t="str">
            <v>F</v>
          </cell>
          <cell r="AK1304" t="str">
            <v/>
          </cell>
        </row>
        <row r="1305">
          <cell r="A1305" t="str">
            <v>12517784829530</v>
          </cell>
          <cell r="B1305" t="str">
            <v>Angefragt 22.03.2023</v>
          </cell>
          <cell r="C1305" t="e">
            <v>#N/A</v>
          </cell>
          <cell r="D1305" t="str">
            <v>EK65</v>
          </cell>
          <cell r="E1305" t="str">
            <v>703568</v>
          </cell>
          <cell r="F1305" t="str">
            <v>E</v>
          </cell>
          <cell r="G1305" t="str">
            <v>12517784</v>
          </cell>
          <cell r="H1305" t="str">
            <v>Beilage</v>
          </cell>
          <cell r="I1305">
            <v>7</v>
          </cell>
          <cell r="J1305" t="str">
            <v>Stk</v>
          </cell>
          <cell r="K1305">
            <v>45061</v>
          </cell>
          <cell r="L1305" t="str">
            <v>829530</v>
          </cell>
          <cell r="M1305" t="str">
            <v/>
          </cell>
          <cell r="N1305" t="str">
            <v/>
          </cell>
          <cell r="O1305" t="str">
            <v/>
          </cell>
          <cell r="P1305" t="str">
            <v/>
          </cell>
          <cell r="Q1305" t="str">
            <v/>
          </cell>
          <cell r="R1305" t="str">
            <v/>
          </cell>
          <cell r="S1305" t="str">
            <v/>
          </cell>
          <cell r="T1305" t="str">
            <v/>
          </cell>
          <cell r="U1305" t="str">
            <v/>
          </cell>
          <cell r="V1305" t="str">
            <v>N52</v>
          </cell>
          <cell r="W1305" t="str">
            <v/>
          </cell>
          <cell r="X1305" t="str">
            <v/>
          </cell>
          <cell r="Y1305" t="str">
            <v/>
          </cell>
          <cell r="Z1305" t="str">
            <v/>
          </cell>
          <cell r="AA1305" t="str">
            <v/>
          </cell>
          <cell r="AB1305" t="str">
            <v>PA_4561946-ED.7005-4</v>
          </cell>
          <cell r="AC1305">
            <v>1</v>
          </cell>
          <cell r="AD1305" t="str">
            <v/>
          </cell>
          <cell r="AE1305">
            <v>0</v>
          </cell>
          <cell r="AF1305" t="str">
            <v/>
          </cell>
          <cell r="AG1305" t="str">
            <v>12517784</v>
          </cell>
          <cell r="AH1305">
            <v>44951.953125</v>
          </cell>
          <cell r="AI1305" t="str">
            <v>N52</v>
          </cell>
          <cell r="AJ1305" t="str">
            <v>F</v>
          </cell>
          <cell r="AK1305" t="str">
            <v/>
          </cell>
        </row>
        <row r="1306">
          <cell r="A1306" t="str">
            <v>12517796829540</v>
          </cell>
          <cell r="B1306" t="str">
            <v>Übergabe Task Force</v>
          </cell>
          <cell r="C1306" t="e">
            <v>#N/A</v>
          </cell>
          <cell r="D1306" t="str">
            <v>EK65</v>
          </cell>
          <cell r="E1306" t="str">
            <v>703571</v>
          </cell>
          <cell r="F1306" t="str">
            <v>E</v>
          </cell>
          <cell r="G1306" t="str">
            <v>12517796</v>
          </cell>
          <cell r="H1306" t="str">
            <v>Beilage</v>
          </cell>
          <cell r="I1306">
            <v>87</v>
          </cell>
          <cell r="J1306" t="str">
            <v>Stk</v>
          </cell>
          <cell r="K1306">
            <v>44991</v>
          </cell>
          <cell r="L1306" t="str">
            <v>829540</v>
          </cell>
          <cell r="M1306" t="str">
            <v/>
          </cell>
          <cell r="N1306" t="str">
            <v/>
          </cell>
          <cell r="O1306" t="str">
            <v/>
          </cell>
          <cell r="P1306" t="str">
            <v/>
          </cell>
          <cell r="Q1306" t="str">
            <v/>
          </cell>
          <cell r="R1306" t="str">
            <v/>
          </cell>
          <cell r="S1306" t="str">
            <v/>
          </cell>
          <cell r="T1306" t="str">
            <v/>
          </cell>
          <cell r="U1306" t="str">
            <v/>
          </cell>
          <cell r="V1306" t="str">
            <v>N52</v>
          </cell>
          <cell r="W1306" t="str">
            <v/>
          </cell>
          <cell r="X1306" t="str">
            <v/>
          </cell>
          <cell r="Y1306" t="str">
            <v/>
          </cell>
          <cell r="Z1306" t="str">
            <v/>
          </cell>
          <cell r="AA1306" t="str">
            <v/>
          </cell>
          <cell r="AB1306" t="str">
            <v>PA_4561945-ED.7005-4</v>
          </cell>
          <cell r="AC1306">
            <v>1</v>
          </cell>
          <cell r="AD1306" t="str">
            <v/>
          </cell>
          <cell r="AE1306">
            <v>0</v>
          </cell>
          <cell r="AF1306" t="str">
            <v/>
          </cell>
          <cell r="AG1306" t="str">
            <v>12517796</v>
          </cell>
          <cell r="AH1306">
            <v>44951.953136574077</v>
          </cell>
          <cell r="AI1306" t="str">
            <v>N52</v>
          </cell>
          <cell r="AJ1306" t="str">
            <v>F</v>
          </cell>
          <cell r="AK1306" t="str">
            <v/>
          </cell>
        </row>
        <row r="1307">
          <cell r="A1307" t="str">
            <v>12517796829560</v>
          </cell>
          <cell r="B1307" t="str">
            <v>Übergabe Task Force</v>
          </cell>
          <cell r="C1307" t="e">
            <v>#N/A</v>
          </cell>
          <cell r="D1307" t="str">
            <v>EK65</v>
          </cell>
          <cell r="E1307" t="str">
            <v>703572</v>
          </cell>
          <cell r="F1307" t="str">
            <v>E</v>
          </cell>
          <cell r="G1307" t="str">
            <v>12517796</v>
          </cell>
          <cell r="H1307" t="str">
            <v>Beilage</v>
          </cell>
          <cell r="I1307">
            <v>16</v>
          </cell>
          <cell r="J1307" t="str">
            <v>Stk</v>
          </cell>
          <cell r="K1307">
            <v>45028</v>
          </cell>
          <cell r="L1307" t="str">
            <v>829560</v>
          </cell>
          <cell r="M1307" t="str">
            <v/>
          </cell>
          <cell r="N1307" t="str">
            <v/>
          </cell>
          <cell r="O1307" t="str">
            <v/>
          </cell>
          <cell r="P1307" t="str">
            <v/>
          </cell>
          <cell r="Q1307" t="str">
            <v/>
          </cell>
          <cell r="R1307" t="str">
            <v/>
          </cell>
          <cell r="S1307" t="str">
            <v/>
          </cell>
          <cell r="T1307" t="str">
            <v/>
          </cell>
          <cell r="U1307" t="str">
            <v/>
          </cell>
          <cell r="V1307" t="str">
            <v>N52</v>
          </cell>
          <cell r="W1307" t="str">
            <v/>
          </cell>
          <cell r="X1307" t="str">
            <v/>
          </cell>
          <cell r="Y1307" t="str">
            <v/>
          </cell>
          <cell r="Z1307" t="str">
            <v/>
          </cell>
          <cell r="AA1307" t="str">
            <v/>
          </cell>
          <cell r="AB1307" t="str">
            <v>PA_4561945-ED.7005-4</v>
          </cell>
          <cell r="AC1307">
            <v>1</v>
          </cell>
          <cell r="AD1307" t="str">
            <v/>
          </cell>
          <cell r="AE1307">
            <v>0</v>
          </cell>
          <cell r="AF1307" t="str">
            <v/>
          </cell>
          <cell r="AG1307" t="str">
            <v>12517796</v>
          </cell>
          <cell r="AH1307">
            <v>44951.953136574077</v>
          </cell>
          <cell r="AI1307" t="str">
            <v>N52</v>
          </cell>
          <cell r="AJ1307" t="str">
            <v>F</v>
          </cell>
          <cell r="AK1307" t="str">
            <v/>
          </cell>
        </row>
        <row r="1308">
          <cell r="A1308" t="str">
            <v>12517796829510</v>
          </cell>
          <cell r="B1308" t="str">
            <v>Übergabe Task Force</v>
          </cell>
          <cell r="C1308" t="e">
            <v>#N/A</v>
          </cell>
          <cell r="D1308" t="str">
            <v>EK65</v>
          </cell>
          <cell r="E1308" t="str">
            <v>703573</v>
          </cell>
          <cell r="F1308" t="str">
            <v>E</v>
          </cell>
          <cell r="G1308" t="str">
            <v>12517796</v>
          </cell>
          <cell r="H1308" t="str">
            <v>Beilage</v>
          </cell>
          <cell r="I1308">
            <v>95</v>
          </cell>
          <cell r="J1308" t="str">
            <v>Stk</v>
          </cell>
          <cell r="K1308">
            <v>45048</v>
          </cell>
          <cell r="L1308" t="str">
            <v>829510</v>
          </cell>
          <cell r="M1308" t="str">
            <v/>
          </cell>
          <cell r="N1308" t="str">
            <v/>
          </cell>
          <cell r="O1308" t="str">
            <v/>
          </cell>
          <cell r="P1308" t="str">
            <v/>
          </cell>
          <cell r="Q1308" t="str">
            <v/>
          </cell>
          <cell r="R1308" t="str">
            <v/>
          </cell>
          <cell r="S1308" t="str">
            <v/>
          </cell>
          <cell r="T1308" t="str">
            <v/>
          </cell>
          <cell r="U1308" t="str">
            <v/>
          </cell>
          <cell r="V1308" t="str">
            <v>N52</v>
          </cell>
          <cell r="W1308" t="str">
            <v/>
          </cell>
          <cell r="X1308" t="str">
            <v/>
          </cell>
          <cell r="Y1308" t="str">
            <v/>
          </cell>
          <cell r="Z1308" t="str">
            <v/>
          </cell>
          <cell r="AA1308" t="str">
            <v/>
          </cell>
          <cell r="AB1308" t="str">
            <v>PA_4561945-ED.7005-4</v>
          </cell>
          <cell r="AC1308">
            <v>1</v>
          </cell>
          <cell r="AD1308" t="str">
            <v/>
          </cell>
          <cell r="AE1308">
            <v>0</v>
          </cell>
          <cell r="AF1308" t="str">
            <v/>
          </cell>
          <cell r="AG1308" t="str">
            <v>12517796</v>
          </cell>
          <cell r="AH1308">
            <v>44951.953136574077</v>
          </cell>
          <cell r="AI1308" t="str">
            <v>N52</v>
          </cell>
          <cell r="AJ1308" t="str">
            <v>F</v>
          </cell>
          <cell r="AK1308" t="str">
            <v/>
          </cell>
        </row>
        <row r="1309">
          <cell r="A1309" t="str">
            <v>12517796829520</v>
          </cell>
          <cell r="B1309" t="str">
            <v>Übergabe Task Force</v>
          </cell>
          <cell r="C1309" t="e">
            <v>#N/A</v>
          </cell>
          <cell r="D1309" t="str">
            <v>EK65</v>
          </cell>
          <cell r="E1309" t="str">
            <v>703574</v>
          </cell>
          <cell r="F1309" t="str">
            <v>E</v>
          </cell>
          <cell r="G1309" t="str">
            <v>12517796</v>
          </cell>
          <cell r="H1309" t="str">
            <v>Beilage</v>
          </cell>
          <cell r="I1309">
            <v>105</v>
          </cell>
          <cell r="J1309" t="str">
            <v>Stk</v>
          </cell>
          <cell r="K1309">
            <v>45048</v>
          </cell>
          <cell r="L1309" t="str">
            <v>829520</v>
          </cell>
          <cell r="M1309" t="str">
            <v/>
          </cell>
          <cell r="N1309" t="str">
            <v/>
          </cell>
          <cell r="O1309" t="str">
            <v/>
          </cell>
          <cell r="P1309" t="str">
            <v/>
          </cell>
          <cell r="Q1309" t="str">
            <v/>
          </cell>
          <cell r="R1309" t="str">
            <v/>
          </cell>
          <cell r="S1309" t="str">
            <v/>
          </cell>
          <cell r="T1309" t="str">
            <v/>
          </cell>
          <cell r="U1309" t="str">
            <v/>
          </cell>
          <cell r="V1309" t="str">
            <v>N52</v>
          </cell>
          <cell r="W1309" t="str">
            <v/>
          </cell>
          <cell r="X1309" t="str">
            <v/>
          </cell>
          <cell r="Y1309" t="str">
            <v/>
          </cell>
          <cell r="Z1309" t="str">
            <v/>
          </cell>
          <cell r="AA1309" t="str">
            <v/>
          </cell>
          <cell r="AB1309" t="str">
            <v>PA_4561945-ED.7005-4</v>
          </cell>
          <cell r="AC1309">
            <v>1</v>
          </cell>
          <cell r="AD1309" t="str">
            <v/>
          </cell>
          <cell r="AE1309">
            <v>0</v>
          </cell>
          <cell r="AF1309" t="str">
            <v/>
          </cell>
          <cell r="AG1309" t="str">
            <v>12517796</v>
          </cell>
          <cell r="AH1309">
            <v>44951.953136574077</v>
          </cell>
          <cell r="AI1309" t="str">
            <v>N52</v>
          </cell>
          <cell r="AJ1309" t="str">
            <v>F</v>
          </cell>
          <cell r="AK1309" t="str">
            <v/>
          </cell>
        </row>
        <row r="1310">
          <cell r="A1310" t="str">
            <v>12517796829530</v>
          </cell>
          <cell r="B1310" t="str">
            <v>Angefragt 22.03.2023</v>
          </cell>
          <cell r="C1310" t="e">
            <v>#N/A</v>
          </cell>
          <cell r="D1310" t="str">
            <v>EK65</v>
          </cell>
          <cell r="E1310" t="str">
            <v>703575</v>
          </cell>
          <cell r="F1310" t="str">
            <v>E</v>
          </cell>
          <cell r="G1310" t="str">
            <v>12517796</v>
          </cell>
          <cell r="H1310" t="str">
            <v>Beilage</v>
          </cell>
          <cell r="I1310">
            <v>14</v>
          </cell>
          <cell r="J1310" t="str">
            <v>Stk</v>
          </cell>
          <cell r="K1310">
            <v>45061</v>
          </cell>
          <cell r="L1310" t="str">
            <v>829530</v>
          </cell>
          <cell r="M1310" t="str">
            <v/>
          </cell>
          <cell r="N1310" t="str">
            <v/>
          </cell>
          <cell r="O1310" t="str">
            <v/>
          </cell>
          <cell r="P1310" t="str">
            <v/>
          </cell>
          <cell r="Q1310" t="str">
            <v/>
          </cell>
          <cell r="R1310" t="str">
            <v/>
          </cell>
          <cell r="S1310" t="str">
            <v/>
          </cell>
          <cell r="T1310" t="str">
            <v/>
          </cell>
          <cell r="U1310" t="str">
            <v/>
          </cell>
          <cell r="V1310" t="str">
            <v>N52</v>
          </cell>
          <cell r="W1310" t="str">
            <v/>
          </cell>
          <cell r="X1310" t="str">
            <v/>
          </cell>
          <cell r="Y1310" t="str">
            <v/>
          </cell>
          <cell r="Z1310" t="str">
            <v/>
          </cell>
          <cell r="AA1310" t="str">
            <v/>
          </cell>
          <cell r="AB1310" t="str">
            <v>PA_4561945-ED.7005-4</v>
          </cell>
          <cell r="AC1310">
            <v>1</v>
          </cell>
          <cell r="AD1310" t="str">
            <v/>
          </cell>
          <cell r="AE1310">
            <v>0</v>
          </cell>
          <cell r="AF1310" t="str">
            <v/>
          </cell>
          <cell r="AG1310" t="str">
            <v>12517796</v>
          </cell>
          <cell r="AH1310">
            <v>44951.953136574077</v>
          </cell>
          <cell r="AI1310" t="str">
            <v>N52</v>
          </cell>
          <cell r="AJ1310" t="str">
            <v>F</v>
          </cell>
          <cell r="AK1310" t="str">
            <v/>
          </cell>
        </row>
        <row r="1311">
          <cell r="A1311" t="str">
            <v>12517808829560</v>
          </cell>
          <cell r="B1311" t="str">
            <v>Übergabe Task Force</v>
          </cell>
          <cell r="C1311" t="e">
            <v>#N/A</v>
          </cell>
          <cell r="D1311" t="str">
            <v>EK65</v>
          </cell>
          <cell r="E1311" t="str">
            <v>703577</v>
          </cell>
          <cell r="F1311" t="str">
            <v>E</v>
          </cell>
          <cell r="G1311" t="str">
            <v>12517808</v>
          </cell>
          <cell r="H1311" t="str">
            <v>Beilage</v>
          </cell>
          <cell r="I1311">
            <v>8</v>
          </cell>
          <cell r="J1311" t="str">
            <v>Stk</v>
          </cell>
          <cell r="K1311">
            <v>45028</v>
          </cell>
          <cell r="L1311" t="str">
            <v>829560</v>
          </cell>
          <cell r="M1311" t="str">
            <v/>
          </cell>
          <cell r="N1311" t="str">
            <v/>
          </cell>
          <cell r="O1311" t="str">
            <v/>
          </cell>
          <cell r="P1311" t="str">
            <v/>
          </cell>
          <cell r="Q1311" t="str">
            <v/>
          </cell>
          <cell r="R1311" t="str">
            <v/>
          </cell>
          <cell r="S1311" t="str">
            <v/>
          </cell>
          <cell r="T1311" t="str">
            <v/>
          </cell>
          <cell r="U1311" t="str">
            <v/>
          </cell>
          <cell r="V1311" t="str">
            <v>N52</v>
          </cell>
          <cell r="W1311" t="str">
            <v/>
          </cell>
          <cell r="X1311" t="str">
            <v/>
          </cell>
          <cell r="Y1311" t="str">
            <v/>
          </cell>
          <cell r="Z1311" t="str">
            <v/>
          </cell>
          <cell r="AA1311" t="str">
            <v/>
          </cell>
          <cell r="AB1311" t="str">
            <v>PA_4561938-ED.7005-4</v>
          </cell>
          <cell r="AC1311">
            <v>1</v>
          </cell>
          <cell r="AD1311" t="str">
            <v/>
          </cell>
          <cell r="AE1311">
            <v>0</v>
          </cell>
          <cell r="AF1311" t="str">
            <v/>
          </cell>
          <cell r="AG1311" t="str">
            <v>12517808</v>
          </cell>
          <cell r="AH1311">
            <v>44951.953148148146</v>
          </cell>
          <cell r="AI1311" t="str">
            <v>N52</v>
          </cell>
          <cell r="AJ1311" t="str">
            <v>F</v>
          </cell>
          <cell r="AK1311" t="str">
            <v/>
          </cell>
        </row>
        <row r="1312">
          <cell r="A1312" t="str">
            <v>12517808829510</v>
          </cell>
          <cell r="B1312" t="str">
            <v>Übergabe Task Force</v>
          </cell>
          <cell r="C1312" t="e">
            <v>#N/A</v>
          </cell>
          <cell r="D1312" t="str">
            <v>EK65</v>
          </cell>
          <cell r="E1312" t="str">
            <v>703578</v>
          </cell>
          <cell r="F1312" t="str">
            <v>E</v>
          </cell>
          <cell r="G1312" t="str">
            <v>12517808</v>
          </cell>
          <cell r="H1312" t="str">
            <v>Beilage</v>
          </cell>
          <cell r="I1312">
            <v>45</v>
          </cell>
          <cell r="J1312" t="str">
            <v>Stk</v>
          </cell>
          <cell r="K1312">
            <v>45048</v>
          </cell>
          <cell r="L1312" t="str">
            <v>829510</v>
          </cell>
          <cell r="M1312" t="str">
            <v/>
          </cell>
          <cell r="N1312" t="str">
            <v/>
          </cell>
          <cell r="O1312" t="str">
            <v/>
          </cell>
          <cell r="P1312" t="str">
            <v/>
          </cell>
          <cell r="Q1312" t="str">
            <v/>
          </cell>
          <cell r="R1312" t="str">
            <v/>
          </cell>
          <cell r="S1312" t="str">
            <v/>
          </cell>
          <cell r="T1312" t="str">
            <v/>
          </cell>
          <cell r="U1312" t="str">
            <v/>
          </cell>
          <cell r="V1312" t="str">
            <v>N52</v>
          </cell>
          <cell r="W1312" t="str">
            <v/>
          </cell>
          <cell r="X1312" t="str">
            <v/>
          </cell>
          <cell r="Y1312" t="str">
            <v/>
          </cell>
          <cell r="Z1312" t="str">
            <v/>
          </cell>
          <cell r="AA1312" t="str">
            <v/>
          </cell>
          <cell r="AB1312" t="str">
            <v>PA_4561938-ED.7005-4</v>
          </cell>
          <cell r="AC1312">
            <v>1</v>
          </cell>
          <cell r="AD1312" t="str">
            <v/>
          </cell>
          <cell r="AE1312">
            <v>0</v>
          </cell>
          <cell r="AF1312" t="str">
            <v/>
          </cell>
          <cell r="AG1312" t="str">
            <v>12517808</v>
          </cell>
          <cell r="AH1312">
            <v>44951.953148148146</v>
          </cell>
          <cell r="AI1312" t="str">
            <v>N52</v>
          </cell>
          <cell r="AJ1312" t="str">
            <v>F</v>
          </cell>
          <cell r="AK1312" t="str">
            <v/>
          </cell>
        </row>
        <row r="1313">
          <cell r="A1313" t="str">
            <v>12517808829520</v>
          </cell>
          <cell r="B1313" t="str">
            <v>Übergabe Task Force</v>
          </cell>
          <cell r="C1313" t="e">
            <v>#N/A</v>
          </cell>
          <cell r="D1313" t="str">
            <v>EK65</v>
          </cell>
          <cell r="E1313" t="str">
            <v>703579</v>
          </cell>
          <cell r="F1313" t="str">
            <v>E</v>
          </cell>
          <cell r="G1313" t="str">
            <v>12517808</v>
          </cell>
          <cell r="H1313" t="str">
            <v>Beilage</v>
          </cell>
          <cell r="I1313">
            <v>56</v>
          </cell>
          <cell r="J1313" t="str">
            <v>Stk</v>
          </cell>
          <cell r="K1313">
            <v>45048</v>
          </cell>
          <cell r="L1313" t="str">
            <v>829520</v>
          </cell>
          <cell r="M1313" t="str">
            <v/>
          </cell>
          <cell r="N1313" t="str">
            <v/>
          </cell>
          <cell r="O1313" t="str">
            <v/>
          </cell>
          <cell r="P1313" t="str">
            <v/>
          </cell>
          <cell r="Q1313" t="str">
            <v/>
          </cell>
          <cell r="R1313" t="str">
            <v/>
          </cell>
          <cell r="S1313" t="str">
            <v/>
          </cell>
          <cell r="T1313" t="str">
            <v/>
          </cell>
          <cell r="U1313" t="str">
            <v/>
          </cell>
          <cell r="V1313" t="str">
            <v>N52</v>
          </cell>
          <cell r="W1313" t="str">
            <v/>
          </cell>
          <cell r="X1313" t="str">
            <v/>
          </cell>
          <cell r="Y1313" t="str">
            <v/>
          </cell>
          <cell r="Z1313" t="str">
            <v/>
          </cell>
          <cell r="AA1313" t="str">
            <v/>
          </cell>
          <cell r="AB1313" t="str">
            <v>PA_4561938-ED.7005-4</v>
          </cell>
          <cell r="AC1313">
            <v>1</v>
          </cell>
          <cell r="AD1313" t="str">
            <v/>
          </cell>
          <cell r="AE1313">
            <v>0</v>
          </cell>
          <cell r="AF1313" t="str">
            <v/>
          </cell>
          <cell r="AG1313" t="str">
            <v>12517808</v>
          </cell>
          <cell r="AH1313">
            <v>44951.953148148146</v>
          </cell>
          <cell r="AI1313" t="str">
            <v>N52</v>
          </cell>
          <cell r="AJ1313" t="str">
            <v>F</v>
          </cell>
          <cell r="AK1313" t="str">
            <v/>
          </cell>
        </row>
        <row r="1314">
          <cell r="A1314" t="str">
            <v>12517808829530</v>
          </cell>
          <cell r="B1314" t="str">
            <v>Angefragt 22.03.2023</v>
          </cell>
          <cell r="C1314" t="e">
            <v>#N/A</v>
          </cell>
          <cell r="D1314" t="str">
            <v>EK65</v>
          </cell>
          <cell r="E1314" t="str">
            <v>703580</v>
          </cell>
          <cell r="F1314" t="str">
            <v>E</v>
          </cell>
          <cell r="G1314" t="str">
            <v>12517808</v>
          </cell>
          <cell r="H1314" t="str">
            <v>Beilage</v>
          </cell>
          <cell r="I1314">
            <v>7</v>
          </cell>
          <cell r="J1314" t="str">
            <v>Stk</v>
          </cell>
          <cell r="K1314">
            <v>45061</v>
          </cell>
          <cell r="L1314" t="str">
            <v>829530</v>
          </cell>
          <cell r="M1314" t="str">
            <v/>
          </cell>
          <cell r="N1314" t="str">
            <v/>
          </cell>
          <cell r="O1314" t="str">
            <v/>
          </cell>
          <cell r="P1314" t="str">
            <v/>
          </cell>
          <cell r="Q1314" t="str">
            <v/>
          </cell>
          <cell r="R1314" t="str">
            <v/>
          </cell>
          <cell r="S1314" t="str">
            <v/>
          </cell>
          <cell r="T1314" t="str">
            <v/>
          </cell>
          <cell r="U1314" t="str">
            <v/>
          </cell>
          <cell r="V1314" t="str">
            <v>N52</v>
          </cell>
          <cell r="W1314" t="str">
            <v/>
          </cell>
          <cell r="X1314" t="str">
            <v/>
          </cell>
          <cell r="Y1314" t="str">
            <v/>
          </cell>
          <cell r="Z1314" t="str">
            <v/>
          </cell>
          <cell r="AA1314" t="str">
            <v/>
          </cell>
          <cell r="AB1314" t="str">
            <v>PA_4561938-ED.7005-4</v>
          </cell>
          <cell r="AC1314">
            <v>1</v>
          </cell>
          <cell r="AD1314" t="str">
            <v/>
          </cell>
          <cell r="AE1314">
            <v>0</v>
          </cell>
          <cell r="AF1314" t="str">
            <v/>
          </cell>
          <cell r="AG1314" t="str">
            <v>12517808</v>
          </cell>
          <cell r="AH1314">
            <v>44951.953148148146</v>
          </cell>
          <cell r="AI1314" t="str">
            <v>N52</v>
          </cell>
          <cell r="AJ1314" t="str">
            <v>F</v>
          </cell>
          <cell r="AK1314" t="str">
            <v/>
          </cell>
        </row>
        <row r="1315">
          <cell r="A1315" t="str">
            <v>12518475820541</v>
          </cell>
          <cell r="B1315" t="e">
            <v>#N/A</v>
          </cell>
          <cell r="C1315" t="e">
            <v>#N/A</v>
          </cell>
          <cell r="D1315" t="str">
            <v>EK65</v>
          </cell>
          <cell r="E1315" t="str">
            <v>703597</v>
          </cell>
          <cell r="F1315" t="str">
            <v>E</v>
          </cell>
          <cell r="G1315" t="str">
            <v>12518475</v>
          </cell>
          <cell r="H1315" t="str">
            <v>Griffblech E24 kurz</v>
          </cell>
          <cell r="I1315">
            <v>352</v>
          </cell>
          <cell r="J1315" t="str">
            <v>Stk</v>
          </cell>
          <cell r="K1315">
            <v>45111</v>
          </cell>
          <cell r="L1315" t="str">
            <v>820541</v>
          </cell>
          <cell r="M1315" t="str">
            <v/>
          </cell>
          <cell r="N1315" t="str">
            <v/>
          </cell>
          <cell r="O1315" t="str">
            <v/>
          </cell>
          <cell r="P1315" t="str">
            <v/>
          </cell>
          <cell r="Q1315" t="str">
            <v/>
          </cell>
          <cell r="R1315" t="str">
            <v/>
          </cell>
          <cell r="S1315" t="str">
            <v/>
          </cell>
          <cell r="T1315" t="str">
            <v/>
          </cell>
          <cell r="U1315" t="str">
            <v/>
          </cell>
          <cell r="V1315" t="str">
            <v>E19</v>
          </cell>
          <cell r="W1315" t="str">
            <v/>
          </cell>
          <cell r="X1315" t="str">
            <v/>
          </cell>
          <cell r="Y1315" t="str">
            <v/>
          </cell>
          <cell r="Z1315" t="str">
            <v/>
          </cell>
          <cell r="AA1315" t="str">
            <v/>
          </cell>
          <cell r="AB1315" t="str">
            <v>PA_4565119-UA.7005-1</v>
          </cell>
          <cell r="AC1315">
            <v>1</v>
          </cell>
          <cell r="AD1315" t="str">
            <v/>
          </cell>
          <cell r="AE1315">
            <v>0</v>
          </cell>
          <cell r="AF1315" t="str">
            <v/>
          </cell>
          <cell r="AG1315" t="str">
            <v>12518475</v>
          </cell>
          <cell r="AH1315">
            <v>44951.953750000001</v>
          </cell>
          <cell r="AI1315" t="str">
            <v>E19</v>
          </cell>
          <cell r="AJ1315" t="str">
            <v>F</v>
          </cell>
          <cell r="AK1315" t="str">
            <v/>
          </cell>
        </row>
        <row r="1316">
          <cell r="A1316" t="str">
            <v>12518475829054</v>
          </cell>
          <cell r="B1316" t="str">
            <v>Übergabe Task Force</v>
          </cell>
          <cell r="C1316">
            <v>24</v>
          </cell>
          <cell r="D1316" t="str">
            <v>EK65</v>
          </cell>
          <cell r="E1316" t="str">
            <v>703598</v>
          </cell>
          <cell r="F1316" t="str">
            <v>E</v>
          </cell>
          <cell r="G1316" t="str">
            <v>12518475</v>
          </cell>
          <cell r="H1316" t="str">
            <v>Griffblech E24 kurz</v>
          </cell>
          <cell r="I1316">
            <v>740</v>
          </cell>
          <cell r="J1316" t="str">
            <v>Stk</v>
          </cell>
          <cell r="K1316">
            <v>45129</v>
          </cell>
          <cell r="L1316" t="str">
            <v>829054</v>
          </cell>
          <cell r="M1316" t="str">
            <v/>
          </cell>
          <cell r="N1316" t="str">
            <v/>
          </cell>
          <cell r="O1316" t="str">
            <v/>
          </cell>
          <cell r="P1316" t="str">
            <v/>
          </cell>
          <cell r="Q1316" t="str">
            <v/>
          </cell>
          <cell r="R1316" t="str">
            <v/>
          </cell>
          <cell r="S1316" t="str">
            <v/>
          </cell>
          <cell r="T1316" t="str">
            <v/>
          </cell>
          <cell r="U1316" t="str">
            <v/>
          </cell>
          <cell r="V1316" t="str">
            <v>E19</v>
          </cell>
          <cell r="W1316" t="str">
            <v/>
          </cell>
          <cell r="X1316" t="str">
            <v/>
          </cell>
          <cell r="Y1316" t="str">
            <v/>
          </cell>
          <cell r="Z1316" t="str">
            <v/>
          </cell>
          <cell r="AA1316" t="str">
            <v/>
          </cell>
          <cell r="AB1316" t="str">
            <v>PA_4565119-UA.7005-1</v>
          </cell>
          <cell r="AC1316">
            <v>1</v>
          </cell>
          <cell r="AD1316" t="str">
            <v/>
          </cell>
          <cell r="AE1316">
            <v>0</v>
          </cell>
          <cell r="AF1316" t="str">
            <v/>
          </cell>
          <cell r="AG1316" t="str">
            <v>12518475</v>
          </cell>
          <cell r="AH1316">
            <v>44951.953750000001</v>
          </cell>
          <cell r="AI1316" t="str">
            <v>E19</v>
          </cell>
          <cell r="AJ1316" t="str">
            <v>F</v>
          </cell>
          <cell r="AK1316" t="str">
            <v/>
          </cell>
        </row>
        <row r="1317">
          <cell r="A1317" t="str">
            <v>12518475829051</v>
          </cell>
          <cell r="B1317" t="str">
            <v>Übergabe Task Force</v>
          </cell>
          <cell r="C1317">
            <v>24</v>
          </cell>
          <cell r="D1317" t="str">
            <v>EK65</v>
          </cell>
          <cell r="E1317" t="str">
            <v>703599</v>
          </cell>
          <cell r="F1317" t="str">
            <v>E</v>
          </cell>
          <cell r="G1317" t="str">
            <v>12518475</v>
          </cell>
          <cell r="H1317" t="str">
            <v>Griffblech E24 kurz</v>
          </cell>
          <cell r="I1317">
            <v>3880</v>
          </cell>
          <cell r="J1317" t="str">
            <v>Stk</v>
          </cell>
          <cell r="K1317">
            <v>45226</v>
          </cell>
          <cell r="L1317" t="str">
            <v>829051</v>
          </cell>
          <cell r="M1317" t="str">
            <v/>
          </cell>
          <cell r="N1317" t="str">
            <v/>
          </cell>
          <cell r="O1317" t="str">
            <v/>
          </cell>
          <cell r="P1317" t="str">
            <v/>
          </cell>
          <cell r="Q1317" t="str">
            <v/>
          </cell>
          <cell r="R1317" t="str">
            <v/>
          </cell>
          <cell r="S1317" t="str">
            <v/>
          </cell>
          <cell r="T1317" t="str">
            <v/>
          </cell>
          <cell r="U1317" t="str">
            <v/>
          </cell>
          <cell r="V1317" t="str">
            <v>E19</v>
          </cell>
          <cell r="W1317" t="str">
            <v/>
          </cell>
          <cell r="X1317" t="str">
            <v/>
          </cell>
          <cell r="Y1317" t="str">
            <v/>
          </cell>
          <cell r="Z1317" t="str">
            <v/>
          </cell>
          <cell r="AA1317" t="str">
            <v/>
          </cell>
          <cell r="AB1317" t="str">
            <v>PA_4565119-UA.7005-1</v>
          </cell>
          <cell r="AC1317">
            <v>1</v>
          </cell>
          <cell r="AD1317" t="str">
            <v/>
          </cell>
          <cell r="AE1317">
            <v>0</v>
          </cell>
          <cell r="AF1317" t="str">
            <v/>
          </cell>
          <cell r="AG1317" t="str">
            <v>12518475</v>
          </cell>
          <cell r="AH1317">
            <v>44951.953750000001</v>
          </cell>
          <cell r="AI1317" t="str">
            <v>E19</v>
          </cell>
          <cell r="AJ1317" t="str">
            <v>F</v>
          </cell>
          <cell r="AK1317" t="str">
            <v/>
          </cell>
        </row>
        <row r="1318">
          <cell r="A1318" t="str">
            <v>12519512829051</v>
          </cell>
          <cell r="B1318" t="str">
            <v>Übergabe Task Force</v>
          </cell>
          <cell r="C1318">
            <v>12</v>
          </cell>
          <cell r="D1318" t="str">
            <v>EK65</v>
          </cell>
          <cell r="E1318" t="str">
            <v>703600</v>
          </cell>
          <cell r="F1318" t="str">
            <v>E</v>
          </cell>
          <cell r="G1318" t="str">
            <v>12519512</v>
          </cell>
          <cell r="H1318" t="str">
            <v>Luefterhalter</v>
          </cell>
          <cell r="I1318">
            <v>91</v>
          </cell>
          <cell r="J1318" t="str">
            <v>Stk</v>
          </cell>
          <cell r="K1318">
            <v>45682</v>
          </cell>
          <cell r="L1318" t="str">
            <v>829051</v>
          </cell>
          <cell r="M1318" t="str">
            <v/>
          </cell>
          <cell r="N1318" t="str">
            <v/>
          </cell>
          <cell r="O1318" t="str">
            <v/>
          </cell>
          <cell r="P1318" t="str">
            <v/>
          </cell>
          <cell r="Q1318" t="str">
            <v/>
          </cell>
          <cell r="R1318" t="str">
            <v/>
          </cell>
          <cell r="S1318" t="str">
            <v/>
          </cell>
          <cell r="T1318" t="str">
            <v/>
          </cell>
          <cell r="U1318" t="str">
            <v/>
          </cell>
          <cell r="V1318" t="str">
            <v>N52</v>
          </cell>
          <cell r="W1318" t="str">
            <v/>
          </cell>
          <cell r="X1318" t="str">
            <v/>
          </cell>
          <cell r="Y1318" t="str">
            <v/>
          </cell>
          <cell r="Z1318" t="str">
            <v/>
          </cell>
          <cell r="AA1318" t="str">
            <v/>
          </cell>
          <cell r="AB1318" t="str">
            <v>PA_4448225-TA.7005-3</v>
          </cell>
          <cell r="AC1318">
            <v>1</v>
          </cell>
          <cell r="AD1318" t="str">
            <v/>
          </cell>
          <cell r="AE1318">
            <v>0</v>
          </cell>
          <cell r="AF1318" t="str">
            <v/>
          </cell>
          <cell r="AG1318" t="str">
            <v>12519512</v>
          </cell>
          <cell r="AH1318">
            <v>44951.953969907408</v>
          </cell>
          <cell r="AI1318" t="str">
            <v>N52</v>
          </cell>
          <cell r="AJ1318" t="str">
            <v>F</v>
          </cell>
          <cell r="AK1318" t="str">
            <v/>
          </cell>
        </row>
        <row r="1319">
          <cell r="A1319" t="str">
            <v>12519712829520</v>
          </cell>
          <cell r="B1319" t="str">
            <v>Übergabe Task Force</v>
          </cell>
          <cell r="C1319" t="e">
            <v>#N/A</v>
          </cell>
          <cell r="D1319" t="str">
            <v>EK65</v>
          </cell>
          <cell r="E1319" t="str">
            <v>703608</v>
          </cell>
          <cell r="F1319" t="str">
            <v>E</v>
          </cell>
          <cell r="G1319" t="str">
            <v>12519712</v>
          </cell>
          <cell r="H1319" t="str">
            <v>Schirmblech E24Mod</v>
          </cell>
          <cell r="I1319">
            <v>26</v>
          </cell>
          <cell r="J1319" t="str">
            <v>Stk</v>
          </cell>
          <cell r="K1319">
            <v>45027</v>
          </cell>
          <cell r="L1319" t="str">
            <v>829520</v>
          </cell>
          <cell r="M1319" t="str">
            <v/>
          </cell>
          <cell r="N1319" t="str">
            <v/>
          </cell>
          <cell r="O1319" t="str">
            <v/>
          </cell>
          <cell r="P1319" t="str">
            <v/>
          </cell>
          <cell r="Q1319" t="str">
            <v/>
          </cell>
          <cell r="R1319" t="str">
            <v/>
          </cell>
          <cell r="S1319" t="str">
            <v/>
          </cell>
          <cell r="T1319" t="str">
            <v/>
          </cell>
          <cell r="U1319" t="str">
            <v/>
          </cell>
          <cell r="V1319" t="str">
            <v>N52</v>
          </cell>
          <cell r="W1319" t="str">
            <v/>
          </cell>
          <cell r="X1319" t="str">
            <v/>
          </cell>
          <cell r="Y1319" t="str">
            <v/>
          </cell>
          <cell r="Z1319" t="str">
            <v/>
          </cell>
          <cell r="AA1319" t="str">
            <v/>
          </cell>
          <cell r="AB1319" t="str">
            <v>PA_4568857-UA.7005-2</v>
          </cell>
          <cell r="AC1319">
            <v>1</v>
          </cell>
          <cell r="AD1319" t="str">
            <v/>
          </cell>
          <cell r="AE1319">
            <v>0</v>
          </cell>
          <cell r="AF1319" t="str">
            <v/>
          </cell>
          <cell r="AG1319" t="str">
            <v>12519712</v>
          </cell>
          <cell r="AH1319">
            <v>44951.954085648147</v>
          </cell>
          <cell r="AI1319" t="str">
            <v>N52</v>
          </cell>
          <cell r="AJ1319" t="str">
            <v>F</v>
          </cell>
          <cell r="AK1319" t="str">
            <v/>
          </cell>
        </row>
        <row r="1320">
          <cell r="A1320" t="str">
            <v>12519712829530</v>
          </cell>
          <cell r="B1320" t="str">
            <v>Übergabe Task Force</v>
          </cell>
          <cell r="C1320" t="e">
            <v>#N/A</v>
          </cell>
          <cell r="D1320" t="str">
            <v>EK65</v>
          </cell>
          <cell r="E1320" t="str">
            <v>703609</v>
          </cell>
          <cell r="F1320" t="str">
            <v>E</v>
          </cell>
          <cell r="G1320" t="str">
            <v>12519712</v>
          </cell>
          <cell r="H1320" t="str">
            <v>Schirmblech E24Mod</v>
          </cell>
          <cell r="I1320">
            <v>2</v>
          </cell>
          <cell r="J1320" t="str">
            <v>Stk</v>
          </cell>
          <cell r="K1320">
            <v>45040</v>
          </cell>
          <cell r="L1320" t="str">
            <v>829530</v>
          </cell>
          <cell r="M1320" t="str">
            <v/>
          </cell>
          <cell r="N1320" t="str">
            <v/>
          </cell>
          <cell r="O1320" t="str">
            <v/>
          </cell>
          <cell r="P1320" t="str">
            <v/>
          </cell>
          <cell r="Q1320" t="str">
            <v/>
          </cell>
          <cell r="R1320" t="str">
            <v/>
          </cell>
          <cell r="S1320" t="str">
            <v/>
          </cell>
          <cell r="T1320" t="str">
            <v/>
          </cell>
          <cell r="U1320" t="str">
            <v/>
          </cell>
          <cell r="V1320" t="str">
            <v>N52</v>
          </cell>
          <cell r="W1320" t="str">
            <v/>
          </cell>
          <cell r="X1320" t="str">
            <v/>
          </cell>
          <cell r="Y1320" t="str">
            <v/>
          </cell>
          <cell r="Z1320" t="str">
            <v/>
          </cell>
          <cell r="AA1320" t="str">
            <v/>
          </cell>
          <cell r="AB1320" t="str">
            <v>PA_4568857-UA.7005-2</v>
          </cell>
          <cell r="AC1320">
            <v>1</v>
          </cell>
          <cell r="AD1320" t="str">
            <v/>
          </cell>
          <cell r="AE1320">
            <v>0</v>
          </cell>
          <cell r="AF1320" t="str">
            <v/>
          </cell>
          <cell r="AG1320" t="str">
            <v>12519712</v>
          </cell>
          <cell r="AH1320">
            <v>44951.954085648147</v>
          </cell>
          <cell r="AI1320" t="str">
            <v>N52</v>
          </cell>
          <cell r="AJ1320" t="str">
            <v>F</v>
          </cell>
          <cell r="AK1320" t="str">
            <v/>
          </cell>
        </row>
        <row r="1321">
          <cell r="A1321" t="str">
            <v>12519712829052</v>
          </cell>
          <cell r="B1321" t="str">
            <v>Übergabe Task Force</v>
          </cell>
          <cell r="C1321">
            <v>24</v>
          </cell>
          <cell r="D1321" t="str">
            <v>EK65</v>
          </cell>
          <cell r="E1321" t="str">
            <v>703610</v>
          </cell>
          <cell r="F1321" t="str">
            <v>E</v>
          </cell>
          <cell r="G1321" t="str">
            <v>12519712</v>
          </cell>
          <cell r="H1321" t="str">
            <v>Schirmblech E24Mod</v>
          </cell>
          <cell r="I1321">
            <v>695</v>
          </cell>
          <cell r="J1321" t="str">
            <v>Stk</v>
          </cell>
          <cell r="K1321">
            <v>45174</v>
          </cell>
          <cell r="L1321" t="str">
            <v>829052</v>
          </cell>
          <cell r="M1321" t="str">
            <v/>
          </cell>
          <cell r="N1321" t="str">
            <v/>
          </cell>
          <cell r="O1321" t="str">
            <v/>
          </cell>
          <cell r="P1321" t="str">
            <v/>
          </cell>
          <cell r="Q1321" t="str">
            <v/>
          </cell>
          <cell r="R1321" t="str">
            <v/>
          </cell>
          <cell r="S1321" t="str">
            <v/>
          </cell>
          <cell r="T1321" t="str">
            <v/>
          </cell>
          <cell r="U1321" t="str">
            <v/>
          </cell>
          <cell r="V1321" t="str">
            <v>N52</v>
          </cell>
          <cell r="W1321" t="str">
            <v/>
          </cell>
          <cell r="X1321" t="str">
            <v/>
          </cell>
          <cell r="Y1321" t="str">
            <v/>
          </cell>
          <cell r="Z1321" t="str">
            <v/>
          </cell>
          <cell r="AA1321" t="str">
            <v/>
          </cell>
          <cell r="AB1321" t="str">
            <v>PA_4568857-UA.7005-2</v>
          </cell>
          <cell r="AC1321">
            <v>1</v>
          </cell>
          <cell r="AD1321" t="str">
            <v/>
          </cell>
          <cell r="AE1321">
            <v>0</v>
          </cell>
          <cell r="AF1321" t="str">
            <v/>
          </cell>
          <cell r="AG1321" t="str">
            <v>12519712</v>
          </cell>
          <cell r="AH1321">
            <v>44951.954085648147</v>
          </cell>
          <cell r="AI1321" t="str">
            <v>N52</v>
          </cell>
          <cell r="AJ1321" t="str">
            <v>F</v>
          </cell>
          <cell r="AK1321" t="str">
            <v/>
          </cell>
        </row>
        <row r="1322">
          <cell r="A1322" t="str">
            <v>12519712829053</v>
          </cell>
          <cell r="B1322" t="str">
            <v>Übergabe Task Force</v>
          </cell>
          <cell r="C1322">
            <v>24</v>
          </cell>
          <cell r="D1322" t="str">
            <v>EK65</v>
          </cell>
          <cell r="E1322" t="str">
            <v>703611</v>
          </cell>
          <cell r="F1322" t="str">
            <v>E</v>
          </cell>
          <cell r="G1322" t="str">
            <v>12519712</v>
          </cell>
          <cell r="H1322" t="str">
            <v>Schirmblech E24Mod</v>
          </cell>
          <cell r="I1322">
            <v>463</v>
          </cell>
          <cell r="J1322" t="str">
            <v>Stk</v>
          </cell>
          <cell r="K1322">
            <v>45233</v>
          </cell>
          <cell r="L1322" t="str">
            <v>829053</v>
          </cell>
          <cell r="M1322" t="str">
            <v/>
          </cell>
          <cell r="N1322" t="str">
            <v/>
          </cell>
          <cell r="O1322" t="str">
            <v/>
          </cell>
          <cell r="P1322" t="str">
            <v/>
          </cell>
          <cell r="Q1322" t="str">
            <v/>
          </cell>
          <cell r="R1322" t="str">
            <v/>
          </cell>
          <cell r="S1322" t="str">
            <v/>
          </cell>
          <cell r="T1322" t="str">
            <v/>
          </cell>
          <cell r="U1322" t="str">
            <v/>
          </cell>
          <cell r="V1322" t="str">
            <v>N52</v>
          </cell>
          <cell r="W1322" t="str">
            <v/>
          </cell>
          <cell r="X1322" t="str">
            <v/>
          </cell>
          <cell r="Y1322" t="str">
            <v/>
          </cell>
          <cell r="Z1322" t="str">
            <v/>
          </cell>
          <cell r="AA1322" t="str">
            <v/>
          </cell>
          <cell r="AB1322" t="str">
            <v>PA_4568857-UA.7005-2</v>
          </cell>
          <cell r="AC1322">
            <v>1</v>
          </cell>
          <cell r="AD1322" t="str">
            <v/>
          </cell>
          <cell r="AE1322">
            <v>0</v>
          </cell>
          <cell r="AF1322" t="str">
            <v/>
          </cell>
          <cell r="AG1322" t="str">
            <v>12519712</v>
          </cell>
          <cell r="AH1322">
            <v>44951.954085648147</v>
          </cell>
          <cell r="AI1322" t="str">
            <v>N52</v>
          </cell>
          <cell r="AJ1322" t="str">
            <v>F</v>
          </cell>
          <cell r="AK1322" t="str">
            <v/>
          </cell>
        </row>
        <row r="1323">
          <cell r="A1323" t="str">
            <v>12519712829051</v>
          </cell>
          <cell r="B1323" t="str">
            <v>Übergabe Task Force</v>
          </cell>
          <cell r="C1323">
            <v>24</v>
          </cell>
          <cell r="D1323" t="str">
            <v>EK65</v>
          </cell>
          <cell r="E1323" t="str">
            <v>703612</v>
          </cell>
          <cell r="F1323" t="str">
            <v>E</v>
          </cell>
          <cell r="G1323" t="str">
            <v>12519712</v>
          </cell>
          <cell r="H1323" t="str">
            <v>Schirmblech E24Mod</v>
          </cell>
          <cell r="I1323">
            <v>1964</v>
          </cell>
          <cell r="J1323" t="str">
            <v>Stk</v>
          </cell>
          <cell r="K1323">
            <v>45261</v>
          </cell>
          <cell r="L1323" t="str">
            <v>829051</v>
          </cell>
          <cell r="M1323" t="str">
            <v/>
          </cell>
          <cell r="N1323" t="str">
            <v/>
          </cell>
          <cell r="O1323" t="str">
            <v/>
          </cell>
          <cell r="P1323" t="str">
            <v/>
          </cell>
          <cell r="Q1323" t="str">
            <v/>
          </cell>
          <cell r="R1323" t="str">
            <v/>
          </cell>
          <cell r="S1323" t="str">
            <v/>
          </cell>
          <cell r="T1323" t="str">
            <v/>
          </cell>
          <cell r="U1323" t="str">
            <v/>
          </cell>
          <cell r="V1323" t="str">
            <v>N52</v>
          </cell>
          <cell r="W1323" t="str">
            <v/>
          </cell>
          <cell r="X1323" t="str">
            <v/>
          </cell>
          <cell r="Y1323" t="str">
            <v/>
          </cell>
          <cell r="Z1323" t="str">
            <v/>
          </cell>
          <cell r="AA1323" t="str">
            <v/>
          </cell>
          <cell r="AB1323" t="str">
            <v>PA_4568857-UA.7005-2</v>
          </cell>
          <cell r="AC1323">
            <v>1</v>
          </cell>
          <cell r="AD1323" t="str">
            <v/>
          </cell>
          <cell r="AE1323">
            <v>0</v>
          </cell>
          <cell r="AF1323" t="str">
            <v/>
          </cell>
          <cell r="AG1323" t="str">
            <v>12519712</v>
          </cell>
          <cell r="AH1323">
            <v>44951.954085648147</v>
          </cell>
          <cell r="AI1323" t="str">
            <v>N52</v>
          </cell>
          <cell r="AJ1323" t="str">
            <v>F</v>
          </cell>
          <cell r="AK1323" t="str">
            <v/>
          </cell>
        </row>
        <row r="1324">
          <cell r="A1324" t="str">
            <v>12519712829054</v>
          </cell>
          <cell r="B1324" t="e">
            <v>#N/A</v>
          </cell>
          <cell r="C1324">
            <v>24</v>
          </cell>
          <cell r="D1324" t="str">
            <v>EK65</v>
          </cell>
          <cell r="E1324" t="str">
            <v>703613</v>
          </cell>
          <cell r="F1324" t="str">
            <v>E</v>
          </cell>
          <cell r="G1324" t="str">
            <v>12519712</v>
          </cell>
          <cell r="H1324" t="str">
            <v>Schirmblech E24Mod</v>
          </cell>
          <cell r="I1324">
            <v>49</v>
          </cell>
          <cell r="J1324" t="str">
            <v>Stk</v>
          </cell>
          <cell r="K1324">
            <v>45499</v>
          </cell>
          <cell r="L1324" t="str">
            <v>829054</v>
          </cell>
          <cell r="M1324" t="str">
            <v/>
          </cell>
          <cell r="N1324" t="str">
            <v/>
          </cell>
          <cell r="O1324" t="str">
            <v/>
          </cell>
          <cell r="P1324" t="str">
            <v/>
          </cell>
          <cell r="Q1324" t="str">
            <v/>
          </cell>
          <cell r="R1324" t="str">
            <v/>
          </cell>
          <cell r="S1324" t="str">
            <v/>
          </cell>
          <cell r="T1324" t="str">
            <v/>
          </cell>
          <cell r="U1324" t="str">
            <v/>
          </cell>
          <cell r="V1324" t="str">
            <v>N52</v>
          </cell>
          <cell r="W1324" t="str">
            <v/>
          </cell>
          <cell r="X1324" t="str">
            <v/>
          </cell>
          <cell r="Y1324" t="str">
            <v/>
          </cell>
          <cell r="Z1324" t="str">
            <v/>
          </cell>
          <cell r="AA1324" t="str">
            <v/>
          </cell>
          <cell r="AB1324" t="str">
            <v>PA_4568857-UA.7005-2</v>
          </cell>
          <cell r="AC1324">
            <v>1</v>
          </cell>
          <cell r="AD1324" t="str">
            <v/>
          </cell>
          <cell r="AE1324">
            <v>0</v>
          </cell>
          <cell r="AF1324" t="str">
            <v/>
          </cell>
          <cell r="AG1324" t="str">
            <v>12519712</v>
          </cell>
          <cell r="AH1324">
            <v>44951.954085648147</v>
          </cell>
          <cell r="AI1324" t="str">
            <v>N52</v>
          </cell>
          <cell r="AJ1324" t="str">
            <v>F</v>
          </cell>
          <cell r="AK1324" t="str">
            <v/>
          </cell>
        </row>
        <row r="1325">
          <cell r="A1325" t="str">
            <v>12519723829053</v>
          </cell>
          <cell r="B1325" t="str">
            <v>Übergabe Task Force</v>
          </cell>
          <cell r="C1325">
            <v>21</v>
          </cell>
          <cell r="D1325" t="str">
            <v>EK65</v>
          </cell>
          <cell r="E1325" t="str">
            <v>703616</v>
          </cell>
          <cell r="F1325" t="str">
            <v>E</v>
          </cell>
          <cell r="G1325" t="str">
            <v>12519723</v>
          </cell>
          <cell r="H1325" t="str">
            <v>Schirmblech E24Mono</v>
          </cell>
          <cell r="I1325">
            <v>95</v>
          </cell>
          <cell r="J1325" t="str">
            <v>Stk</v>
          </cell>
          <cell r="K1325">
            <v>45197</v>
          </cell>
          <cell r="L1325" t="str">
            <v>829053</v>
          </cell>
          <cell r="M1325" t="str">
            <v/>
          </cell>
          <cell r="N1325" t="str">
            <v/>
          </cell>
          <cell r="O1325" t="str">
            <v/>
          </cell>
          <cell r="P1325" t="str">
            <v/>
          </cell>
          <cell r="Q1325" t="str">
            <v/>
          </cell>
          <cell r="R1325" t="str">
            <v/>
          </cell>
          <cell r="S1325" t="str">
            <v/>
          </cell>
          <cell r="T1325" t="str">
            <v/>
          </cell>
          <cell r="U1325" t="str">
            <v/>
          </cell>
          <cell r="V1325" t="str">
            <v>N52</v>
          </cell>
          <cell r="W1325" t="str">
            <v/>
          </cell>
          <cell r="X1325" t="str">
            <v/>
          </cell>
          <cell r="Y1325" t="str">
            <v/>
          </cell>
          <cell r="Z1325" t="str">
            <v/>
          </cell>
          <cell r="AA1325" t="str">
            <v/>
          </cell>
          <cell r="AB1325" t="str">
            <v>PA_4569117-UA.7005-2</v>
          </cell>
          <cell r="AC1325">
            <v>1</v>
          </cell>
          <cell r="AD1325" t="str">
            <v/>
          </cell>
          <cell r="AE1325">
            <v>0</v>
          </cell>
          <cell r="AF1325" t="str">
            <v/>
          </cell>
          <cell r="AG1325" t="str">
            <v>12519723</v>
          </cell>
          <cell r="AH1325">
            <v>44951.954201388886</v>
          </cell>
          <cell r="AI1325" t="str">
            <v>N52</v>
          </cell>
          <cell r="AJ1325" t="str">
            <v>F</v>
          </cell>
          <cell r="AK1325" t="str">
            <v/>
          </cell>
        </row>
        <row r="1326">
          <cell r="A1326" t="str">
            <v>12519723829051</v>
          </cell>
          <cell r="B1326" t="str">
            <v>Übergabe Task Force</v>
          </cell>
          <cell r="C1326">
            <v>21</v>
          </cell>
          <cell r="D1326" t="str">
            <v>EK65</v>
          </cell>
          <cell r="E1326" t="str">
            <v>703617</v>
          </cell>
          <cell r="F1326" t="str">
            <v>E</v>
          </cell>
          <cell r="G1326" t="str">
            <v>12519723</v>
          </cell>
          <cell r="H1326" t="str">
            <v>Schirmblech E24Mono</v>
          </cell>
          <cell r="I1326">
            <v>123</v>
          </cell>
          <cell r="J1326" t="str">
            <v>Stk</v>
          </cell>
          <cell r="K1326">
            <v>45394</v>
          </cell>
          <cell r="L1326" t="str">
            <v>829051</v>
          </cell>
          <cell r="M1326" t="str">
            <v/>
          </cell>
          <cell r="N1326" t="str">
            <v/>
          </cell>
          <cell r="O1326" t="str">
            <v/>
          </cell>
          <cell r="P1326" t="str">
            <v/>
          </cell>
          <cell r="Q1326" t="str">
            <v/>
          </cell>
          <cell r="R1326" t="str">
            <v/>
          </cell>
          <cell r="S1326" t="str">
            <v/>
          </cell>
          <cell r="T1326" t="str">
            <v/>
          </cell>
          <cell r="U1326" t="str">
            <v/>
          </cell>
          <cell r="V1326" t="str">
            <v>N52</v>
          </cell>
          <cell r="W1326" t="str">
            <v/>
          </cell>
          <cell r="X1326" t="str">
            <v/>
          </cell>
          <cell r="Y1326" t="str">
            <v/>
          </cell>
          <cell r="Z1326" t="str">
            <v/>
          </cell>
          <cell r="AA1326" t="str">
            <v/>
          </cell>
          <cell r="AB1326" t="str">
            <v>PA_4569117-UA.7005-2</v>
          </cell>
          <cell r="AC1326">
            <v>1</v>
          </cell>
          <cell r="AD1326" t="str">
            <v/>
          </cell>
          <cell r="AE1326">
            <v>0</v>
          </cell>
          <cell r="AF1326" t="str">
            <v/>
          </cell>
          <cell r="AG1326" t="str">
            <v>12519723</v>
          </cell>
          <cell r="AH1326">
            <v>44951.954201388886</v>
          </cell>
          <cell r="AI1326" t="str">
            <v>N52</v>
          </cell>
          <cell r="AJ1326" t="str">
            <v>F</v>
          </cell>
          <cell r="AK1326" t="str">
            <v/>
          </cell>
        </row>
        <row r="1327">
          <cell r="A1327" t="str">
            <v>12519723829052</v>
          </cell>
          <cell r="B1327" t="str">
            <v>Übergabe Task Force</v>
          </cell>
          <cell r="C1327">
            <v>21</v>
          </cell>
          <cell r="D1327" t="str">
            <v>EK65</v>
          </cell>
          <cell r="E1327" t="str">
            <v>703618</v>
          </cell>
          <cell r="F1327" t="str">
            <v>E</v>
          </cell>
          <cell r="G1327" t="str">
            <v>12519723</v>
          </cell>
          <cell r="H1327" t="str">
            <v>Schirmblech E24Mono</v>
          </cell>
          <cell r="I1327">
            <v>9</v>
          </cell>
          <cell r="J1327" t="str">
            <v>Stk</v>
          </cell>
          <cell r="K1327">
            <v>45681</v>
          </cell>
          <cell r="L1327" t="str">
            <v>829052</v>
          </cell>
          <cell r="M1327" t="str">
            <v/>
          </cell>
          <cell r="N1327" t="str">
            <v/>
          </cell>
          <cell r="O1327" t="str">
            <v/>
          </cell>
          <cell r="P1327" t="str">
            <v/>
          </cell>
          <cell r="Q1327" t="str">
            <v/>
          </cell>
          <cell r="R1327" t="str">
            <v/>
          </cell>
          <cell r="S1327" t="str">
            <v/>
          </cell>
          <cell r="T1327" t="str">
            <v/>
          </cell>
          <cell r="U1327" t="str">
            <v/>
          </cell>
          <cell r="V1327" t="str">
            <v>N52</v>
          </cell>
          <cell r="W1327" t="str">
            <v/>
          </cell>
          <cell r="X1327" t="str">
            <v/>
          </cell>
          <cell r="Y1327" t="str">
            <v/>
          </cell>
          <cell r="Z1327" t="str">
            <v/>
          </cell>
          <cell r="AA1327" t="str">
            <v/>
          </cell>
          <cell r="AB1327" t="str">
            <v>PA_4569117-UA.7005-2</v>
          </cell>
          <cell r="AC1327">
            <v>1</v>
          </cell>
          <cell r="AD1327" t="str">
            <v/>
          </cell>
          <cell r="AE1327">
            <v>0</v>
          </cell>
          <cell r="AF1327" t="str">
            <v/>
          </cell>
          <cell r="AG1327" t="str">
            <v>12519723</v>
          </cell>
          <cell r="AH1327">
            <v>44951.954201388886</v>
          </cell>
          <cell r="AI1327" t="str">
            <v>N52</v>
          </cell>
          <cell r="AJ1327" t="str">
            <v>F</v>
          </cell>
          <cell r="AK1327" t="str">
            <v/>
          </cell>
        </row>
        <row r="1328">
          <cell r="A1328" t="str">
            <v>12519732829053</v>
          </cell>
          <cell r="B1328">
            <v>0</v>
          </cell>
          <cell r="C1328">
            <v>24</v>
          </cell>
          <cell r="D1328" t="str">
            <v>EK65</v>
          </cell>
          <cell r="E1328" t="str">
            <v>703619</v>
          </cell>
          <cell r="F1328" t="str">
            <v>E</v>
          </cell>
          <cell r="G1328" t="str">
            <v>12519732</v>
          </cell>
          <cell r="H1328" t="str">
            <v>Schirmblech E16Mod</v>
          </cell>
          <cell r="I1328">
            <v>103</v>
          </cell>
          <cell r="J1328" t="str">
            <v>Stk</v>
          </cell>
          <cell r="K1328">
            <v>45086</v>
          </cell>
          <cell r="L1328" t="str">
            <v>829053</v>
          </cell>
          <cell r="M1328" t="str">
            <v/>
          </cell>
          <cell r="N1328" t="str">
            <v/>
          </cell>
          <cell r="O1328" t="str">
            <v/>
          </cell>
          <cell r="P1328" t="str">
            <v/>
          </cell>
          <cell r="Q1328" t="str">
            <v/>
          </cell>
          <cell r="R1328" t="str">
            <v/>
          </cell>
          <cell r="S1328" t="str">
            <v/>
          </cell>
          <cell r="T1328" t="str">
            <v/>
          </cell>
          <cell r="U1328" t="str">
            <v/>
          </cell>
          <cell r="V1328" t="str">
            <v>N52</v>
          </cell>
          <cell r="W1328" t="str">
            <v/>
          </cell>
          <cell r="X1328" t="str">
            <v/>
          </cell>
          <cell r="Y1328" t="str">
            <v/>
          </cell>
          <cell r="Z1328" t="str">
            <v/>
          </cell>
          <cell r="AA1328" t="str">
            <v/>
          </cell>
          <cell r="AB1328" t="str">
            <v>PA_4569623-UA.7005-2</v>
          </cell>
          <cell r="AC1328">
            <v>1</v>
          </cell>
          <cell r="AD1328" t="str">
            <v/>
          </cell>
          <cell r="AE1328">
            <v>0</v>
          </cell>
          <cell r="AF1328" t="str">
            <v/>
          </cell>
          <cell r="AG1328" t="str">
            <v>12519732</v>
          </cell>
          <cell r="AH1328">
            <v>44951.954293981478</v>
          </cell>
          <cell r="AI1328" t="str">
            <v>N52</v>
          </cell>
          <cell r="AJ1328" t="str">
            <v>F</v>
          </cell>
          <cell r="AK1328" t="str">
            <v/>
          </cell>
        </row>
        <row r="1329">
          <cell r="A1329" t="str">
            <v>12519732829054</v>
          </cell>
          <cell r="B1329" t="e">
            <v>#N/A</v>
          </cell>
          <cell r="C1329">
            <v>24</v>
          </cell>
          <cell r="D1329" t="str">
            <v>EK65</v>
          </cell>
          <cell r="E1329" t="str">
            <v>703620</v>
          </cell>
          <cell r="F1329" t="str">
            <v>E</v>
          </cell>
          <cell r="G1329" t="str">
            <v>12519732</v>
          </cell>
          <cell r="H1329" t="str">
            <v>Schirmblech E16Mod</v>
          </cell>
          <cell r="I1329">
            <v>36</v>
          </cell>
          <cell r="J1329" t="str">
            <v>Stk</v>
          </cell>
          <cell r="K1329">
            <v>45100</v>
          </cell>
          <cell r="L1329" t="str">
            <v>829054</v>
          </cell>
          <cell r="M1329" t="str">
            <v/>
          </cell>
          <cell r="N1329" t="str">
            <v/>
          </cell>
          <cell r="O1329" t="str">
            <v/>
          </cell>
          <cell r="P1329" t="str">
            <v/>
          </cell>
          <cell r="Q1329" t="str">
            <v/>
          </cell>
          <cell r="R1329" t="str">
            <v/>
          </cell>
          <cell r="S1329" t="str">
            <v/>
          </cell>
          <cell r="T1329" t="str">
            <v/>
          </cell>
          <cell r="U1329" t="str">
            <v/>
          </cell>
          <cell r="V1329" t="str">
            <v>N52</v>
          </cell>
          <cell r="W1329" t="str">
            <v/>
          </cell>
          <cell r="X1329" t="str">
            <v/>
          </cell>
          <cell r="Y1329" t="str">
            <v/>
          </cell>
          <cell r="Z1329" t="str">
            <v/>
          </cell>
          <cell r="AA1329" t="str">
            <v/>
          </cell>
          <cell r="AB1329" t="str">
            <v>PA_4569623-UA.7005-2</v>
          </cell>
          <cell r="AC1329">
            <v>1</v>
          </cell>
          <cell r="AD1329" t="str">
            <v/>
          </cell>
          <cell r="AE1329">
            <v>0</v>
          </cell>
          <cell r="AF1329" t="str">
            <v/>
          </cell>
          <cell r="AG1329" t="str">
            <v>12519732</v>
          </cell>
          <cell r="AH1329">
            <v>44951.954293981478</v>
          </cell>
          <cell r="AI1329" t="str">
            <v>N52</v>
          </cell>
          <cell r="AJ1329" t="str">
            <v>F</v>
          </cell>
          <cell r="AK1329" t="str">
            <v/>
          </cell>
        </row>
        <row r="1330">
          <cell r="A1330" t="str">
            <v>12519732829051</v>
          </cell>
          <cell r="B1330">
            <v>0</v>
          </cell>
          <cell r="C1330">
            <v>24</v>
          </cell>
          <cell r="D1330" t="str">
            <v>EK65</v>
          </cell>
          <cell r="E1330" t="str">
            <v>703621</v>
          </cell>
          <cell r="F1330" t="str">
            <v>E</v>
          </cell>
          <cell r="G1330" t="str">
            <v>12519732</v>
          </cell>
          <cell r="H1330" t="str">
            <v>Schirmblech E16Mod</v>
          </cell>
          <cell r="I1330">
            <v>161</v>
          </cell>
          <cell r="J1330" t="str">
            <v>Stk</v>
          </cell>
          <cell r="K1330">
            <v>45254</v>
          </cell>
          <cell r="L1330" t="str">
            <v>829051</v>
          </cell>
          <cell r="M1330" t="str">
            <v/>
          </cell>
          <cell r="N1330" t="str">
            <v/>
          </cell>
          <cell r="O1330" t="str">
            <v/>
          </cell>
          <cell r="P1330" t="str">
            <v/>
          </cell>
          <cell r="Q1330" t="str">
            <v/>
          </cell>
          <cell r="R1330" t="str">
            <v/>
          </cell>
          <cell r="S1330" t="str">
            <v/>
          </cell>
          <cell r="T1330" t="str">
            <v/>
          </cell>
          <cell r="U1330" t="str">
            <v/>
          </cell>
          <cell r="V1330" t="str">
            <v>N52</v>
          </cell>
          <cell r="W1330" t="str">
            <v/>
          </cell>
          <cell r="X1330" t="str">
            <v/>
          </cell>
          <cell r="Y1330" t="str">
            <v/>
          </cell>
          <cell r="Z1330" t="str">
            <v/>
          </cell>
          <cell r="AA1330" t="str">
            <v/>
          </cell>
          <cell r="AB1330" t="str">
            <v>PA_4569623-UA.7005-2</v>
          </cell>
          <cell r="AC1330">
            <v>1</v>
          </cell>
          <cell r="AD1330" t="str">
            <v/>
          </cell>
          <cell r="AE1330">
            <v>0</v>
          </cell>
          <cell r="AF1330" t="str">
            <v/>
          </cell>
          <cell r="AG1330" t="str">
            <v>12519732</v>
          </cell>
          <cell r="AH1330">
            <v>44951.954293981478</v>
          </cell>
          <cell r="AI1330" t="str">
            <v>N52</v>
          </cell>
          <cell r="AJ1330" t="str">
            <v>F</v>
          </cell>
          <cell r="AK1330" t="str">
            <v/>
          </cell>
        </row>
        <row r="1331">
          <cell r="A1331" t="str">
            <v>12519774829054</v>
          </cell>
          <cell r="B1331" t="str">
            <v>Übergabe Task Force</v>
          </cell>
          <cell r="C1331">
            <v>24</v>
          </cell>
          <cell r="D1331" t="str">
            <v>EK65</v>
          </cell>
          <cell r="E1331" t="str">
            <v>703625</v>
          </cell>
          <cell r="F1331" t="str">
            <v>E</v>
          </cell>
          <cell r="G1331" t="str">
            <v>12519774</v>
          </cell>
          <cell r="H1331" t="str">
            <v>Schirmblech E6Mod</v>
          </cell>
          <cell r="I1331">
            <v>28</v>
          </cell>
          <cell r="J1331" t="str">
            <v>Stk</v>
          </cell>
          <cell r="K1331">
            <v>45079</v>
          </cell>
          <cell r="L1331" t="str">
            <v>829054</v>
          </cell>
          <cell r="M1331" t="str">
            <v/>
          </cell>
          <cell r="N1331" t="str">
            <v/>
          </cell>
          <cell r="O1331" t="str">
            <v/>
          </cell>
          <cell r="P1331" t="str">
            <v/>
          </cell>
          <cell r="Q1331" t="str">
            <v/>
          </cell>
          <cell r="R1331" t="str">
            <v/>
          </cell>
          <cell r="S1331" t="str">
            <v/>
          </cell>
          <cell r="T1331" t="str">
            <v/>
          </cell>
          <cell r="U1331" t="str">
            <v/>
          </cell>
          <cell r="V1331" t="str">
            <v>N52</v>
          </cell>
          <cell r="W1331" t="str">
            <v/>
          </cell>
          <cell r="X1331" t="str">
            <v/>
          </cell>
          <cell r="Y1331" t="str">
            <v/>
          </cell>
          <cell r="Z1331" t="str">
            <v/>
          </cell>
          <cell r="AA1331" t="str">
            <v/>
          </cell>
          <cell r="AB1331" t="str">
            <v>PA_4571755-UA.7005-2</v>
          </cell>
          <cell r="AC1331">
            <v>1</v>
          </cell>
          <cell r="AD1331" t="str">
            <v/>
          </cell>
          <cell r="AE1331">
            <v>0</v>
          </cell>
          <cell r="AF1331" t="str">
            <v/>
          </cell>
          <cell r="AG1331" t="str">
            <v>12519774</v>
          </cell>
          <cell r="AH1331">
            <v>44951.954398148147</v>
          </cell>
          <cell r="AI1331" t="str">
            <v>N52</v>
          </cell>
          <cell r="AJ1331" t="str">
            <v>F</v>
          </cell>
          <cell r="AK1331" t="str">
            <v/>
          </cell>
        </row>
        <row r="1332">
          <cell r="A1332" t="str">
            <v>12519908829054</v>
          </cell>
          <cell r="B1332" t="e">
            <v>#N/A</v>
          </cell>
          <cell r="C1332">
            <v>24</v>
          </cell>
          <cell r="D1332" t="str">
            <v>EK65</v>
          </cell>
          <cell r="E1332" t="str">
            <v>703626</v>
          </cell>
          <cell r="F1332" t="str">
            <v>E</v>
          </cell>
          <cell r="G1332" t="str">
            <v>12519908</v>
          </cell>
          <cell r="H1332" t="str">
            <v>Gewindehinterlage</v>
          </cell>
          <cell r="I1332">
            <v>16</v>
          </cell>
          <cell r="J1332" t="str">
            <v>Stk</v>
          </cell>
          <cell r="K1332">
            <v>45128</v>
          </cell>
          <cell r="L1332" t="str">
            <v>829054</v>
          </cell>
          <cell r="M1332" t="str">
            <v/>
          </cell>
          <cell r="N1332" t="str">
            <v/>
          </cell>
          <cell r="O1332" t="str">
            <v/>
          </cell>
          <cell r="P1332" t="str">
            <v/>
          </cell>
          <cell r="Q1332" t="str">
            <v/>
          </cell>
          <cell r="R1332" t="str">
            <v/>
          </cell>
          <cell r="S1332" t="str">
            <v/>
          </cell>
          <cell r="T1332" t="str">
            <v/>
          </cell>
          <cell r="U1332" t="str">
            <v/>
          </cell>
          <cell r="V1332" t="str">
            <v>N52</v>
          </cell>
          <cell r="W1332" t="str">
            <v/>
          </cell>
          <cell r="X1332" t="str">
            <v/>
          </cell>
          <cell r="Y1332" t="str">
            <v/>
          </cell>
          <cell r="Z1332" t="str">
            <v/>
          </cell>
          <cell r="AA1332" t="str">
            <v/>
          </cell>
          <cell r="AB1332" t="str">
            <v>PA_4568064-JC.7005-4</v>
          </cell>
          <cell r="AC1332">
            <v>1</v>
          </cell>
          <cell r="AD1332" t="str">
            <v/>
          </cell>
          <cell r="AE1332">
            <v>0</v>
          </cell>
          <cell r="AF1332" t="str">
            <v/>
          </cell>
          <cell r="AG1332" t="str">
            <v>12519908</v>
          </cell>
          <cell r="AH1332">
            <v>44951.954456018517</v>
          </cell>
          <cell r="AI1332" t="str">
            <v>N52</v>
          </cell>
          <cell r="AJ1332" t="str">
            <v>F</v>
          </cell>
          <cell r="AK1332" t="str">
            <v/>
          </cell>
        </row>
        <row r="1333">
          <cell r="A1333" t="str">
            <v>12519908829051</v>
          </cell>
          <cell r="B1333" t="str">
            <v>Übergabe Task Force</v>
          </cell>
          <cell r="C1333">
            <v>24</v>
          </cell>
          <cell r="D1333" t="str">
            <v>EK65</v>
          </cell>
          <cell r="E1333" t="str">
            <v>703627</v>
          </cell>
          <cell r="F1333" t="str">
            <v>E</v>
          </cell>
          <cell r="G1333" t="str">
            <v>12519908</v>
          </cell>
          <cell r="H1333" t="str">
            <v>Gewindehinterlage</v>
          </cell>
          <cell r="I1333">
            <v>85</v>
          </cell>
          <cell r="J1333" t="str">
            <v>Stk</v>
          </cell>
          <cell r="K1333">
            <v>45233</v>
          </cell>
          <cell r="L1333" t="str">
            <v>829051</v>
          </cell>
          <cell r="M1333" t="str">
            <v/>
          </cell>
          <cell r="N1333" t="str">
            <v/>
          </cell>
          <cell r="O1333" t="str">
            <v/>
          </cell>
          <cell r="P1333" t="str">
            <v/>
          </cell>
          <cell r="Q1333" t="str">
            <v/>
          </cell>
          <cell r="R1333" t="str">
            <v/>
          </cell>
          <cell r="S1333" t="str">
            <v/>
          </cell>
          <cell r="T1333" t="str">
            <v/>
          </cell>
          <cell r="U1333" t="str">
            <v/>
          </cell>
          <cell r="V1333" t="str">
            <v>N52</v>
          </cell>
          <cell r="W1333" t="str">
            <v/>
          </cell>
          <cell r="X1333" t="str">
            <v/>
          </cell>
          <cell r="Y1333" t="str">
            <v/>
          </cell>
          <cell r="Z1333" t="str">
            <v/>
          </cell>
          <cell r="AA1333" t="str">
            <v/>
          </cell>
          <cell r="AB1333" t="str">
            <v>PA_4568064-JC.7005-4</v>
          </cell>
          <cell r="AC1333">
            <v>1</v>
          </cell>
          <cell r="AD1333" t="str">
            <v/>
          </cell>
          <cell r="AE1333">
            <v>0</v>
          </cell>
          <cell r="AF1333" t="str">
            <v/>
          </cell>
          <cell r="AG1333" t="str">
            <v>12519908</v>
          </cell>
          <cell r="AH1333">
            <v>44951.954456018517</v>
          </cell>
          <cell r="AI1333" t="str">
            <v>N52</v>
          </cell>
          <cell r="AJ1333" t="str">
            <v>F</v>
          </cell>
          <cell r="AK1333" t="str">
            <v/>
          </cell>
        </row>
        <row r="1334">
          <cell r="A1334" t="str">
            <v>12519908829052</v>
          </cell>
          <cell r="B1334" t="str">
            <v>Übergabe Task Force</v>
          </cell>
          <cell r="C1334">
            <v>24</v>
          </cell>
          <cell r="D1334" t="str">
            <v>EK65</v>
          </cell>
          <cell r="E1334" t="str">
            <v>703628</v>
          </cell>
          <cell r="F1334" t="str">
            <v>E</v>
          </cell>
          <cell r="G1334" t="str">
            <v>12519908</v>
          </cell>
          <cell r="H1334" t="str">
            <v>Gewindehinterlage</v>
          </cell>
          <cell r="I1334">
            <v>31</v>
          </cell>
          <cell r="J1334" t="str">
            <v>Stk</v>
          </cell>
          <cell r="K1334">
            <v>45240</v>
          </cell>
          <cell r="L1334" t="str">
            <v>829052</v>
          </cell>
          <cell r="M1334" t="str">
            <v/>
          </cell>
          <cell r="N1334" t="str">
            <v/>
          </cell>
          <cell r="O1334" t="str">
            <v/>
          </cell>
          <cell r="P1334" t="str">
            <v/>
          </cell>
          <cell r="Q1334" t="str">
            <v/>
          </cell>
          <cell r="R1334" t="str">
            <v/>
          </cell>
          <cell r="S1334" t="str">
            <v/>
          </cell>
          <cell r="T1334" t="str">
            <v/>
          </cell>
          <cell r="U1334" t="str">
            <v/>
          </cell>
          <cell r="V1334" t="str">
            <v>N52</v>
          </cell>
          <cell r="W1334" t="str">
            <v/>
          </cell>
          <cell r="X1334" t="str">
            <v/>
          </cell>
          <cell r="Y1334" t="str">
            <v/>
          </cell>
          <cell r="Z1334" t="str">
            <v/>
          </cell>
          <cell r="AA1334" t="str">
            <v/>
          </cell>
          <cell r="AB1334" t="str">
            <v>PA_4568064-JC.7005-4</v>
          </cell>
          <cell r="AC1334">
            <v>1</v>
          </cell>
          <cell r="AD1334" t="str">
            <v/>
          </cell>
          <cell r="AE1334">
            <v>0</v>
          </cell>
          <cell r="AF1334" t="str">
            <v/>
          </cell>
          <cell r="AG1334" t="str">
            <v>12519908</v>
          </cell>
          <cell r="AH1334">
            <v>44951.954456018517</v>
          </cell>
          <cell r="AI1334" t="str">
            <v>N52</v>
          </cell>
          <cell r="AJ1334" t="str">
            <v>F</v>
          </cell>
          <cell r="AK1334" t="str">
            <v/>
          </cell>
        </row>
        <row r="1335">
          <cell r="A1335" t="str">
            <v>12520309829053</v>
          </cell>
          <cell r="B1335">
            <v>0</v>
          </cell>
          <cell r="C1335">
            <v>6</v>
          </cell>
          <cell r="D1335" t="str">
            <v>EK65</v>
          </cell>
          <cell r="E1335" t="str">
            <v>703631</v>
          </cell>
          <cell r="F1335" t="str">
            <v>E</v>
          </cell>
          <cell r="G1335" t="str">
            <v>12520309</v>
          </cell>
          <cell r="H1335" t="str">
            <v>Halter Hutschiene</v>
          </cell>
          <cell r="I1335">
            <v>297</v>
          </cell>
          <cell r="J1335" t="str">
            <v>Stk</v>
          </cell>
          <cell r="K1335">
            <v>45100</v>
          </cell>
          <cell r="L1335" t="str">
            <v>829053</v>
          </cell>
          <cell r="M1335" t="str">
            <v/>
          </cell>
          <cell r="N1335" t="str">
            <v/>
          </cell>
          <cell r="O1335" t="str">
            <v/>
          </cell>
          <cell r="P1335" t="str">
            <v/>
          </cell>
          <cell r="Q1335" t="str">
            <v/>
          </cell>
          <cell r="R1335" t="str">
            <v/>
          </cell>
          <cell r="S1335" t="str">
            <v/>
          </cell>
          <cell r="T1335" t="str">
            <v/>
          </cell>
          <cell r="U1335" t="str">
            <v/>
          </cell>
          <cell r="V1335" t="str">
            <v>N52</v>
          </cell>
          <cell r="W1335" t="str">
            <v/>
          </cell>
          <cell r="X1335" t="str">
            <v/>
          </cell>
          <cell r="Y1335" t="str">
            <v/>
          </cell>
          <cell r="Z1335" t="str">
            <v/>
          </cell>
          <cell r="AA1335" t="str">
            <v/>
          </cell>
          <cell r="AB1335" t="str">
            <v>PA_2334501-TC.7005-3</v>
          </cell>
          <cell r="AC1335">
            <v>1</v>
          </cell>
          <cell r="AD1335" t="str">
            <v/>
          </cell>
          <cell r="AE1335">
            <v>0</v>
          </cell>
          <cell r="AF1335" t="str">
            <v/>
          </cell>
          <cell r="AG1335" t="str">
            <v>12520309</v>
          </cell>
          <cell r="AH1335">
            <v>44951.954525462963</v>
          </cell>
          <cell r="AI1335" t="str">
            <v>N52</v>
          </cell>
          <cell r="AJ1335" t="str">
            <v>F</v>
          </cell>
          <cell r="AK1335" t="str">
            <v/>
          </cell>
        </row>
        <row r="1336">
          <cell r="A1336" t="str">
            <v>12520314829051</v>
          </cell>
          <cell r="B1336" t="str">
            <v>Übergabe Task Force</v>
          </cell>
          <cell r="C1336">
            <v>12</v>
          </cell>
          <cell r="D1336" t="str">
            <v>EK65</v>
          </cell>
          <cell r="E1336" t="str">
            <v>703633</v>
          </cell>
          <cell r="F1336" t="str">
            <v>E</v>
          </cell>
          <cell r="G1336" t="str">
            <v>12520314</v>
          </cell>
          <cell r="H1336" t="str">
            <v>Halter</v>
          </cell>
          <cell r="I1336">
            <v>45</v>
          </cell>
          <cell r="J1336" t="str">
            <v>Stk</v>
          </cell>
          <cell r="K1336">
            <v>45219</v>
          </cell>
          <cell r="L1336" t="str">
            <v>829051</v>
          </cell>
          <cell r="M1336" t="str">
            <v/>
          </cell>
          <cell r="N1336" t="str">
            <v/>
          </cell>
          <cell r="O1336" t="str">
            <v/>
          </cell>
          <cell r="P1336" t="str">
            <v/>
          </cell>
          <cell r="Q1336" t="str">
            <v/>
          </cell>
          <cell r="R1336" t="str">
            <v/>
          </cell>
          <cell r="S1336" t="str">
            <v/>
          </cell>
          <cell r="T1336" t="str">
            <v/>
          </cell>
          <cell r="U1336" t="str">
            <v/>
          </cell>
          <cell r="V1336" t="str">
            <v>N52</v>
          </cell>
          <cell r="W1336" t="str">
            <v/>
          </cell>
          <cell r="X1336" t="str">
            <v/>
          </cell>
          <cell r="Y1336" t="str">
            <v/>
          </cell>
          <cell r="Z1336" t="str">
            <v/>
          </cell>
          <cell r="AA1336" t="str">
            <v/>
          </cell>
          <cell r="AB1336" t="str">
            <v>PA_2334345-TC.7005-2</v>
          </cell>
          <cell r="AC1336">
            <v>1</v>
          </cell>
          <cell r="AD1336" t="str">
            <v/>
          </cell>
          <cell r="AE1336">
            <v>0</v>
          </cell>
          <cell r="AF1336" t="str">
            <v/>
          </cell>
          <cell r="AG1336" t="str">
            <v>12520314</v>
          </cell>
          <cell r="AH1336">
            <v>44951.954571759263</v>
          </cell>
          <cell r="AI1336" t="str">
            <v>N52</v>
          </cell>
          <cell r="AJ1336" t="str">
            <v>F</v>
          </cell>
          <cell r="AK1336" t="str">
            <v/>
          </cell>
        </row>
        <row r="1337">
          <cell r="A1337" t="str">
            <v>12520340829053</v>
          </cell>
          <cell r="B1337" t="e">
            <v>#N/A</v>
          </cell>
          <cell r="C1337">
            <v>12</v>
          </cell>
          <cell r="D1337" t="str">
            <v>EK65</v>
          </cell>
          <cell r="E1337" t="str">
            <v>703644</v>
          </cell>
          <cell r="F1337" t="str">
            <v>E</v>
          </cell>
          <cell r="G1337" t="str">
            <v>12520340</v>
          </cell>
          <cell r="H1337" t="str">
            <v>Steckerblech</v>
          </cell>
          <cell r="I1337">
            <v>33</v>
          </cell>
          <cell r="J1337" t="str">
            <v>Stk</v>
          </cell>
          <cell r="K1337">
            <v>45170</v>
          </cell>
          <cell r="L1337" t="str">
            <v>829053</v>
          </cell>
          <cell r="M1337" t="str">
            <v/>
          </cell>
          <cell r="N1337" t="str">
            <v/>
          </cell>
          <cell r="O1337" t="str">
            <v/>
          </cell>
          <cell r="P1337" t="str">
            <v/>
          </cell>
          <cell r="Q1337" t="str">
            <v/>
          </cell>
          <cell r="R1337" t="str">
            <v/>
          </cell>
          <cell r="S1337" t="str">
            <v/>
          </cell>
          <cell r="T1337" t="str">
            <v/>
          </cell>
          <cell r="U1337" t="str">
            <v/>
          </cell>
          <cell r="V1337" t="str">
            <v>N52</v>
          </cell>
          <cell r="W1337" t="str">
            <v/>
          </cell>
          <cell r="X1337" t="str">
            <v/>
          </cell>
          <cell r="Y1337" t="str">
            <v/>
          </cell>
          <cell r="Z1337" t="str">
            <v/>
          </cell>
          <cell r="AA1337" t="str">
            <v/>
          </cell>
          <cell r="AB1337" t="str">
            <v>PA_2335481-TC.7005-3</v>
          </cell>
          <cell r="AC1337">
            <v>1</v>
          </cell>
          <cell r="AD1337" t="str">
            <v/>
          </cell>
          <cell r="AE1337">
            <v>0</v>
          </cell>
          <cell r="AF1337" t="str">
            <v/>
          </cell>
          <cell r="AG1337" t="str">
            <v>12520340</v>
          </cell>
          <cell r="AH1337">
            <v>44951.954687500001</v>
          </cell>
          <cell r="AI1337" t="str">
            <v>N52</v>
          </cell>
          <cell r="AJ1337" t="str">
            <v>F</v>
          </cell>
          <cell r="AK1337" t="str">
            <v/>
          </cell>
        </row>
        <row r="1338">
          <cell r="A1338" t="str">
            <v>12520356829053</v>
          </cell>
          <cell r="B1338" t="e">
            <v>#N/A</v>
          </cell>
          <cell r="C1338">
            <v>14</v>
          </cell>
          <cell r="D1338" t="str">
            <v>EK65</v>
          </cell>
          <cell r="E1338" t="str">
            <v>703648</v>
          </cell>
          <cell r="F1338" t="str">
            <v>E</v>
          </cell>
          <cell r="G1338" t="str">
            <v>12520356</v>
          </cell>
          <cell r="H1338" t="str">
            <v>Steckerblech</v>
          </cell>
          <cell r="I1338">
            <v>33</v>
          </cell>
          <cell r="J1338" t="str">
            <v>Stk</v>
          </cell>
          <cell r="K1338">
            <v>45170</v>
          </cell>
          <cell r="L1338" t="str">
            <v>829053</v>
          </cell>
          <cell r="M1338" t="str">
            <v/>
          </cell>
          <cell r="N1338" t="str">
            <v/>
          </cell>
          <cell r="O1338" t="str">
            <v/>
          </cell>
          <cell r="P1338" t="str">
            <v/>
          </cell>
          <cell r="Q1338" t="str">
            <v/>
          </cell>
          <cell r="R1338" t="str">
            <v/>
          </cell>
          <cell r="S1338" t="str">
            <v/>
          </cell>
          <cell r="T1338" t="str">
            <v/>
          </cell>
          <cell r="U1338" t="str">
            <v/>
          </cell>
          <cell r="V1338" t="str">
            <v>N52</v>
          </cell>
          <cell r="W1338" t="str">
            <v/>
          </cell>
          <cell r="X1338" t="str">
            <v/>
          </cell>
          <cell r="Y1338" t="str">
            <v/>
          </cell>
          <cell r="Z1338" t="str">
            <v/>
          </cell>
          <cell r="AA1338" t="str">
            <v/>
          </cell>
          <cell r="AB1338" t="str">
            <v>PA_2335686-TC.7005-3</v>
          </cell>
          <cell r="AC1338">
            <v>1</v>
          </cell>
          <cell r="AD1338" t="str">
            <v/>
          </cell>
          <cell r="AE1338">
            <v>0</v>
          </cell>
          <cell r="AF1338" t="str">
            <v/>
          </cell>
          <cell r="AG1338" t="str">
            <v>12520356</v>
          </cell>
          <cell r="AH1338">
            <v>44951.954733796294</v>
          </cell>
          <cell r="AI1338" t="str">
            <v>N52</v>
          </cell>
          <cell r="AJ1338" t="str">
            <v>F</v>
          </cell>
          <cell r="AK1338" t="str">
            <v/>
          </cell>
        </row>
        <row r="1339">
          <cell r="A1339" t="str">
            <v>12520512829051</v>
          </cell>
          <cell r="B1339" t="str">
            <v>Übergabe Task Force</v>
          </cell>
          <cell r="C1339">
            <v>4</v>
          </cell>
          <cell r="D1339" t="str">
            <v>EK65</v>
          </cell>
          <cell r="E1339" t="str">
            <v>703667</v>
          </cell>
          <cell r="F1339" t="str">
            <v>E</v>
          </cell>
          <cell r="G1339" t="str">
            <v>12520512</v>
          </cell>
          <cell r="H1339" t="str">
            <v>Sammelschiene 10 x 3 x 1280</v>
          </cell>
          <cell r="I1339">
            <v>179</v>
          </cell>
          <cell r="J1339" t="str">
            <v>Stk</v>
          </cell>
          <cell r="K1339">
            <v>45219</v>
          </cell>
          <cell r="L1339" t="str">
            <v>829051</v>
          </cell>
          <cell r="M1339" t="str">
            <v/>
          </cell>
          <cell r="N1339" t="str">
            <v/>
          </cell>
          <cell r="O1339" t="str">
            <v/>
          </cell>
          <cell r="P1339" t="str">
            <v/>
          </cell>
          <cell r="Q1339" t="str">
            <v/>
          </cell>
          <cell r="R1339" t="str">
            <v/>
          </cell>
          <cell r="S1339" t="str">
            <v/>
          </cell>
          <cell r="T1339" t="str">
            <v/>
          </cell>
          <cell r="U1339" t="str">
            <v/>
          </cell>
          <cell r="V1339" t="str">
            <v>N52</v>
          </cell>
          <cell r="W1339" t="str">
            <v/>
          </cell>
          <cell r="X1339" t="str">
            <v/>
          </cell>
          <cell r="Y1339" t="str">
            <v/>
          </cell>
          <cell r="Z1339" t="str">
            <v/>
          </cell>
          <cell r="AA1339" t="str">
            <v/>
          </cell>
          <cell r="AB1339" t="str">
            <v>PA_2342434-TC.7005-3</v>
          </cell>
          <cell r="AC1339">
            <v>1</v>
          </cell>
          <cell r="AD1339" t="str">
            <v/>
          </cell>
          <cell r="AE1339">
            <v>0</v>
          </cell>
          <cell r="AF1339" t="str">
            <v/>
          </cell>
          <cell r="AG1339" t="str">
            <v>12520512</v>
          </cell>
          <cell r="AH1339">
            <v>44951.954988425925</v>
          </cell>
          <cell r="AI1339" t="str">
            <v>N52</v>
          </cell>
          <cell r="AJ1339" t="str">
            <v>F</v>
          </cell>
          <cell r="AK1339" t="str">
            <v/>
          </cell>
        </row>
        <row r="1340">
          <cell r="A1340" t="str">
            <v>12520569829053</v>
          </cell>
          <cell r="B1340" t="e">
            <v>#N/A</v>
          </cell>
          <cell r="C1340">
            <v>14</v>
          </cell>
          <cell r="D1340" t="str">
            <v>EK65</v>
          </cell>
          <cell r="E1340" t="str">
            <v>703668</v>
          </cell>
          <cell r="F1340" t="str">
            <v>E</v>
          </cell>
          <cell r="G1340" t="str">
            <v>12520569</v>
          </cell>
          <cell r="H1340" t="str">
            <v>Schiene 10 x 3 x 480</v>
          </cell>
          <cell r="I1340">
            <v>33</v>
          </cell>
          <cell r="J1340" t="str">
            <v>Stk</v>
          </cell>
          <cell r="K1340">
            <v>45170</v>
          </cell>
          <cell r="L1340" t="str">
            <v>829053</v>
          </cell>
          <cell r="M1340" t="str">
            <v/>
          </cell>
          <cell r="N1340" t="str">
            <v/>
          </cell>
          <cell r="O1340" t="str">
            <v/>
          </cell>
          <cell r="P1340" t="str">
            <v/>
          </cell>
          <cell r="Q1340" t="str">
            <v/>
          </cell>
          <cell r="R1340" t="str">
            <v/>
          </cell>
          <cell r="S1340" t="str">
            <v/>
          </cell>
          <cell r="T1340" t="str">
            <v/>
          </cell>
          <cell r="U1340" t="str">
            <v/>
          </cell>
          <cell r="V1340" t="str">
            <v>N52</v>
          </cell>
          <cell r="W1340" t="str">
            <v/>
          </cell>
          <cell r="X1340" t="str">
            <v/>
          </cell>
          <cell r="Y1340" t="str">
            <v/>
          </cell>
          <cell r="Z1340" t="str">
            <v/>
          </cell>
          <cell r="AA1340" t="str">
            <v/>
          </cell>
          <cell r="AB1340" t="str">
            <v>PA_4365605-TC.7005-3</v>
          </cell>
          <cell r="AC1340">
            <v>1</v>
          </cell>
          <cell r="AD1340" t="str">
            <v/>
          </cell>
          <cell r="AE1340">
            <v>0</v>
          </cell>
          <cell r="AF1340" t="str">
            <v/>
          </cell>
          <cell r="AG1340" t="str">
            <v>12520569</v>
          </cell>
          <cell r="AH1340">
            <v>44951.955011574071</v>
          </cell>
          <cell r="AI1340" t="str">
            <v>N52</v>
          </cell>
          <cell r="AJ1340" t="str">
            <v>F</v>
          </cell>
          <cell r="AK1340" t="str">
            <v/>
          </cell>
        </row>
        <row r="1341">
          <cell r="A1341" t="str">
            <v>12520580829051</v>
          </cell>
          <cell r="B1341" t="str">
            <v>Übergabe Task Force</v>
          </cell>
          <cell r="C1341">
            <v>12</v>
          </cell>
          <cell r="D1341" t="str">
            <v>EK65</v>
          </cell>
          <cell r="E1341" t="str">
            <v>703669</v>
          </cell>
          <cell r="F1341" t="str">
            <v>E</v>
          </cell>
          <cell r="G1341" t="str">
            <v>12520580</v>
          </cell>
          <cell r="H1341" t="str">
            <v>Halter</v>
          </cell>
          <cell r="I1341">
            <v>89</v>
          </cell>
          <cell r="J1341" t="str">
            <v>Stk</v>
          </cell>
          <cell r="K1341">
            <v>45226</v>
          </cell>
          <cell r="L1341" t="str">
            <v>829051</v>
          </cell>
          <cell r="M1341" t="str">
            <v/>
          </cell>
          <cell r="N1341" t="str">
            <v/>
          </cell>
          <cell r="O1341" t="str">
            <v/>
          </cell>
          <cell r="P1341" t="str">
            <v/>
          </cell>
          <cell r="Q1341" t="str">
            <v/>
          </cell>
          <cell r="R1341" t="str">
            <v/>
          </cell>
          <cell r="S1341" t="str">
            <v/>
          </cell>
          <cell r="T1341" t="str">
            <v/>
          </cell>
          <cell r="U1341" t="str">
            <v/>
          </cell>
          <cell r="V1341" t="str">
            <v>N52</v>
          </cell>
          <cell r="W1341" t="str">
            <v/>
          </cell>
          <cell r="X1341" t="str">
            <v/>
          </cell>
          <cell r="Y1341" t="str">
            <v/>
          </cell>
          <cell r="Z1341" t="str">
            <v/>
          </cell>
          <cell r="AA1341" t="str">
            <v/>
          </cell>
          <cell r="AB1341" t="str">
            <v>PA_4425584-TC.7005-2</v>
          </cell>
          <cell r="AC1341">
            <v>1</v>
          </cell>
          <cell r="AD1341" t="str">
            <v/>
          </cell>
          <cell r="AE1341">
            <v>0</v>
          </cell>
          <cell r="AF1341" t="str">
            <v/>
          </cell>
          <cell r="AG1341" t="str">
            <v>12520580</v>
          </cell>
          <cell r="AH1341">
            <v>44951.955034722225</v>
          </cell>
          <cell r="AI1341" t="str">
            <v>N52</v>
          </cell>
          <cell r="AJ1341" t="str">
            <v>F</v>
          </cell>
          <cell r="AK1341" t="str">
            <v/>
          </cell>
        </row>
        <row r="1342">
          <cell r="A1342" t="str">
            <v>12520604829051</v>
          </cell>
          <cell r="B1342" t="str">
            <v>Übergabe Task Force</v>
          </cell>
          <cell r="C1342">
            <v>14</v>
          </cell>
          <cell r="D1342" t="str">
            <v>EK65</v>
          </cell>
          <cell r="E1342" t="str">
            <v>703672</v>
          </cell>
          <cell r="F1342" t="str">
            <v>E</v>
          </cell>
          <cell r="G1342" t="str">
            <v>12520604</v>
          </cell>
          <cell r="H1342" t="str">
            <v>Halter Hutschiene</v>
          </cell>
          <cell r="I1342">
            <v>720</v>
          </cell>
          <cell r="J1342" t="str">
            <v>Stk</v>
          </cell>
          <cell r="K1342">
            <v>45219</v>
          </cell>
          <cell r="L1342" t="str">
            <v>829051</v>
          </cell>
          <cell r="M1342" t="str">
            <v/>
          </cell>
          <cell r="N1342" t="str">
            <v/>
          </cell>
          <cell r="O1342" t="str">
            <v/>
          </cell>
          <cell r="P1342" t="str">
            <v/>
          </cell>
          <cell r="Q1342" t="str">
            <v/>
          </cell>
          <cell r="R1342" t="str">
            <v/>
          </cell>
          <cell r="S1342" t="str">
            <v/>
          </cell>
          <cell r="T1342" t="str">
            <v/>
          </cell>
          <cell r="U1342" t="str">
            <v/>
          </cell>
          <cell r="V1342" t="str">
            <v>N52</v>
          </cell>
          <cell r="W1342" t="str">
            <v/>
          </cell>
          <cell r="X1342" t="str">
            <v/>
          </cell>
          <cell r="Y1342" t="str">
            <v/>
          </cell>
          <cell r="Z1342" t="str">
            <v/>
          </cell>
          <cell r="AA1342" t="str">
            <v/>
          </cell>
          <cell r="AB1342" t="str">
            <v>PA_4523492-TC.7005-3</v>
          </cell>
          <cell r="AC1342">
            <v>1</v>
          </cell>
          <cell r="AD1342" t="str">
            <v/>
          </cell>
          <cell r="AE1342">
            <v>0</v>
          </cell>
          <cell r="AF1342" t="str">
            <v/>
          </cell>
          <cell r="AG1342" t="str">
            <v>12520604</v>
          </cell>
          <cell r="AH1342">
            <v>44951.95511574074</v>
          </cell>
          <cell r="AI1342" t="str">
            <v>N52</v>
          </cell>
          <cell r="AJ1342" t="str">
            <v>F</v>
          </cell>
          <cell r="AK1342" t="str">
            <v/>
          </cell>
        </row>
        <row r="1343">
          <cell r="A1343" t="str">
            <v>12520750829051</v>
          </cell>
          <cell r="B1343" t="str">
            <v>Übergabe Task Force</v>
          </cell>
          <cell r="C1343">
            <v>12</v>
          </cell>
          <cell r="D1343" t="str">
            <v>EK65</v>
          </cell>
          <cell r="E1343" t="str">
            <v>703677</v>
          </cell>
          <cell r="F1343" t="str">
            <v>E</v>
          </cell>
          <cell r="G1343" t="str">
            <v>12520750</v>
          </cell>
          <cell r="H1343" t="str">
            <v>Abstandshalter vollst.</v>
          </cell>
          <cell r="I1343">
            <v>896</v>
          </cell>
          <cell r="J1343" t="str">
            <v>Stk</v>
          </cell>
          <cell r="K1343">
            <v>45219</v>
          </cell>
          <cell r="L1343" t="str">
            <v>829051</v>
          </cell>
          <cell r="M1343" t="str">
            <v/>
          </cell>
          <cell r="N1343" t="str">
            <v/>
          </cell>
          <cell r="O1343" t="str">
            <v/>
          </cell>
          <cell r="P1343" t="str">
            <v/>
          </cell>
          <cell r="Q1343" t="str">
            <v/>
          </cell>
          <cell r="R1343" t="str">
            <v/>
          </cell>
          <cell r="S1343" t="str">
            <v/>
          </cell>
          <cell r="T1343" t="str">
            <v/>
          </cell>
          <cell r="U1343" t="str">
            <v/>
          </cell>
          <cell r="V1343" t="str">
            <v>N38</v>
          </cell>
          <cell r="W1343" t="str">
            <v/>
          </cell>
          <cell r="X1343" t="str">
            <v/>
          </cell>
          <cell r="Y1343" t="str">
            <v/>
          </cell>
          <cell r="Z1343" t="str">
            <v/>
          </cell>
          <cell r="AA1343" t="str">
            <v/>
          </cell>
          <cell r="AB1343" t="str">
            <v>PA_2342258-TC.7005-3</v>
          </cell>
          <cell r="AC1343">
            <v>1</v>
          </cell>
          <cell r="AD1343" t="str">
            <v/>
          </cell>
          <cell r="AE1343">
            <v>0</v>
          </cell>
          <cell r="AF1343" t="str">
            <v/>
          </cell>
          <cell r="AG1343" t="str">
            <v>12520750</v>
          </cell>
          <cell r="AH1343">
            <v>44951.955196759256</v>
          </cell>
          <cell r="AI1343" t="str">
            <v>N38</v>
          </cell>
          <cell r="AJ1343" t="str">
            <v>F</v>
          </cell>
          <cell r="AK1343" t="str">
            <v/>
          </cell>
        </row>
        <row r="1344">
          <cell r="A1344" t="str">
            <v>12520767829051</v>
          </cell>
          <cell r="B1344" t="str">
            <v>Übergabe Task Force</v>
          </cell>
          <cell r="C1344">
            <v>12</v>
          </cell>
          <cell r="D1344" t="str">
            <v>EK65</v>
          </cell>
          <cell r="E1344" t="str">
            <v>703678</v>
          </cell>
          <cell r="F1344" t="str">
            <v>E</v>
          </cell>
          <cell r="G1344" t="str">
            <v>12520767</v>
          </cell>
          <cell r="H1344" t="str">
            <v>Blech vollst.</v>
          </cell>
          <cell r="I1344">
            <v>78</v>
          </cell>
          <cell r="J1344" t="str">
            <v>Stk</v>
          </cell>
          <cell r="K1344">
            <v>45261</v>
          </cell>
          <cell r="L1344" t="str">
            <v>829051</v>
          </cell>
          <cell r="M1344" t="str">
            <v/>
          </cell>
          <cell r="N1344" t="str">
            <v/>
          </cell>
          <cell r="O1344" t="str">
            <v/>
          </cell>
          <cell r="P1344" t="str">
            <v/>
          </cell>
          <cell r="Q1344" t="str">
            <v/>
          </cell>
          <cell r="R1344" t="str">
            <v/>
          </cell>
          <cell r="S1344" t="str">
            <v/>
          </cell>
          <cell r="T1344" t="str">
            <v/>
          </cell>
          <cell r="U1344" t="str">
            <v/>
          </cell>
          <cell r="V1344" t="str">
            <v>N52</v>
          </cell>
          <cell r="W1344" t="str">
            <v/>
          </cell>
          <cell r="X1344" t="str">
            <v/>
          </cell>
          <cell r="Y1344" t="str">
            <v/>
          </cell>
          <cell r="Z1344" t="str">
            <v/>
          </cell>
          <cell r="AA1344" t="str">
            <v/>
          </cell>
          <cell r="AB1344" t="str">
            <v>PA_2342288-TC.7005-3</v>
          </cell>
          <cell r="AC1344">
            <v>1</v>
          </cell>
          <cell r="AD1344" t="str">
            <v/>
          </cell>
          <cell r="AE1344">
            <v>0</v>
          </cell>
          <cell r="AF1344" t="str">
            <v/>
          </cell>
          <cell r="AG1344" t="str">
            <v>12520767</v>
          </cell>
          <cell r="AH1344">
            <v>44951.95521990741</v>
          </cell>
          <cell r="AI1344" t="str">
            <v>N52</v>
          </cell>
          <cell r="AJ1344" t="str">
            <v>F</v>
          </cell>
          <cell r="AK1344" t="str">
            <v/>
          </cell>
        </row>
        <row r="1345">
          <cell r="A1345" t="str">
            <v>12520771829051</v>
          </cell>
          <cell r="B1345" t="str">
            <v>Übergabe Task Force</v>
          </cell>
          <cell r="C1345">
            <v>10</v>
          </cell>
          <cell r="D1345" t="str">
            <v>EK65</v>
          </cell>
          <cell r="E1345" t="str">
            <v>703679</v>
          </cell>
          <cell r="F1345" t="str">
            <v>E</v>
          </cell>
          <cell r="G1345" t="str">
            <v>12520771</v>
          </cell>
          <cell r="H1345" t="str">
            <v>Halteblech vollst.</v>
          </cell>
          <cell r="I1345">
            <v>89</v>
          </cell>
          <cell r="J1345" t="str">
            <v>Stk</v>
          </cell>
          <cell r="K1345">
            <v>45226</v>
          </cell>
          <cell r="L1345" t="str">
            <v>829051</v>
          </cell>
          <cell r="M1345" t="str">
            <v/>
          </cell>
          <cell r="N1345" t="str">
            <v/>
          </cell>
          <cell r="O1345" t="str">
            <v/>
          </cell>
          <cell r="P1345" t="str">
            <v/>
          </cell>
          <cell r="Q1345" t="str">
            <v/>
          </cell>
          <cell r="R1345" t="str">
            <v/>
          </cell>
          <cell r="S1345" t="str">
            <v/>
          </cell>
          <cell r="T1345" t="str">
            <v/>
          </cell>
          <cell r="U1345" t="str">
            <v/>
          </cell>
          <cell r="V1345" t="str">
            <v>N38</v>
          </cell>
          <cell r="W1345" t="str">
            <v/>
          </cell>
          <cell r="X1345" t="str">
            <v/>
          </cell>
          <cell r="Y1345" t="str">
            <v/>
          </cell>
          <cell r="Z1345" t="str">
            <v/>
          </cell>
          <cell r="AA1345" t="str">
            <v/>
          </cell>
          <cell r="AB1345" t="str">
            <v>PA_4505212-TC.7005-3</v>
          </cell>
          <cell r="AC1345">
            <v>1</v>
          </cell>
          <cell r="AD1345" t="str">
            <v/>
          </cell>
          <cell r="AE1345">
            <v>0</v>
          </cell>
          <cell r="AF1345" t="str">
            <v/>
          </cell>
          <cell r="AG1345" t="str">
            <v>12520771</v>
          </cell>
          <cell r="AH1345">
            <v>44951.955243055556</v>
          </cell>
          <cell r="AI1345" t="str">
            <v>N38</v>
          </cell>
          <cell r="AJ1345" t="str">
            <v>F</v>
          </cell>
          <cell r="AK1345" t="str">
            <v/>
          </cell>
        </row>
        <row r="1346">
          <cell r="A1346" t="str">
            <v>12521276829054</v>
          </cell>
          <cell r="B1346">
            <v>0</v>
          </cell>
          <cell r="C1346">
            <v>10</v>
          </cell>
          <cell r="D1346" t="str">
            <v>EK65</v>
          </cell>
          <cell r="E1346" t="str">
            <v>703680</v>
          </cell>
          <cell r="F1346" t="str">
            <v>E</v>
          </cell>
          <cell r="G1346" t="str">
            <v>12521276</v>
          </cell>
          <cell r="H1346" t="str">
            <v>Halter</v>
          </cell>
          <cell r="I1346">
            <v>72</v>
          </cell>
          <cell r="J1346" t="str">
            <v>Stk</v>
          </cell>
          <cell r="K1346">
            <v>45098</v>
          </cell>
          <cell r="L1346" t="str">
            <v>829054</v>
          </cell>
          <cell r="M1346" t="str">
            <v/>
          </cell>
          <cell r="N1346" t="str">
            <v/>
          </cell>
          <cell r="O1346" t="str">
            <v/>
          </cell>
          <cell r="P1346" t="str">
            <v/>
          </cell>
          <cell r="Q1346" t="str">
            <v/>
          </cell>
          <cell r="R1346" t="str">
            <v/>
          </cell>
          <cell r="S1346" t="str">
            <v/>
          </cell>
          <cell r="T1346" t="str">
            <v/>
          </cell>
          <cell r="U1346" t="str">
            <v/>
          </cell>
          <cell r="V1346" t="str">
            <v>N52</v>
          </cell>
          <cell r="W1346" t="str">
            <v/>
          </cell>
          <cell r="X1346" t="str">
            <v/>
          </cell>
          <cell r="Y1346" t="str">
            <v/>
          </cell>
          <cell r="Z1346" t="str">
            <v/>
          </cell>
          <cell r="AA1346" t="str">
            <v/>
          </cell>
          <cell r="AB1346" t="str">
            <v>PA_4472860-UA.7005-3</v>
          </cell>
          <cell r="AC1346">
            <v>1</v>
          </cell>
          <cell r="AD1346" t="str">
            <v/>
          </cell>
          <cell r="AE1346">
            <v>0</v>
          </cell>
          <cell r="AF1346" t="str">
            <v/>
          </cell>
          <cell r="AG1346" t="str">
            <v>12521276</v>
          </cell>
          <cell r="AH1346">
            <v>44951.955277777779</v>
          </cell>
          <cell r="AI1346" t="str">
            <v>N52</v>
          </cell>
          <cell r="AJ1346" t="str">
            <v>F</v>
          </cell>
          <cell r="AK1346" t="str">
            <v/>
          </cell>
        </row>
        <row r="1347">
          <cell r="A1347" t="str">
            <v>12521276829053</v>
          </cell>
          <cell r="B1347">
            <v>0</v>
          </cell>
          <cell r="C1347">
            <v>10</v>
          </cell>
          <cell r="D1347" t="str">
            <v>EK65</v>
          </cell>
          <cell r="E1347" t="str">
            <v>703681</v>
          </cell>
          <cell r="F1347" t="str">
            <v>E</v>
          </cell>
          <cell r="G1347" t="str">
            <v>12521276</v>
          </cell>
          <cell r="H1347" t="str">
            <v>Halter</v>
          </cell>
          <cell r="I1347">
            <v>93</v>
          </cell>
          <cell r="J1347" t="str">
            <v>Stk</v>
          </cell>
          <cell r="K1347">
            <v>45098</v>
          </cell>
          <cell r="L1347" t="str">
            <v>829053</v>
          </cell>
          <cell r="M1347" t="str">
            <v/>
          </cell>
          <cell r="N1347" t="str">
            <v/>
          </cell>
          <cell r="O1347" t="str">
            <v/>
          </cell>
          <cell r="P1347" t="str">
            <v/>
          </cell>
          <cell r="Q1347" t="str">
            <v/>
          </cell>
          <cell r="R1347" t="str">
            <v/>
          </cell>
          <cell r="S1347" t="str">
            <v/>
          </cell>
          <cell r="T1347" t="str">
            <v/>
          </cell>
          <cell r="U1347" t="str">
            <v/>
          </cell>
          <cell r="V1347" t="str">
            <v>N52</v>
          </cell>
          <cell r="W1347" t="str">
            <v/>
          </cell>
          <cell r="X1347" t="str">
            <v/>
          </cell>
          <cell r="Y1347" t="str">
            <v/>
          </cell>
          <cell r="Z1347" t="str">
            <v/>
          </cell>
          <cell r="AA1347" t="str">
            <v/>
          </cell>
          <cell r="AB1347" t="str">
            <v>PA_4472860-UA.7005-3</v>
          </cell>
          <cell r="AC1347">
            <v>1</v>
          </cell>
          <cell r="AD1347" t="str">
            <v/>
          </cell>
          <cell r="AE1347">
            <v>0</v>
          </cell>
          <cell r="AF1347" t="str">
            <v/>
          </cell>
          <cell r="AG1347" t="str">
            <v>12521276</v>
          </cell>
          <cell r="AH1347">
            <v>44951.955277777779</v>
          </cell>
          <cell r="AI1347" t="str">
            <v>N52</v>
          </cell>
          <cell r="AJ1347" t="str">
            <v>F</v>
          </cell>
          <cell r="AK1347" t="str">
            <v/>
          </cell>
        </row>
        <row r="1348">
          <cell r="A1348" t="str">
            <v>12522490829053</v>
          </cell>
          <cell r="B1348">
            <v>0</v>
          </cell>
          <cell r="C1348">
            <v>5</v>
          </cell>
          <cell r="D1348" t="str">
            <v>EK65</v>
          </cell>
          <cell r="E1348" t="str">
            <v>703688</v>
          </cell>
          <cell r="F1348" t="str">
            <v>E</v>
          </cell>
          <cell r="G1348" t="str">
            <v>12522490</v>
          </cell>
          <cell r="H1348" t="str">
            <v>Flanschplatte</v>
          </cell>
          <cell r="I1348">
            <v>47</v>
          </cell>
          <cell r="J1348" t="str">
            <v>Stk</v>
          </cell>
          <cell r="K1348">
            <v>45114</v>
          </cell>
          <cell r="L1348" t="str">
            <v>829053</v>
          </cell>
          <cell r="M1348" t="str">
            <v/>
          </cell>
          <cell r="N1348" t="str">
            <v/>
          </cell>
          <cell r="O1348" t="str">
            <v/>
          </cell>
          <cell r="P1348" t="str">
            <v/>
          </cell>
          <cell r="Q1348" t="str">
            <v/>
          </cell>
          <cell r="R1348" t="str">
            <v/>
          </cell>
          <cell r="S1348" t="str">
            <v/>
          </cell>
          <cell r="T1348" t="str">
            <v/>
          </cell>
          <cell r="U1348" t="str">
            <v/>
          </cell>
          <cell r="V1348" t="str">
            <v>N52</v>
          </cell>
          <cell r="W1348" t="str">
            <v/>
          </cell>
          <cell r="X1348" t="str">
            <v/>
          </cell>
          <cell r="Y1348" t="str">
            <v/>
          </cell>
          <cell r="Z1348" t="str">
            <v/>
          </cell>
          <cell r="AA1348" t="str">
            <v/>
          </cell>
          <cell r="AB1348" t="str">
            <v>PA_4398436-UA.7005-3</v>
          </cell>
          <cell r="AC1348">
            <v>1</v>
          </cell>
          <cell r="AD1348" t="str">
            <v/>
          </cell>
          <cell r="AE1348">
            <v>0</v>
          </cell>
          <cell r="AF1348" t="str">
            <v/>
          </cell>
          <cell r="AG1348" t="str">
            <v>12522490</v>
          </cell>
          <cell r="AH1348">
            <v>44951.955358796295</v>
          </cell>
          <cell r="AI1348" t="str">
            <v>N52</v>
          </cell>
          <cell r="AJ1348" t="str">
            <v>F</v>
          </cell>
          <cell r="AK1348" t="str">
            <v/>
          </cell>
        </row>
        <row r="1349">
          <cell r="A1349" t="str">
            <v>12528714829560</v>
          </cell>
          <cell r="B1349">
            <v>0</v>
          </cell>
          <cell r="C1349" t="e">
            <v>#N/A</v>
          </cell>
          <cell r="D1349" t="str">
            <v>EK65</v>
          </cell>
          <cell r="E1349" t="str">
            <v>703692</v>
          </cell>
          <cell r="F1349" t="str">
            <v>E</v>
          </cell>
          <cell r="G1349" t="str">
            <v>12528714</v>
          </cell>
          <cell r="H1349" t="str">
            <v>Huelse</v>
          </cell>
          <cell r="I1349">
            <v>16</v>
          </cell>
          <cell r="J1349" t="str">
            <v>Stk</v>
          </cell>
          <cell r="K1349">
            <v>44720</v>
          </cell>
          <cell r="L1349" t="str">
            <v>829560</v>
          </cell>
          <cell r="M1349" t="str">
            <v/>
          </cell>
          <cell r="N1349" t="str">
            <v/>
          </cell>
          <cell r="O1349" t="str">
            <v/>
          </cell>
          <cell r="P1349" t="str">
            <v/>
          </cell>
          <cell r="Q1349" t="str">
            <v/>
          </cell>
          <cell r="R1349" t="str">
            <v/>
          </cell>
          <cell r="S1349" t="str">
            <v/>
          </cell>
          <cell r="T1349" t="str">
            <v/>
          </cell>
          <cell r="U1349" t="str">
            <v/>
          </cell>
          <cell r="V1349" t="str">
            <v>N52</v>
          </cell>
          <cell r="W1349" t="str">
            <v/>
          </cell>
          <cell r="X1349" t="str">
            <v/>
          </cell>
          <cell r="Y1349" t="str">
            <v/>
          </cell>
          <cell r="Z1349" t="str">
            <v/>
          </cell>
          <cell r="AA1349" t="str">
            <v/>
          </cell>
          <cell r="AB1349" t="str">
            <v>PA_4305530-QA.7005-4</v>
          </cell>
          <cell r="AC1349">
            <v>1</v>
          </cell>
          <cell r="AD1349" t="str">
            <v/>
          </cell>
          <cell r="AE1349">
            <v>0</v>
          </cell>
          <cell r="AF1349" t="str">
            <v/>
          </cell>
          <cell r="AG1349" t="str">
            <v>12528714</v>
          </cell>
          <cell r="AH1349">
            <v>44951.955405092594</v>
          </cell>
          <cell r="AI1349" t="str">
            <v>N52</v>
          </cell>
          <cell r="AJ1349" t="str">
            <v>F</v>
          </cell>
          <cell r="AK1349" t="str">
            <v/>
          </cell>
        </row>
        <row r="1350">
          <cell r="A1350" t="str">
            <v>12528717829560</v>
          </cell>
          <cell r="B1350">
            <v>0</v>
          </cell>
          <cell r="C1350" t="e">
            <v>#N/A</v>
          </cell>
          <cell r="D1350" t="str">
            <v>EK65</v>
          </cell>
          <cell r="E1350" t="str">
            <v>703696</v>
          </cell>
          <cell r="F1350" t="str">
            <v>E</v>
          </cell>
          <cell r="G1350" t="str">
            <v>12528717</v>
          </cell>
          <cell r="H1350" t="str">
            <v>Halter</v>
          </cell>
          <cell r="I1350">
            <v>4</v>
          </cell>
          <cell r="J1350" t="str">
            <v>Stk</v>
          </cell>
          <cell r="K1350">
            <v>44720</v>
          </cell>
          <cell r="L1350" t="str">
            <v>829560</v>
          </cell>
          <cell r="M1350" t="str">
            <v/>
          </cell>
          <cell r="N1350" t="str">
            <v/>
          </cell>
          <cell r="O1350" t="str">
            <v/>
          </cell>
          <cell r="P1350" t="str">
            <v/>
          </cell>
          <cell r="Q1350" t="str">
            <v/>
          </cell>
          <cell r="R1350" t="str">
            <v/>
          </cell>
          <cell r="S1350" t="str">
            <v/>
          </cell>
          <cell r="T1350" t="str">
            <v/>
          </cell>
          <cell r="U1350" t="str">
            <v/>
          </cell>
          <cell r="V1350" t="str">
            <v>N52</v>
          </cell>
          <cell r="W1350" t="str">
            <v/>
          </cell>
          <cell r="X1350" t="str">
            <v/>
          </cell>
          <cell r="Y1350" t="str">
            <v/>
          </cell>
          <cell r="Z1350" t="str">
            <v/>
          </cell>
          <cell r="AA1350" t="str">
            <v/>
          </cell>
          <cell r="AB1350" t="str">
            <v>PA_4306148-QA.7005-3</v>
          </cell>
          <cell r="AC1350">
            <v>1</v>
          </cell>
          <cell r="AD1350" t="str">
            <v/>
          </cell>
          <cell r="AE1350">
            <v>0</v>
          </cell>
          <cell r="AF1350" t="str">
            <v/>
          </cell>
          <cell r="AG1350" t="str">
            <v>12528717</v>
          </cell>
          <cell r="AH1350">
            <v>44951.955416666664</v>
          </cell>
          <cell r="AI1350" t="str">
            <v>N52</v>
          </cell>
          <cell r="AJ1350" t="str">
            <v>F</v>
          </cell>
          <cell r="AK1350" t="str">
            <v/>
          </cell>
        </row>
        <row r="1351">
          <cell r="A1351" t="str">
            <v>12528718829560</v>
          </cell>
          <cell r="B1351">
            <v>0</v>
          </cell>
          <cell r="C1351" t="e">
            <v>#N/A</v>
          </cell>
          <cell r="D1351" t="str">
            <v>EK65</v>
          </cell>
          <cell r="E1351" t="str">
            <v>703698</v>
          </cell>
          <cell r="F1351" t="str">
            <v>E</v>
          </cell>
          <cell r="G1351" t="str">
            <v>12528718</v>
          </cell>
          <cell r="H1351" t="str">
            <v>Halter</v>
          </cell>
          <cell r="I1351">
            <v>4</v>
          </cell>
          <cell r="J1351" t="str">
            <v>Stk</v>
          </cell>
          <cell r="K1351">
            <v>44720</v>
          </cell>
          <cell r="L1351" t="str">
            <v>829560</v>
          </cell>
          <cell r="M1351" t="str">
            <v/>
          </cell>
          <cell r="N1351" t="str">
            <v/>
          </cell>
          <cell r="O1351" t="str">
            <v/>
          </cell>
          <cell r="P1351" t="str">
            <v/>
          </cell>
          <cell r="Q1351" t="str">
            <v/>
          </cell>
          <cell r="R1351" t="str">
            <v/>
          </cell>
          <cell r="S1351" t="str">
            <v/>
          </cell>
          <cell r="T1351" t="str">
            <v/>
          </cell>
          <cell r="U1351" t="str">
            <v/>
          </cell>
          <cell r="V1351" t="str">
            <v>N52</v>
          </cell>
          <cell r="W1351" t="str">
            <v/>
          </cell>
          <cell r="X1351" t="str">
            <v/>
          </cell>
          <cell r="Y1351" t="str">
            <v/>
          </cell>
          <cell r="Z1351" t="str">
            <v/>
          </cell>
          <cell r="AA1351" t="str">
            <v/>
          </cell>
          <cell r="AB1351" t="str">
            <v>PA_4563383-QA.7005-3</v>
          </cell>
          <cell r="AC1351">
            <v>1</v>
          </cell>
          <cell r="AD1351" t="str">
            <v/>
          </cell>
          <cell r="AE1351">
            <v>0</v>
          </cell>
          <cell r="AF1351" t="str">
            <v/>
          </cell>
          <cell r="AG1351" t="str">
            <v>12528718</v>
          </cell>
          <cell r="AH1351">
            <v>44951.955428240741</v>
          </cell>
          <cell r="AI1351" t="str">
            <v>N52</v>
          </cell>
          <cell r="AJ1351" t="str">
            <v>F</v>
          </cell>
          <cell r="AK1351" t="str">
            <v/>
          </cell>
        </row>
        <row r="1352">
          <cell r="A1352" t="str">
            <v>12528935829051</v>
          </cell>
          <cell r="B1352" t="str">
            <v>Übergabe Task Force</v>
          </cell>
          <cell r="C1352">
            <v>10</v>
          </cell>
          <cell r="D1352" t="str">
            <v>EK65</v>
          </cell>
          <cell r="E1352" t="str">
            <v>703701</v>
          </cell>
          <cell r="F1352" t="str">
            <v>E</v>
          </cell>
          <cell r="G1352" t="str">
            <v>12528935</v>
          </cell>
          <cell r="H1352" t="str">
            <v>Halter</v>
          </cell>
          <cell r="I1352">
            <v>91</v>
          </cell>
          <cell r="J1352" t="str">
            <v>Stk</v>
          </cell>
          <cell r="K1352">
            <v>45682</v>
          </cell>
          <cell r="L1352" t="str">
            <v>829051</v>
          </cell>
          <cell r="M1352" t="str">
            <v/>
          </cell>
          <cell r="N1352" t="str">
            <v/>
          </cell>
          <cell r="O1352" t="str">
            <v/>
          </cell>
          <cell r="P1352" t="str">
            <v/>
          </cell>
          <cell r="Q1352" t="str">
            <v/>
          </cell>
          <cell r="R1352" t="str">
            <v/>
          </cell>
          <cell r="S1352" t="str">
            <v/>
          </cell>
          <cell r="T1352" t="str">
            <v/>
          </cell>
          <cell r="U1352" t="str">
            <v/>
          </cell>
          <cell r="V1352" t="str">
            <v>N52</v>
          </cell>
          <cell r="W1352" t="str">
            <v/>
          </cell>
          <cell r="X1352" t="str">
            <v/>
          </cell>
          <cell r="Y1352" t="str">
            <v/>
          </cell>
          <cell r="Z1352" t="str">
            <v/>
          </cell>
          <cell r="AA1352" t="str">
            <v/>
          </cell>
          <cell r="AB1352" t="str">
            <v>PA_4591683-TA.7005-3</v>
          </cell>
          <cell r="AC1352">
            <v>1</v>
          </cell>
          <cell r="AD1352" t="str">
            <v/>
          </cell>
          <cell r="AE1352">
            <v>0</v>
          </cell>
          <cell r="AF1352" t="str">
            <v/>
          </cell>
          <cell r="AG1352" t="str">
            <v>12528935</v>
          </cell>
          <cell r="AH1352">
            <v>44951.955439814818</v>
          </cell>
          <cell r="AI1352" t="str">
            <v>N52</v>
          </cell>
          <cell r="AJ1352" t="str">
            <v>F</v>
          </cell>
          <cell r="AK1352" t="str">
            <v/>
          </cell>
        </row>
        <row r="1353">
          <cell r="A1353" t="str">
            <v>12531177829054</v>
          </cell>
          <cell r="B1353" t="e">
            <v>#N/A</v>
          </cell>
          <cell r="C1353">
            <v>12</v>
          </cell>
          <cell r="D1353" t="str">
            <v>EK65</v>
          </cell>
          <cell r="E1353" t="str">
            <v>703727</v>
          </cell>
          <cell r="F1353" t="str">
            <v>E</v>
          </cell>
          <cell r="G1353" t="str">
            <v>12531177</v>
          </cell>
          <cell r="H1353" t="str">
            <v>Klemmbuchse ID6 AD30 H20</v>
          </cell>
          <cell r="I1353">
            <v>56</v>
          </cell>
          <cell r="J1353" t="str">
            <v>Stk</v>
          </cell>
          <cell r="K1353">
            <v>45189</v>
          </cell>
          <cell r="L1353" t="str">
            <v>829054</v>
          </cell>
          <cell r="M1353" t="str">
            <v/>
          </cell>
          <cell r="N1353" t="str">
            <v/>
          </cell>
          <cell r="O1353" t="str">
            <v/>
          </cell>
          <cell r="P1353" t="str">
            <v/>
          </cell>
          <cell r="Q1353" t="str">
            <v/>
          </cell>
          <cell r="R1353" t="str">
            <v/>
          </cell>
          <cell r="S1353" t="str">
            <v/>
          </cell>
          <cell r="T1353" t="str">
            <v/>
          </cell>
          <cell r="U1353" t="str">
            <v/>
          </cell>
          <cell r="V1353" t="str">
            <v>N52</v>
          </cell>
          <cell r="W1353" t="str">
            <v/>
          </cell>
          <cell r="X1353" t="str">
            <v/>
          </cell>
          <cell r="Y1353" t="str">
            <v/>
          </cell>
          <cell r="Z1353" t="str">
            <v/>
          </cell>
          <cell r="AA1353" t="str">
            <v/>
          </cell>
          <cell r="AB1353" t="str">
            <v>PA_4603025-UA.7005-4</v>
          </cell>
          <cell r="AC1353">
            <v>1</v>
          </cell>
          <cell r="AD1353" t="str">
            <v/>
          </cell>
          <cell r="AE1353">
            <v>0</v>
          </cell>
          <cell r="AF1353" t="str">
            <v/>
          </cell>
          <cell r="AG1353" t="str">
            <v>12531177</v>
          </cell>
          <cell r="AH1353">
            <v>44951.955694444441</v>
          </cell>
          <cell r="AI1353" t="str">
            <v>N52</v>
          </cell>
          <cell r="AJ1353" t="str">
            <v>F</v>
          </cell>
          <cell r="AK1353" t="str">
            <v/>
          </cell>
        </row>
        <row r="1354">
          <cell r="A1354" t="str">
            <v>12531177829052</v>
          </cell>
          <cell r="B1354" t="str">
            <v>Übergabe Task Force</v>
          </cell>
          <cell r="C1354">
            <v>12</v>
          </cell>
          <cell r="D1354" t="str">
            <v>EK65</v>
          </cell>
          <cell r="E1354" t="str">
            <v>703728</v>
          </cell>
          <cell r="F1354" t="str">
            <v>E</v>
          </cell>
          <cell r="G1354" t="str">
            <v>12531177</v>
          </cell>
          <cell r="H1354" t="str">
            <v>Klemmbuchse ID6 AD30 H20</v>
          </cell>
          <cell r="I1354">
            <v>121</v>
          </cell>
          <cell r="J1354" t="str">
            <v>Stk</v>
          </cell>
          <cell r="K1354">
            <v>45681</v>
          </cell>
          <cell r="L1354" t="str">
            <v>829052</v>
          </cell>
          <cell r="M1354" t="str">
            <v/>
          </cell>
          <cell r="N1354" t="str">
            <v/>
          </cell>
          <cell r="O1354" t="str">
            <v/>
          </cell>
          <cell r="P1354" t="str">
            <v/>
          </cell>
          <cell r="Q1354" t="str">
            <v/>
          </cell>
          <cell r="R1354" t="str">
            <v/>
          </cell>
          <cell r="S1354" t="str">
            <v/>
          </cell>
          <cell r="T1354" t="str">
            <v/>
          </cell>
          <cell r="U1354" t="str">
            <v/>
          </cell>
          <cell r="V1354" t="str">
            <v>N52</v>
          </cell>
          <cell r="W1354" t="str">
            <v/>
          </cell>
          <cell r="X1354" t="str">
            <v/>
          </cell>
          <cell r="Y1354" t="str">
            <v/>
          </cell>
          <cell r="Z1354" t="str">
            <v/>
          </cell>
          <cell r="AA1354" t="str">
            <v/>
          </cell>
          <cell r="AB1354" t="str">
            <v>PA_4603025-UA.7005-4</v>
          </cell>
          <cell r="AC1354">
            <v>1</v>
          </cell>
          <cell r="AD1354" t="str">
            <v/>
          </cell>
          <cell r="AE1354">
            <v>0</v>
          </cell>
          <cell r="AF1354" t="str">
            <v/>
          </cell>
          <cell r="AG1354" t="str">
            <v>12531177</v>
          </cell>
          <cell r="AH1354">
            <v>44951.955694444441</v>
          </cell>
          <cell r="AI1354" t="str">
            <v>N52</v>
          </cell>
          <cell r="AJ1354" t="str">
            <v>F</v>
          </cell>
          <cell r="AK1354" t="str">
            <v/>
          </cell>
        </row>
        <row r="1355">
          <cell r="A1355" t="str">
            <v>12531177829051</v>
          </cell>
          <cell r="B1355" t="str">
            <v>Übergabe Task Force</v>
          </cell>
          <cell r="C1355">
            <v>12</v>
          </cell>
          <cell r="D1355" t="str">
            <v>EK65</v>
          </cell>
          <cell r="E1355" t="str">
            <v>703729</v>
          </cell>
          <cell r="F1355" t="str">
            <v>E</v>
          </cell>
          <cell r="G1355" t="str">
            <v>12531177</v>
          </cell>
          <cell r="H1355" t="str">
            <v>Klemmbuchse ID6 AD30 H20</v>
          </cell>
          <cell r="I1355">
            <v>377</v>
          </cell>
          <cell r="J1355" t="str">
            <v>Stk</v>
          </cell>
          <cell r="K1355">
            <v>45682</v>
          </cell>
          <cell r="L1355" t="str">
            <v>829051</v>
          </cell>
          <cell r="M1355" t="str">
            <v/>
          </cell>
          <cell r="N1355" t="str">
            <v/>
          </cell>
          <cell r="O1355" t="str">
            <v/>
          </cell>
          <cell r="P1355" t="str">
            <v/>
          </cell>
          <cell r="Q1355" t="str">
            <v/>
          </cell>
          <cell r="R1355" t="str">
            <v/>
          </cell>
          <cell r="S1355" t="str">
            <v/>
          </cell>
          <cell r="T1355" t="str">
            <v/>
          </cell>
          <cell r="U1355" t="str">
            <v/>
          </cell>
          <cell r="V1355" t="str">
            <v>N52</v>
          </cell>
          <cell r="W1355" t="str">
            <v/>
          </cell>
          <cell r="X1355" t="str">
            <v/>
          </cell>
          <cell r="Y1355" t="str">
            <v/>
          </cell>
          <cell r="Z1355" t="str">
            <v/>
          </cell>
          <cell r="AA1355" t="str">
            <v/>
          </cell>
          <cell r="AB1355" t="str">
            <v>PA_4603025-UA.7005-4</v>
          </cell>
          <cell r="AC1355">
            <v>1</v>
          </cell>
          <cell r="AD1355" t="str">
            <v/>
          </cell>
          <cell r="AE1355">
            <v>0</v>
          </cell>
          <cell r="AF1355" t="str">
            <v/>
          </cell>
          <cell r="AG1355" t="str">
            <v>12531177</v>
          </cell>
          <cell r="AH1355">
            <v>44951.955694444441</v>
          </cell>
          <cell r="AI1355" t="str">
            <v>N52</v>
          </cell>
          <cell r="AJ1355" t="str">
            <v>F</v>
          </cell>
          <cell r="AK1355" t="str">
            <v/>
          </cell>
        </row>
        <row r="1356">
          <cell r="A1356" t="str">
            <v>12531971829053</v>
          </cell>
          <cell r="B1356" t="str">
            <v>Übergabe Task Force</v>
          </cell>
          <cell r="C1356">
            <v>24</v>
          </cell>
          <cell r="D1356" t="str">
            <v>EK65</v>
          </cell>
          <cell r="E1356" t="str">
            <v>703730</v>
          </cell>
          <cell r="F1356" t="str">
            <v>E</v>
          </cell>
          <cell r="G1356" t="str">
            <v>12531971</v>
          </cell>
          <cell r="H1356" t="str">
            <v>Gewindeplatte</v>
          </cell>
          <cell r="I1356">
            <v>207</v>
          </cell>
          <cell r="J1356" t="str">
            <v>Stk</v>
          </cell>
          <cell r="K1356">
            <v>45230</v>
          </cell>
          <cell r="L1356" t="str">
            <v>829053</v>
          </cell>
          <cell r="M1356" t="str">
            <v/>
          </cell>
          <cell r="N1356" t="str">
            <v/>
          </cell>
          <cell r="O1356" t="str">
            <v/>
          </cell>
          <cell r="P1356" t="str">
            <v/>
          </cell>
          <cell r="Q1356" t="str">
            <v/>
          </cell>
          <cell r="R1356" t="str">
            <v/>
          </cell>
          <cell r="S1356" t="str">
            <v/>
          </cell>
          <cell r="T1356" t="str">
            <v/>
          </cell>
          <cell r="U1356" t="str">
            <v/>
          </cell>
          <cell r="V1356" t="str">
            <v>N52</v>
          </cell>
          <cell r="W1356" t="str">
            <v/>
          </cell>
          <cell r="X1356" t="str">
            <v/>
          </cell>
          <cell r="Y1356" t="str">
            <v/>
          </cell>
          <cell r="Z1356" t="str">
            <v/>
          </cell>
          <cell r="AA1356" t="str">
            <v/>
          </cell>
          <cell r="AB1356" t="str">
            <v>PA_4598784-FB.7005-4</v>
          </cell>
          <cell r="AC1356">
            <v>1</v>
          </cell>
          <cell r="AD1356" t="str">
            <v/>
          </cell>
          <cell r="AE1356">
            <v>0</v>
          </cell>
          <cell r="AF1356" t="str">
            <v/>
          </cell>
          <cell r="AG1356" t="str">
            <v>12531971</v>
          </cell>
          <cell r="AH1356">
            <v>44951.955729166664</v>
          </cell>
          <cell r="AI1356" t="str">
            <v>N52</v>
          </cell>
          <cell r="AJ1356" t="str">
            <v>F</v>
          </cell>
          <cell r="AK1356" t="str">
            <v/>
          </cell>
        </row>
        <row r="1357">
          <cell r="A1357" t="str">
            <v>12531971829054</v>
          </cell>
          <cell r="B1357" t="str">
            <v>Übergabe Task Force</v>
          </cell>
          <cell r="C1357">
            <v>24</v>
          </cell>
          <cell r="D1357" t="str">
            <v>EK65</v>
          </cell>
          <cell r="E1357" t="str">
            <v>703731</v>
          </cell>
          <cell r="F1357" t="str">
            <v>E</v>
          </cell>
          <cell r="G1357" t="str">
            <v>12531971</v>
          </cell>
          <cell r="H1357" t="str">
            <v>Gewindeplatte</v>
          </cell>
          <cell r="I1357">
            <v>33</v>
          </cell>
          <cell r="J1357" t="str">
            <v>Stk</v>
          </cell>
          <cell r="K1357">
            <v>45238</v>
          </cell>
          <cell r="L1357" t="str">
            <v>829054</v>
          </cell>
          <cell r="M1357" t="str">
            <v/>
          </cell>
          <cell r="N1357" t="str">
            <v/>
          </cell>
          <cell r="O1357" t="str">
            <v/>
          </cell>
          <cell r="P1357" t="str">
            <v/>
          </cell>
          <cell r="Q1357" t="str">
            <v/>
          </cell>
          <cell r="R1357" t="str">
            <v/>
          </cell>
          <cell r="S1357" t="str">
            <v/>
          </cell>
          <cell r="T1357" t="str">
            <v/>
          </cell>
          <cell r="U1357" t="str">
            <v/>
          </cell>
          <cell r="V1357" t="str">
            <v>N52</v>
          </cell>
          <cell r="W1357" t="str">
            <v/>
          </cell>
          <cell r="X1357" t="str">
            <v/>
          </cell>
          <cell r="Y1357" t="str">
            <v/>
          </cell>
          <cell r="Z1357" t="str">
            <v/>
          </cell>
          <cell r="AA1357" t="str">
            <v/>
          </cell>
          <cell r="AB1357" t="str">
            <v>PA_4598784-FB.7005-4</v>
          </cell>
          <cell r="AC1357">
            <v>1</v>
          </cell>
          <cell r="AD1357" t="str">
            <v/>
          </cell>
          <cell r="AE1357">
            <v>0</v>
          </cell>
          <cell r="AF1357" t="str">
            <v/>
          </cell>
          <cell r="AG1357" t="str">
            <v>12531971</v>
          </cell>
          <cell r="AH1357">
            <v>44951.955729166664</v>
          </cell>
          <cell r="AI1357" t="str">
            <v>N52</v>
          </cell>
          <cell r="AJ1357" t="str">
            <v>F</v>
          </cell>
          <cell r="AK1357" t="str">
            <v/>
          </cell>
        </row>
        <row r="1358">
          <cell r="A1358" t="str">
            <v>12531971829051</v>
          </cell>
          <cell r="B1358" t="str">
            <v>BL20230413-2</v>
          </cell>
          <cell r="C1358">
            <v>24</v>
          </cell>
          <cell r="D1358" t="str">
            <v>EK65</v>
          </cell>
          <cell r="E1358" t="str">
            <v>703732</v>
          </cell>
          <cell r="F1358" t="str">
            <v>E</v>
          </cell>
          <cell r="G1358" t="str">
            <v>12531971</v>
          </cell>
          <cell r="H1358" t="str">
            <v>Gewindeplatte</v>
          </cell>
          <cell r="I1358">
            <v>363</v>
          </cell>
          <cell r="J1358" t="str">
            <v>Stk</v>
          </cell>
          <cell r="K1358">
            <v>45342</v>
          </cell>
          <cell r="L1358" t="str">
            <v>829051</v>
          </cell>
          <cell r="M1358" t="str">
            <v/>
          </cell>
          <cell r="N1358" t="str">
            <v/>
          </cell>
          <cell r="O1358" t="str">
            <v/>
          </cell>
          <cell r="P1358" t="str">
            <v/>
          </cell>
          <cell r="Q1358" t="str">
            <v/>
          </cell>
          <cell r="R1358" t="str">
            <v/>
          </cell>
          <cell r="S1358" t="str">
            <v/>
          </cell>
          <cell r="T1358" t="str">
            <v/>
          </cell>
          <cell r="U1358" t="str">
            <v/>
          </cell>
          <cell r="V1358" t="str">
            <v>N52</v>
          </cell>
          <cell r="W1358" t="str">
            <v/>
          </cell>
          <cell r="X1358" t="str">
            <v/>
          </cell>
          <cell r="Y1358" t="str">
            <v/>
          </cell>
          <cell r="Z1358" t="str">
            <v/>
          </cell>
          <cell r="AA1358" t="str">
            <v/>
          </cell>
          <cell r="AB1358" t="str">
            <v>PA_4598784-FB.7005-4</v>
          </cell>
          <cell r="AC1358">
            <v>1</v>
          </cell>
          <cell r="AD1358" t="str">
            <v/>
          </cell>
          <cell r="AE1358">
            <v>0</v>
          </cell>
          <cell r="AF1358" t="str">
            <v/>
          </cell>
          <cell r="AG1358" t="str">
            <v>12531971</v>
          </cell>
          <cell r="AH1358">
            <v>44951.955729166664</v>
          </cell>
          <cell r="AI1358" t="str">
            <v>N52</v>
          </cell>
          <cell r="AJ1358" t="str">
            <v>F</v>
          </cell>
          <cell r="AK1358" t="str">
            <v/>
          </cell>
        </row>
        <row r="1359">
          <cell r="A1359" t="str">
            <v>12531971829052</v>
          </cell>
          <cell r="B1359" t="str">
            <v>Übergabe Task Force</v>
          </cell>
          <cell r="C1359">
            <v>24</v>
          </cell>
          <cell r="D1359" t="str">
            <v>EK65</v>
          </cell>
          <cell r="E1359" t="str">
            <v>703733</v>
          </cell>
          <cell r="F1359" t="str">
            <v>E</v>
          </cell>
          <cell r="G1359" t="str">
            <v>12531971</v>
          </cell>
          <cell r="H1359" t="str">
            <v>Gewindeplatte</v>
          </cell>
          <cell r="I1359">
            <v>62</v>
          </cell>
          <cell r="J1359" t="str">
            <v>Stk</v>
          </cell>
          <cell r="K1359">
            <v>45377</v>
          </cell>
          <cell r="L1359" t="str">
            <v>829052</v>
          </cell>
          <cell r="M1359" t="str">
            <v/>
          </cell>
          <cell r="N1359" t="str">
            <v/>
          </cell>
          <cell r="O1359" t="str">
            <v/>
          </cell>
          <cell r="P1359" t="str">
            <v/>
          </cell>
          <cell r="Q1359" t="str">
            <v/>
          </cell>
          <cell r="R1359" t="str">
            <v/>
          </cell>
          <cell r="S1359" t="str">
            <v/>
          </cell>
          <cell r="T1359" t="str">
            <v/>
          </cell>
          <cell r="U1359" t="str">
            <v/>
          </cell>
          <cell r="V1359" t="str">
            <v>N52</v>
          </cell>
          <cell r="W1359" t="str">
            <v/>
          </cell>
          <cell r="X1359" t="str">
            <v/>
          </cell>
          <cell r="Y1359" t="str">
            <v/>
          </cell>
          <cell r="Z1359" t="str">
            <v/>
          </cell>
          <cell r="AA1359" t="str">
            <v/>
          </cell>
          <cell r="AB1359" t="str">
            <v>PA_4598784-FB.7005-4</v>
          </cell>
          <cell r="AC1359">
            <v>1</v>
          </cell>
          <cell r="AD1359" t="str">
            <v/>
          </cell>
          <cell r="AE1359">
            <v>0</v>
          </cell>
          <cell r="AF1359" t="str">
            <v/>
          </cell>
          <cell r="AG1359" t="str">
            <v>12531971</v>
          </cell>
          <cell r="AH1359">
            <v>44951.955729166664</v>
          </cell>
          <cell r="AI1359" t="str">
            <v>N52</v>
          </cell>
          <cell r="AJ1359" t="str">
            <v>F</v>
          </cell>
          <cell r="AK1359" t="str">
            <v/>
          </cell>
        </row>
        <row r="1360">
          <cell r="A1360" t="str">
            <v>12532346829053</v>
          </cell>
          <cell r="B1360">
            <v>0</v>
          </cell>
          <cell r="C1360">
            <v>4</v>
          </cell>
          <cell r="D1360" t="str">
            <v>EK65</v>
          </cell>
          <cell r="E1360" t="str">
            <v>703738</v>
          </cell>
          <cell r="F1360" t="str">
            <v>E</v>
          </cell>
          <cell r="G1360" t="str">
            <v>12532346</v>
          </cell>
          <cell r="H1360" t="str">
            <v>Flanschplatte</v>
          </cell>
          <cell r="I1360">
            <v>47</v>
          </cell>
          <cell r="J1360" t="str">
            <v>Stk</v>
          </cell>
          <cell r="K1360">
            <v>45114</v>
          </cell>
          <cell r="L1360" t="str">
            <v>829053</v>
          </cell>
          <cell r="M1360" t="str">
            <v/>
          </cell>
          <cell r="N1360" t="str">
            <v/>
          </cell>
          <cell r="O1360" t="str">
            <v/>
          </cell>
          <cell r="P1360" t="str">
            <v/>
          </cell>
          <cell r="Q1360" t="str">
            <v/>
          </cell>
          <cell r="R1360" t="str">
            <v/>
          </cell>
          <cell r="S1360" t="str">
            <v/>
          </cell>
          <cell r="T1360" t="str">
            <v/>
          </cell>
          <cell r="U1360" t="str">
            <v/>
          </cell>
          <cell r="V1360" t="str">
            <v>N52</v>
          </cell>
          <cell r="W1360" t="str">
            <v/>
          </cell>
          <cell r="X1360" t="str">
            <v/>
          </cell>
          <cell r="Y1360" t="str">
            <v/>
          </cell>
          <cell r="Z1360" t="str">
            <v/>
          </cell>
          <cell r="AA1360" t="str">
            <v/>
          </cell>
          <cell r="AB1360" t="str">
            <v>PA_2314958-TB.7005-3</v>
          </cell>
          <cell r="AC1360">
            <v>1</v>
          </cell>
          <cell r="AD1360" t="str">
            <v/>
          </cell>
          <cell r="AE1360">
            <v>0</v>
          </cell>
          <cell r="AF1360" t="str">
            <v/>
          </cell>
          <cell r="AG1360" t="str">
            <v>12532346</v>
          </cell>
          <cell r="AH1360">
            <v>44951.955763888887</v>
          </cell>
          <cell r="AI1360" t="str">
            <v>N52</v>
          </cell>
          <cell r="AJ1360" t="str">
            <v>F</v>
          </cell>
          <cell r="AK1360" t="str">
            <v/>
          </cell>
        </row>
        <row r="1361">
          <cell r="A1361" t="str">
            <v>12532710829053</v>
          </cell>
          <cell r="B1361" t="str">
            <v>Übergabe Task Force</v>
          </cell>
          <cell r="C1361">
            <v>16</v>
          </cell>
          <cell r="D1361" t="str">
            <v>EK65</v>
          </cell>
          <cell r="E1361" t="str">
            <v>703740</v>
          </cell>
          <cell r="F1361" t="str">
            <v>E</v>
          </cell>
          <cell r="G1361" t="str">
            <v>12532710</v>
          </cell>
          <cell r="H1361" t="str">
            <v>Kabelkanal</v>
          </cell>
          <cell r="I1361">
            <v>149</v>
          </cell>
          <cell r="J1361" t="str">
            <v>Stk</v>
          </cell>
          <cell r="K1361">
            <v>45500</v>
          </cell>
          <cell r="L1361" t="str">
            <v>829053</v>
          </cell>
          <cell r="M1361" t="str">
            <v/>
          </cell>
          <cell r="N1361" t="str">
            <v/>
          </cell>
          <cell r="O1361" t="str">
            <v/>
          </cell>
          <cell r="P1361" t="str">
            <v/>
          </cell>
          <cell r="Q1361" t="str">
            <v/>
          </cell>
          <cell r="R1361" t="str">
            <v/>
          </cell>
          <cell r="S1361" t="str">
            <v/>
          </cell>
          <cell r="T1361" t="str">
            <v/>
          </cell>
          <cell r="U1361" t="str">
            <v/>
          </cell>
          <cell r="V1361" t="str">
            <v>N52</v>
          </cell>
          <cell r="W1361" t="str">
            <v/>
          </cell>
          <cell r="X1361" t="str">
            <v/>
          </cell>
          <cell r="Y1361" t="str">
            <v/>
          </cell>
          <cell r="Z1361" t="str">
            <v/>
          </cell>
          <cell r="AA1361" t="str">
            <v/>
          </cell>
          <cell r="AB1361" t="str">
            <v>PA_4467581-UA.7005-2</v>
          </cell>
          <cell r="AC1361">
            <v>1</v>
          </cell>
          <cell r="AD1361" t="str">
            <v/>
          </cell>
          <cell r="AE1361">
            <v>0</v>
          </cell>
          <cell r="AF1361" t="str">
            <v/>
          </cell>
          <cell r="AG1361" t="str">
            <v>12532710</v>
          </cell>
          <cell r="AH1361">
            <v>44951.955787037034</v>
          </cell>
          <cell r="AI1361" t="str">
            <v>N52</v>
          </cell>
          <cell r="AJ1361" t="str">
            <v>F</v>
          </cell>
          <cell r="AK1361" t="str">
            <v/>
          </cell>
        </row>
        <row r="1362">
          <cell r="A1362" t="str">
            <v>12532710829052</v>
          </cell>
          <cell r="B1362" t="str">
            <v>Übergabe Task Force</v>
          </cell>
          <cell r="C1362">
            <v>16</v>
          </cell>
          <cell r="D1362" t="str">
            <v>EK65</v>
          </cell>
          <cell r="E1362" t="str">
            <v>703741</v>
          </cell>
          <cell r="F1362" t="str">
            <v>E</v>
          </cell>
          <cell r="G1362" t="str">
            <v>12532710</v>
          </cell>
          <cell r="H1362" t="str">
            <v>Kabelkanal</v>
          </cell>
          <cell r="I1362">
            <v>176</v>
          </cell>
          <cell r="J1362" t="str">
            <v>Stk</v>
          </cell>
          <cell r="K1362">
            <v>45681</v>
          </cell>
          <cell r="L1362" t="str">
            <v>829052</v>
          </cell>
          <cell r="M1362" t="str">
            <v/>
          </cell>
          <cell r="N1362" t="str">
            <v/>
          </cell>
          <cell r="O1362" t="str">
            <v/>
          </cell>
          <cell r="P1362" t="str">
            <v/>
          </cell>
          <cell r="Q1362" t="str">
            <v/>
          </cell>
          <cell r="R1362" t="str">
            <v/>
          </cell>
          <cell r="S1362" t="str">
            <v/>
          </cell>
          <cell r="T1362" t="str">
            <v/>
          </cell>
          <cell r="U1362" t="str">
            <v/>
          </cell>
          <cell r="V1362" t="str">
            <v>N52</v>
          </cell>
          <cell r="W1362" t="str">
            <v/>
          </cell>
          <cell r="X1362" t="str">
            <v/>
          </cell>
          <cell r="Y1362" t="str">
            <v/>
          </cell>
          <cell r="Z1362" t="str">
            <v/>
          </cell>
          <cell r="AA1362" t="str">
            <v/>
          </cell>
          <cell r="AB1362" t="str">
            <v>PA_4467581-UA.7005-2</v>
          </cell>
          <cell r="AC1362">
            <v>1</v>
          </cell>
          <cell r="AD1362" t="str">
            <v/>
          </cell>
          <cell r="AE1362">
            <v>0</v>
          </cell>
          <cell r="AF1362" t="str">
            <v/>
          </cell>
          <cell r="AG1362" t="str">
            <v>12532710</v>
          </cell>
          <cell r="AH1362">
            <v>44951.955787037034</v>
          </cell>
          <cell r="AI1362" t="str">
            <v>N52</v>
          </cell>
          <cell r="AJ1362" t="str">
            <v>F</v>
          </cell>
          <cell r="AK1362" t="str">
            <v/>
          </cell>
        </row>
        <row r="1363">
          <cell r="A1363" t="str">
            <v>12532710829051</v>
          </cell>
          <cell r="B1363" t="str">
            <v>Übergabe Task Force</v>
          </cell>
          <cell r="C1363">
            <v>16</v>
          </cell>
          <cell r="D1363" t="str">
            <v>EK65</v>
          </cell>
          <cell r="E1363" t="str">
            <v>703742</v>
          </cell>
          <cell r="F1363" t="str">
            <v>E</v>
          </cell>
          <cell r="G1363" t="str">
            <v>12532710</v>
          </cell>
          <cell r="H1363" t="str">
            <v>Kabelkanal</v>
          </cell>
          <cell r="I1363">
            <v>454</v>
          </cell>
          <cell r="J1363" t="str">
            <v>Stk</v>
          </cell>
          <cell r="K1363">
            <v>45682</v>
          </cell>
          <cell r="L1363" t="str">
            <v>829051</v>
          </cell>
          <cell r="M1363" t="str">
            <v/>
          </cell>
          <cell r="N1363" t="str">
            <v/>
          </cell>
          <cell r="O1363" t="str">
            <v/>
          </cell>
          <cell r="P1363" t="str">
            <v/>
          </cell>
          <cell r="Q1363" t="str">
            <v/>
          </cell>
          <cell r="R1363" t="str">
            <v/>
          </cell>
          <cell r="S1363" t="str">
            <v/>
          </cell>
          <cell r="T1363" t="str">
            <v/>
          </cell>
          <cell r="U1363" t="str">
            <v/>
          </cell>
          <cell r="V1363" t="str">
            <v>N52</v>
          </cell>
          <cell r="W1363" t="str">
            <v/>
          </cell>
          <cell r="X1363" t="str">
            <v/>
          </cell>
          <cell r="Y1363" t="str">
            <v/>
          </cell>
          <cell r="Z1363" t="str">
            <v/>
          </cell>
          <cell r="AA1363" t="str">
            <v/>
          </cell>
          <cell r="AB1363" t="str">
            <v>PA_4467581-UA.7005-2</v>
          </cell>
          <cell r="AC1363">
            <v>1</v>
          </cell>
          <cell r="AD1363" t="str">
            <v/>
          </cell>
          <cell r="AE1363">
            <v>0</v>
          </cell>
          <cell r="AF1363" t="str">
            <v/>
          </cell>
          <cell r="AG1363" t="str">
            <v>12532710</v>
          </cell>
          <cell r="AH1363">
            <v>44951.955787037034</v>
          </cell>
          <cell r="AI1363" t="str">
            <v>N52</v>
          </cell>
          <cell r="AJ1363" t="str">
            <v>F</v>
          </cell>
          <cell r="AK1363" t="str">
            <v/>
          </cell>
        </row>
        <row r="1364">
          <cell r="A1364" t="str">
            <v>12532721829052</v>
          </cell>
          <cell r="B1364" t="str">
            <v>Übergabe Task Force</v>
          </cell>
          <cell r="C1364">
            <v>15</v>
          </cell>
          <cell r="D1364" t="str">
            <v>EK65</v>
          </cell>
          <cell r="E1364" t="str">
            <v>703743</v>
          </cell>
          <cell r="F1364" t="str">
            <v>E</v>
          </cell>
          <cell r="G1364" t="str">
            <v>12532721</v>
          </cell>
          <cell r="H1364" t="str">
            <v>Blech</v>
          </cell>
          <cell r="I1364">
            <v>60</v>
          </cell>
          <cell r="J1364" t="str">
            <v>Stk</v>
          </cell>
          <cell r="K1364">
            <v>45681</v>
          </cell>
          <cell r="L1364" t="str">
            <v>829052</v>
          </cell>
          <cell r="M1364" t="str">
            <v/>
          </cell>
          <cell r="N1364" t="str">
            <v/>
          </cell>
          <cell r="O1364" t="str">
            <v/>
          </cell>
          <cell r="P1364" t="str">
            <v/>
          </cell>
          <cell r="Q1364" t="str">
            <v/>
          </cell>
          <cell r="R1364" t="str">
            <v/>
          </cell>
          <cell r="S1364" t="str">
            <v/>
          </cell>
          <cell r="T1364" t="str">
            <v/>
          </cell>
          <cell r="U1364" t="str">
            <v/>
          </cell>
          <cell r="V1364" t="str">
            <v>N52</v>
          </cell>
          <cell r="W1364" t="str">
            <v/>
          </cell>
          <cell r="X1364" t="str">
            <v/>
          </cell>
          <cell r="Y1364" t="str">
            <v/>
          </cell>
          <cell r="Z1364" t="str">
            <v/>
          </cell>
          <cell r="AA1364" t="str">
            <v/>
          </cell>
          <cell r="AB1364" t="str">
            <v>PA_4534931-UA.7005-3</v>
          </cell>
          <cell r="AC1364">
            <v>1</v>
          </cell>
          <cell r="AD1364" t="str">
            <v/>
          </cell>
          <cell r="AE1364">
            <v>0</v>
          </cell>
          <cell r="AF1364" t="str">
            <v/>
          </cell>
          <cell r="AG1364" t="str">
            <v>12532721</v>
          </cell>
          <cell r="AH1364">
            <v>44951.955821759257</v>
          </cell>
          <cell r="AI1364" t="str">
            <v>N52</v>
          </cell>
          <cell r="AJ1364" t="str">
            <v>F</v>
          </cell>
          <cell r="AK1364" t="str">
            <v/>
          </cell>
        </row>
        <row r="1365">
          <cell r="A1365" t="str">
            <v>12532721829051</v>
          </cell>
          <cell r="B1365" t="str">
            <v>Übergabe Task Force</v>
          </cell>
          <cell r="C1365">
            <v>15</v>
          </cell>
          <cell r="D1365" t="str">
            <v>EK65</v>
          </cell>
          <cell r="E1365" t="str">
            <v>703744</v>
          </cell>
          <cell r="F1365" t="str">
            <v>E</v>
          </cell>
          <cell r="G1365" t="str">
            <v>12532721</v>
          </cell>
          <cell r="H1365" t="str">
            <v>Blech</v>
          </cell>
          <cell r="I1365">
            <v>179</v>
          </cell>
          <cell r="J1365" t="str">
            <v>Stk</v>
          </cell>
          <cell r="K1365">
            <v>45682</v>
          </cell>
          <cell r="L1365" t="str">
            <v>829051</v>
          </cell>
          <cell r="M1365" t="str">
            <v/>
          </cell>
          <cell r="N1365" t="str">
            <v/>
          </cell>
          <cell r="O1365" t="str">
            <v/>
          </cell>
          <cell r="P1365" t="str">
            <v/>
          </cell>
          <cell r="Q1365" t="str">
            <v/>
          </cell>
          <cell r="R1365" t="str">
            <v/>
          </cell>
          <cell r="S1365" t="str">
            <v/>
          </cell>
          <cell r="T1365" t="str">
            <v/>
          </cell>
          <cell r="U1365" t="str">
            <v/>
          </cell>
          <cell r="V1365" t="str">
            <v>N52</v>
          </cell>
          <cell r="W1365" t="str">
            <v/>
          </cell>
          <cell r="X1365" t="str">
            <v/>
          </cell>
          <cell r="Y1365" t="str">
            <v/>
          </cell>
          <cell r="Z1365" t="str">
            <v/>
          </cell>
          <cell r="AA1365" t="str">
            <v/>
          </cell>
          <cell r="AB1365" t="str">
            <v>PA_4534931-UA.7005-3</v>
          </cell>
          <cell r="AC1365">
            <v>1</v>
          </cell>
          <cell r="AD1365" t="str">
            <v/>
          </cell>
          <cell r="AE1365">
            <v>0</v>
          </cell>
          <cell r="AF1365" t="str">
            <v/>
          </cell>
          <cell r="AG1365" t="str">
            <v>12532721</v>
          </cell>
          <cell r="AH1365">
            <v>44951.955821759257</v>
          </cell>
          <cell r="AI1365" t="str">
            <v>N52</v>
          </cell>
          <cell r="AJ1365" t="str">
            <v>F</v>
          </cell>
          <cell r="AK1365" t="str">
            <v/>
          </cell>
        </row>
        <row r="1366">
          <cell r="A1366" t="str">
            <v>12532845829053</v>
          </cell>
          <cell r="B1366" t="str">
            <v>Übergabe Task Force</v>
          </cell>
          <cell r="C1366">
            <v>6</v>
          </cell>
          <cell r="D1366" t="str">
            <v>EK65</v>
          </cell>
          <cell r="E1366" t="str">
            <v>703745</v>
          </cell>
          <cell r="F1366" t="str">
            <v>E</v>
          </cell>
          <cell r="G1366" t="str">
            <v>12532845</v>
          </cell>
          <cell r="H1366" t="str">
            <v>Tragschiene 179</v>
          </cell>
          <cell r="I1366">
            <v>24</v>
          </cell>
          <cell r="J1366" t="str">
            <v>Stk</v>
          </cell>
          <cell r="K1366">
            <v>45153</v>
          </cell>
          <cell r="L1366" t="str">
            <v>829053</v>
          </cell>
          <cell r="M1366" t="str">
            <v/>
          </cell>
          <cell r="N1366" t="str">
            <v/>
          </cell>
          <cell r="O1366" t="str">
            <v/>
          </cell>
          <cell r="P1366" t="str">
            <v/>
          </cell>
          <cell r="Q1366" t="str">
            <v/>
          </cell>
          <cell r="R1366" t="str">
            <v/>
          </cell>
          <cell r="S1366" t="str">
            <v/>
          </cell>
          <cell r="T1366" t="str">
            <v/>
          </cell>
          <cell r="U1366" t="str">
            <v/>
          </cell>
          <cell r="V1366" t="str">
            <v>N52</v>
          </cell>
          <cell r="W1366" t="str">
            <v/>
          </cell>
          <cell r="X1366" t="str">
            <v/>
          </cell>
          <cell r="Y1366" t="str">
            <v/>
          </cell>
          <cell r="Z1366" t="str">
            <v/>
          </cell>
          <cell r="AA1366" t="str">
            <v/>
          </cell>
          <cell r="AB1366" t="str">
            <v>PA_4612487-UA.7005-3</v>
          </cell>
          <cell r="AC1366">
            <v>1</v>
          </cell>
          <cell r="AD1366" t="str">
            <v/>
          </cell>
          <cell r="AE1366">
            <v>0</v>
          </cell>
          <cell r="AF1366" t="str">
            <v/>
          </cell>
          <cell r="AG1366" t="str">
            <v>12532845</v>
          </cell>
          <cell r="AH1366">
            <v>44951.955879629626</v>
          </cell>
          <cell r="AI1366" t="str">
            <v>N52</v>
          </cell>
          <cell r="AJ1366" t="str">
            <v>F</v>
          </cell>
          <cell r="AK1366" t="str">
            <v/>
          </cell>
        </row>
        <row r="1367">
          <cell r="A1367" t="str">
            <v>12532845829054</v>
          </cell>
          <cell r="B1367" t="str">
            <v>Übergabe Task Force</v>
          </cell>
          <cell r="C1367">
            <v>6</v>
          </cell>
          <cell r="D1367" t="str">
            <v>EK65</v>
          </cell>
          <cell r="E1367" t="str">
            <v>703746</v>
          </cell>
          <cell r="F1367" t="str">
            <v>E</v>
          </cell>
          <cell r="G1367" t="str">
            <v>12532845</v>
          </cell>
          <cell r="H1367" t="str">
            <v>Tragschiene 179</v>
          </cell>
          <cell r="I1367">
            <v>8</v>
          </cell>
          <cell r="J1367" t="str">
            <v>Stk</v>
          </cell>
          <cell r="K1367">
            <v>45167</v>
          </cell>
          <cell r="L1367" t="str">
            <v>829054</v>
          </cell>
          <cell r="M1367" t="str">
            <v/>
          </cell>
          <cell r="N1367" t="str">
            <v/>
          </cell>
          <cell r="O1367" t="str">
            <v/>
          </cell>
          <cell r="P1367" t="str">
            <v/>
          </cell>
          <cell r="Q1367" t="str">
            <v/>
          </cell>
          <cell r="R1367" t="str">
            <v/>
          </cell>
          <cell r="S1367" t="str">
            <v/>
          </cell>
          <cell r="T1367" t="str">
            <v/>
          </cell>
          <cell r="U1367" t="str">
            <v/>
          </cell>
          <cell r="V1367" t="str">
            <v>N52</v>
          </cell>
          <cell r="W1367" t="str">
            <v/>
          </cell>
          <cell r="X1367" t="str">
            <v/>
          </cell>
          <cell r="Y1367" t="str">
            <v/>
          </cell>
          <cell r="Z1367" t="str">
            <v/>
          </cell>
          <cell r="AA1367" t="str">
            <v/>
          </cell>
          <cell r="AB1367" t="str">
            <v>PA_4612487-UA.7005-3</v>
          </cell>
          <cell r="AC1367">
            <v>1</v>
          </cell>
          <cell r="AD1367" t="str">
            <v/>
          </cell>
          <cell r="AE1367">
            <v>0</v>
          </cell>
          <cell r="AF1367" t="str">
            <v/>
          </cell>
          <cell r="AG1367" t="str">
            <v>12532845</v>
          </cell>
          <cell r="AH1367">
            <v>44951.955879629626</v>
          </cell>
          <cell r="AI1367" t="str">
            <v>N52</v>
          </cell>
          <cell r="AJ1367" t="str">
            <v>F</v>
          </cell>
          <cell r="AK1367" t="str">
            <v/>
          </cell>
        </row>
        <row r="1368">
          <cell r="A1368" t="str">
            <v>12533484829054</v>
          </cell>
          <cell r="B1368" t="str">
            <v>Übergabe Task Force</v>
          </cell>
          <cell r="C1368">
            <v>20</v>
          </cell>
          <cell r="D1368" t="str">
            <v>EK65</v>
          </cell>
          <cell r="E1368" t="str">
            <v>703753</v>
          </cell>
          <cell r="F1368" t="str">
            <v>E</v>
          </cell>
          <cell r="G1368" t="str">
            <v>12533484</v>
          </cell>
          <cell r="H1368" t="str">
            <v>Kabelschutz</v>
          </cell>
          <cell r="I1368">
            <v>14</v>
          </cell>
          <cell r="J1368" t="str">
            <v>Stk</v>
          </cell>
          <cell r="K1368">
            <v>45189</v>
          </cell>
          <cell r="L1368" t="str">
            <v>829054</v>
          </cell>
          <cell r="M1368" t="str">
            <v/>
          </cell>
          <cell r="N1368" t="str">
            <v/>
          </cell>
          <cell r="O1368" t="str">
            <v/>
          </cell>
          <cell r="P1368" t="str">
            <v/>
          </cell>
          <cell r="Q1368" t="str">
            <v/>
          </cell>
          <cell r="R1368" t="str">
            <v/>
          </cell>
          <cell r="S1368" t="str">
            <v/>
          </cell>
          <cell r="T1368" t="str">
            <v/>
          </cell>
          <cell r="U1368" t="str">
            <v/>
          </cell>
          <cell r="V1368" t="str">
            <v>N52</v>
          </cell>
          <cell r="W1368" t="str">
            <v/>
          </cell>
          <cell r="X1368" t="str">
            <v/>
          </cell>
          <cell r="Y1368" t="str">
            <v/>
          </cell>
          <cell r="Z1368" t="str">
            <v/>
          </cell>
          <cell r="AA1368" t="str">
            <v/>
          </cell>
          <cell r="AB1368" t="str">
            <v>PA_2337209-UA.7005-4</v>
          </cell>
          <cell r="AC1368">
            <v>1</v>
          </cell>
          <cell r="AD1368" t="str">
            <v/>
          </cell>
          <cell r="AE1368">
            <v>0</v>
          </cell>
          <cell r="AF1368" t="str">
            <v/>
          </cell>
          <cell r="AG1368" t="str">
            <v>12533484</v>
          </cell>
          <cell r="AH1368">
            <v>44951.95590277778</v>
          </cell>
          <cell r="AI1368" t="str">
            <v>N52</v>
          </cell>
          <cell r="AJ1368" t="str">
            <v>F</v>
          </cell>
          <cell r="AK1368" t="str">
            <v/>
          </cell>
        </row>
        <row r="1369">
          <cell r="A1369" t="str">
            <v>12533484829052</v>
          </cell>
          <cell r="B1369" t="str">
            <v>Übergabe Task Force</v>
          </cell>
          <cell r="C1369">
            <v>20</v>
          </cell>
          <cell r="D1369" t="str">
            <v>EK65</v>
          </cell>
          <cell r="E1369" t="str">
            <v>703754</v>
          </cell>
          <cell r="F1369" t="str">
            <v>E</v>
          </cell>
          <cell r="G1369" t="str">
            <v>12533484</v>
          </cell>
          <cell r="H1369" t="str">
            <v>Kabelschutz</v>
          </cell>
          <cell r="I1369">
            <v>31</v>
          </cell>
          <cell r="J1369" t="str">
            <v>Stk</v>
          </cell>
          <cell r="K1369">
            <v>45681</v>
          </cell>
          <cell r="L1369" t="str">
            <v>829052</v>
          </cell>
          <cell r="M1369" t="str">
            <v/>
          </cell>
          <cell r="N1369" t="str">
            <v/>
          </cell>
          <cell r="O1369" t="str">
            <v/>
          </cell>
          <cell r="P1369" t="str">
            <v/>
          </cell>
          <cell r="Q1369" t="str">
            <v/>
          </cell>
          <cell r="R1369" t="str">
            <v/>
          </cell>
          <cell r="S1369" t="str">
            <v/>
          </cell>
          <cell r="T1369" t="str">
            <v/>
          </cell>
          <cell r="U1369" t="str">
            <v/>
          </cell>
          <cell r="V1369" t="str">
            <v>N52</v>
          </cell>
          <cell r="W1369" t="str">
            <v/>
          </cell>
          <cell r="X1369" t="str">
            <v/>
          </cell>
          <cell r="Y1369" t="str">
            <v/>
          </cell>
          <cell r="Z1369" t="str">
            <v/>
          </cell>
          <cell r="AA1369" t="str">
            <v/>
          </cell>
          <cell r="AB1369" t="str">
            <v>PA_2337209-UA.7005-4</v>
          </cell>
          <cell r="AC1369">
            <v>1</v>
          </cell>
          <cell r="AD1369" t="str">
            <v/>
          </cell>
          <cell r="AE1369">
            <v>0</v>
          </cell>
          <cell r="AF1369" t="str">
            <v/>
          </cell>
          <cell r="AG1369" t="str">
            <v>12533484</v>
          </cell>
          <cell r="AH1369">
            <v>44951.95590277778</v>
          </cell>
          <cell r="AI1369" t="str">
            <v>N52</v>
          </cell>
          <cell r="AJ1369" t="str">
            <v>F</v>
          </cell>
          <cell r="AK1369" t="str">
            <v/>
          </cell>
        </row>
        <row r="1370">
          <cell r="A1370" t="str">
            <v>12533484829051</v>
          </cell>
          <cell r="B1370" t="str">
            <v>Übergabe Task Force</v>
          </cell>
          <cell r="C1370">
            <v>20</v>
          </cell>
          <cell r="D1370" t="str">
            <v>EK65</v>
          </cell>
          <cell r="E1370" t="str">
            <v>703755</v>
          </cell>
          <cell r="F1370" t="str">
            <v>E</v>
          </cell>
          <cell r="G1370" t="str">
            <v>12533484</v>
          </cell>
          <cell r="H1370" t="str">
            <v>Kabelschutz</v>
          </cell>
          <cell r="I1370">
            <v>89</v>
          </cell>
          <cell r="J1370" t="str">
            <v>Stk</v>
          </cell>
          <cell r="K1370">
            <v>45682</v>
          </cell>
          <cell r="L1370" t="str">
            <v>829051</v>
          </cell>
          <cell r="M1370" t="str">
            <v/>
          </cell>
          <cell r="N1370" t="str">
            <v/>
          </cell>
          <cell r="O1370" t="str">
            <v/>
          </cell>
          <cell r="P1370" t="str">
            <v/>
          </cell>
          <cell r="Q1370" t="str">
            <v/>
          </cell>
          <cell r="R1370" t="str">
            <v/>
          </cell>
          <cell r="S1370" t="str">
            <v/>
          </cell>
          <cell r="T1370" t="str">
            <v/>
          </cell>
          <cell r="U1370" t="str">
            <v/>
          </cell>
          <cell r="V1370" t="str">
            <v>N52</v>
          </cell>
          <cell r="W1370" t="str">
            <v/>
          </cell>
          <cell r="X1370" t="str">
            <v/>
          </cell>
          <cell r="Y1370" t="str">
            <v/>
          </cell>
          <cell r="Z1370" t="str">
            <v/>
          </cell>
          <cell r="AA1370" t="str">
            <v/>
          </cell>
          <cell r="AB1370" t="str">
            <v>PA_2337209-UA.7005-4</v>
          </cell>
          <cell r="AC1370">
            <v>1</v>
          </cell>
          <cell r="AD1370" t="str">
            <v/>
          </cell>
          <cell r="AE1370">
            <v>0</v>
          </cell>
          <cell r="AF1370" t="str">
            <v/>
          </cell>
          <cell r="AG1370" t="str">
            <v>12533484</v>
          </cell>
          <cell r="AH1370">
            <v>44951.95590277778</v>
          </cell>
          <cell r="AI1370" t="str">
            <v>N52</v>
          </cell>
          <cell r="AJ1370" t="str">
            <v>F</v>
          </cell>
          <cell r="AK1370" t="str">
            <v/>
          </cell>
        </row>
        <row r="1371">
          <cell r="A1371" t="str">
            <v>12533499829054</v>
          </cell>
          <cell r="B1371" t="str">
            <v>Übergabe Task Force</v>
          </cell>
          <cell r="C1371">
            <v>20</v>
          </cell>
          <cell r="D1371" t="str">
            <v>EK65</v>
          </cell>
          <cell r="E1371" t="str">
            <v>703756</v>
          </cell>
          <cell r="F1371" t="str">
            <v>E</v>
          </cell>
          <cell r="G1371" t="str">
            <v>12533499</v>
          </cell>
          <cell r="H1371" t="str">
            <v>Halter</v>
          </cell>
          <cell r="I1371">
            <v>7</v>
          </cell>
          <cell r="J1371" t="str">
            <v>Stk</v>
          </cell>
          <cell r="K1371">
            <v>45189</v>
          </cell>
          <cell r="L1371" t="str">
            <v>829054</v>
          </cell>
          <cell r="M1371" t="str">
            <v/>
          </cell>
          <cell r="N1371" t="str">
            <v/>
          </cell>
          <cell r="O1371" t="str">
            <v/>
          </cell>
          <cell r="P1371" t="str">
            <v/>
          </cell>
          <cell r="Q1371" t="str">
            <v/>
          </cell>
          <cell r="R1371" t="str">
            <v/>
          </cell>
          <cell r="S1371" t="str">
            <v/>
          </cell>
          <cell r="T1371" t="str">
            <v/>
          </cell>
          <cell r="U1371" t="str">
            <v/>
          </cell>
          <cell r="V1371" t="str">
            <v>N52</v>
          </cell>
          <cell r="W1371" t="str">
            <v/>
          </cell>
          <cell r="X1371" t="str">
            <v/>
          </cell>
          <cell r="Y1371" t="str">
            <v/>
          </cell>
          <cell r="Z1371" t="str">
            <v/>
          </cell>
          <cell r="AA1371" t="str">
            <v/>
          </cell>
          <cell r="AB1371" t="str">
            <v>PA_2342546-UA.7005-2</v>
          </cell>
          <cell r="AC1371">
            <v>1</v>
          </cell>
          <cell r="AD1371" t="str">
            <v/>
          </cell>
          <cell r="AE1371">
            <v>0</v>
          </cell>
          <cell r="AF1371" t="str">
            <v/>
          </cell>
          <cell r="AG1371" t="str">
            <v>12533499</v>
          </cell>
          <cell r="AH1371">
            <v>44951.955925925926</v>
          </cell>
          <cell r="AI1371" t="str">
            <v>N52</v>
          </cell>
          <cell r="AJ1371" t="str">
            <v>F</v>
          </cell>
          <cell r="AK1371" t="str">
            <v/>
          </cell>
        </row>
        <row r="1372">
          <cell r="A1372" t="str">
            <v>12533499829052</v>
          </cell>
          <cell r="B1372" t="str">
            <v>Übergabe Task Force</v>
          </cell>
          <cell r="C1372">
            <v>20</v>
          </cell>
          <cell r="D1372" t="str">
            <v>EK65</v>
          </cell>
          <cell r="E1372" t="str">
            <v>703757</v>
          </cell>
          <cell r="F1372" t="str">
            <v>E</v>
          </cell>
          <cell r="G1372" t="str">
            <v>12533499</v>
          </cell>
          <cell r="H1372" t="str">
            <v>Halter</v>
          </cell>
          <cell r="I1372">
            <v>16</v>
          </cell>
          <cell r="J1372" t="str">
            <v>Stk</v>
          </cell>
          <cell r="K1372">
            <v>45681</v>
          </cell>
          <cell r="L1372" t="str">
            <v>829052</v>
          </cell>
          <cell r="M1372" t="str">
            <v/>
          </cell>
          <cell r="N1372" t="str">
            <v/>
          </cell>
          <cell r="O1372" t="str">
            <v/>
          </cell>
          <cell r="P1372" t="str">
            <v/>
          </cell>
          <cell r="Q1372" t="str">
            <v/>
          </cell>
          <cell r="R1372" t="str">
            <v/>
          </cell>
          <cell r="S1372" t="str">
            <v/>
          </cell>
          <cell r="T1372" t="str">
            <v/>
          </cell>
          <cell r="U1372" t="str">
            <v/>
          </cell>
          <cell r="V1372" t="str">
            <v>N52</v>
          </cell>
          <cell r="W1372" t="str">
            <v/>
          </cell>
          <cell r="X1372" t="str">
            <v/>
          </cell>
          <cell r="Y1372" t="str">
            <v/>
          </cell>
          <cell r="Z1372" t="str">
            <v/>
          </cell>
          <cell r="AA1372" t="str">
            <v/>
          </cell>
          <cell r="AB1372" t="str">
            <v>PA_2342546-UA.7005-2</v>
          </cell>
          <cell r="AC1372">
            <v>1</v>
          </cell>
          <cell r="AD1372" t="str">
            <v/>
          </cell>
          <cell r="AE1372">
            <v>0</v>
          </cell>
          <cell r="AF1372" t="str">
            <v/>
          </cell>
          <cell r="AG1372" t="str">
            <v>12533499</v>
          </cell>
          <cell r="AH1372">
            <v>44951.955925925926</v>
          </cell>
          <cell r="AI1372" t="str">
            <v>N52</v>
          </cell>
          <cell r="AJ1372" t="str">
            <v>F</v>
          </cell>
          <cell r="AK1372" t="str">
            <v/>
          </cell>
        </row>
        <row r="1373">
          <cell r="A1373" t="str">
            <v>12533499829051</v>
          </cell>
          <cell r="B1373" t="str">
            <v>Übergabe Task Force</v>
          </cell>
          <cell r="C1373">
            <v>20</v>
          </cell>
          <cell r="D1373" t="str">
            <v>EK65</v>
          </cell>
          <cell r="E1373" t="str">
            <v>703758</v>
          </cell>
          <cell r="F1373" t="str">
            <v>E</v>
          </cell>
          <cell r="G1373" t="str">
            <v>12533499</v>
          </cell>
          <cell r="H1373" t="str">
            <v>Halter</v>
          </cell>
          <cell r="I1373">
            <v>45</v>
          </cell>
          <cell r="J1373" t="str">
            <v>Stk</v>
          </cell>
          <cell r="K1373">
            <v>45682</v>
          </cell>
          <cell r="L1373" t="str">
            <v>829051</v>
          </cell>
          <cell r="M1373" t="str">
            <v/>
          </cell>
          <cell r="N1373" t="str">
            <v/>
          </cell>
          <cell r="O1373" t="str">
            <v/>
          </cell>
          <cell r="P1373" t="str">
            <v/>
          </cell>
          <cell r="Q1373" t="str">
            <v/>
          </cell>
          <cell r="R1373" t="str">
            <v/>
          </cell>
          <cell r="S1373" t="str">
            <v/>
          </cell>
          <cell r="T1373" t="str">
            <v/>
          </cell>
          <cell r="U1373" t="str">
            <v/>
          </cell>
          <cell r="V1373" t="str">
            <v>N52</v>
          </cell>
          <cell r="W1373" t="str">
            <v/>
          </cell>
          <cell r="X1373" t="str">
            <v/>
          </cell>
          <cell r="Y1373" t="str">
            <v/>
          </cell>
          <cell r="Z1373" t="str">
            <v/>
          </cell>
          <cell r="AA1373" t="str">
            <v/>
          </cell>
          <cell r="AB1373" t="str">
            <v>PA_2342546-UA.7005-2</v>
          </cell>
          <cell r="AC1373">
            <v>1</v>
          </cell>
          <cell r="AD1373" t="str">
            <v/>
          </cell>
          <cell r="AE1373">
            <v>0</v>
          </cell>
          <cell r="AF1373" t="str">
            <v/>
          </cell>
          <cell r="AG1373" t="str">
            <v>12533499</v>
          </cell>
          <cell r="AH1373">
            <v>44951.955925925926</v>
          </cell>
          <cell r="AI1373" t="str">
            <v>N52</v>
          </cell>
          <cell r="AJ1373" t="str">
            <v>F</v>
          </cell>
          <cell r="AK1373" t="str">
            <v/>
          </cell>
        </row>
        <row r="1374">
          <cell r="A1374" t="str">
            <v>12534207829054</v>
          </cell>
          <cell r="B1374" t="str">
            <v>Übergabe Task Force</v>
          </cell>
          <cell r="C1374">
            <v>20</v>
          </cell>
          <cell r="D1374" t="str">
            <v>EK65</v>
          </cell>
          <cell r="E1374" t="str">
            <v>703766</v>
          </cell>
          <cell r="F1374" t="str">
            <v>E</v>
          </cell>
          <cell r="G1374" t="str">
            <v>12534207</v>
          </cell>
          <cell r="H1374" t="str">
            <v>Kabelhalter</v>
          </cell>
          <cell r="I1374">
            <v>46</v>
          </cell>
          <cell r="J1374" t="str">
            <v>Stk</v>
          </cell>
          <cell r="K1374">
            <v>45167</v>
          </cell>
          <cell r="L1374" t="str">
            <v>829054</v>
          </cell>
          <cell r="M1374" t="str">
            <v/>
          </cell>
          <cell r="N1374" t="str">
            <v/>
          </cell>
          <cell r="O1374" t="str">
            <v/>
          </cell>
          <cell r="P1374" t="str">
            <v/>
          </cell>
          <cell r="Q1374" t="str">
            <v/>
          </cell>
          <cell r="R1374" t="str">
            <v/>
          </cell>
          <cell r="S1374" t="str">
            <v/>
          </cell>
          <cell r="T1374" t="str">
            <v/>
          </cell>
          <cell r="U1374" t="str">
            <v/>
          </cell>
          <cell r="V1374" t="str">
            <v>N52</v>
          </cell>
          <cell r="W1374" t="str">
            <v/>
          </cell>
          <cell r="X1374" t="str">
            <v/>
          </cell>
          <cell r="Y1374" t="str">
            <v/>
          </cell>
          <cell r="Z1374" t="str">
            <v/>
          </cell>
          <cell r="AA1374" t="str">
            <v/>
          </cell>
          <cell r="AB1374" t="str">
            <v>PA_4420801-UA.7005-3</v>
          </cell>
          <cell r="AC1374">
            <v>1</v>
          </cell>
          <cell r="AD1374" t="str">
            <v/>
          </cell>
          <cell r="AE1374">
            <v>0</v>
          </cell>
          <cell r="AF1374" t="str">
            <v/>
          </cell>
          <cell r="AG1374" t="str">
            <v>12534207</v>
          </cell>
          <cell r="AH1374">
            <v>44951.956030092595</v>
          </cell>
          <cell r="AI1374" t="str">
            <v>N52</v>
          </cell>
          <cell r="AJ1374" t="str">
            <v>F</v>
          </cell>
          <cell r="AK1374" t="str">
            <v/>
          </cell>
        </row>
        <row r="1375">
          <cell r="A1375" t="str">
            <v>12534207829052</v>
          </cell>
          <cell r="B1375" t="str">
            <v>Übergabe Task Force</v>
          </cell>
          <cell r="C1375">
            <v>20</v>
          </cell>
          <cell r="D1375" t="str">
            <v>EK65</v>
          </cell>
          <cell r="E1375" t="str">
            <v>703767</v>
          </cell>
          <cell r="F1375" t="str">
            <v>E</v>
          </cell>
          <cell r="G1375" t="str">
            <v>12534207</v>
          </cell>
          <cell r="H1375" t="str">
            <v>Kabelhalter</v>
          </cell>
          <cell r="I1375">
            <v>92</v>
          </cell>
          <cell r="J1375" t="str">
            <v>Stk</v>
          </cell>
          <cell r="K1375">
            <v>45681</v>
          </cell>
          <cell r="L1375" t="str">
            <v>829052</v>
          </cell>
          <cell r="M1375" t="str">
            <v/>
          </cell>
          <cell r="N1375" t="str">
            <v/>
          </cell>
          <cell r="O1375" t="str">
            <v/>
          </cell>
          <cell r="P1375" t="str">
            <v/>
          </cell>
          <cell r="Q1375" t="str">
            <v/>
          </cell>
          <cell r="R1375" t="str">
            <v/>
          </cell>
          <cell r="S1375" t="str">
            <v/>
          </cell>
          <cell r="T1375" t="str">
            <v/>
          </cell>
          <cell r="U1375" t="str">
            <v/>
          </cell>
          <cell r="V1375" t="str">
            <v>N52</v>
          </cell>
          <cell r="W1375" t="str">
            <v/>
          </cell>
          <cell r="X1375" t="str">
            <v/>
          </cell>
          <cell r="Y1375" t="str">
            <v/>
          </cell>
          <cell r="Z1375" t="str">
            <v/>
          </cell>
          <cell r="AA1375" t="str">
            <v/>
          </cell>
          <cell r="AB1375" t="str">
            <v>PA_4420801-UA.7005-3</v>
          </cell>
          <cell r="AC1375">
            <v>1</v>
          </cell>
          <cell r="AD1375" t="str">
            <v/>
          </cell>
          <cell r="AE1375">
            <v>0</v>
          </cell>
          <cell r="AF1375" t="str">
            <v/>
          </cell>
          <cell r="AG1375" t="str">
            <v>12534207</v>
          </cell>
          <cell r="AH1375">
            <v>44951.956030092595</v>
          </cell>
          <cell r="AI1375" t="str">
            <v>N52</v>
          </cell>
          <cell r="AJ1375" t="str">
            <v>F</v>
          </cell>
          <cell r="AK1375" t="str">
            <v/>
          </cell>
        </row>
        <row r="1376">
          <cell r="A1376" t="str">
            <v>12534207829051</v>
          </cell>
          <cell r="B1376" t="str">
            <v>Übergabe Task Force</v>
          </cell>
          <cell r="C1376">
            <v>20</v>
          </cell>
          <cell r="D1376" t="str">
            <v>EK65</v>
          </cell>
          <cell r="E1376" t="str">
            <v>703768</v>
          </cell>
          <cell r="F1376" t="str">
            <v>E</v>
          </cell>
          <cell r="G1376" t="str">
            <v>12534207</v>
          </cell>
          <cell r="H1376" t="str">
            <v>Kabelhalter</v>
          </cell>
          <cell r="I1376">
            <v>274</v>
          </cell>
          <cell r="J1376" t="str">
            <v>Stk</v>
          </cell>
          <cell r="K1376">
            <v>45682</v>
          </cell>
          <cell r="L1376" t="str">
            <v>829051</v>
          </cell>
          <cell r="M1376" t="str">
            <v/>
          </cell>
          <cell r="N1376" t="str">
            <v/>
          </cell>
          <cell r="O1376" t="str">
            <v/>
          </cell>
          <cell r="P1376" t="str">
            <v/>
          </cell>
          <cell r="Q1376" t="str">
            <v/>
          </cell>
          <cell r="R1376" t="str">
            <v/>
          </cell>
          <cell r="S1376" t="str">
            <v/>
          </cell>
          <cell r="T1376" t="str">
            <v/>
          </cell>
          <cell r="U1376" t="str">
            <v/>
          </cell>
          <cell r="V1376" t="str">
            <v>N52</v>
          </cell>
          <cell r="W1376" t="str">
            <v/>
          </cell>
          <cell r="X1376" t="str">
            <v/>
          </cell>
          <cell r="Y1376" t="str">
            <v/>
          </cell>
          <cell r="Z1376" t="str">
            <v/>
          </cell>
          <cell r="AA1376" t="str">
            <v/>
          </cell>
          <cell r="AB1376" t="str">
            <v>PA_4420801-UA.7005-3</v>
          </cell>
          <cell r="AC1376">
            <v>1</v>
          </cell>
          <cell r="AD1376" t="str">
            <v/>
          </cell>
          <cell r="AE1376">
            <v>0</v>
          </cell>
          <cell r="AF1376" t="str">
            <v/>
          </cell>
          <cell r="AG1376" t="str">
            <v>12534207</v>
          </cell>
          <cell r="AH1376">
            <v>44951.956030092595</v>
          </cell>
          <cell r="AI1376" t="str">
            <v>N52</v>
          </cell>
          <cell r="AJ1376" t="str">
            <v>F</v>
          </cell>
          <cell r="AK1376" t="str">
            <v/>
          </cell>
        </row>
        <row r="1377">
          <cell r="A1377" t="str">
            <v>12534222829054</v>
          </cell>
          <cell r="B1377" t="str">
            <v>Übergabe Task Force</v>
          </cell>
          <cell r="C1377">
            <v>24</v>
          </cell>
          <cell r="D1377" t="str">
            <v>EK65</v>
          </cell>
          <cell r="E1377" t="str">
            <v>703771</v>
          </cell>
          <cell r="F1377" t="str">
            <v>E</v>
          </cell>
          <cell r="G1377" t="str">
            <v>12534222</v>
          </cell>
          <cell r="H1377" t="str">
            <v>Seitenplatte</v>
          </cell>
          <cell r="I1377">
            <v>7</v>
          </cell>
          <cell r="J1377" t="str">
            <v>Stk</v>
          </cell>
          <cell r="K1377">
            <v>45189</v>
          </cell>
          <cell r="L1377" t="str">
            <v>829054</v>
          </cell>
          <cell r="M1377" t="str">
            <v/>
          </cell>
          <cell r="N1377" t="str">
            <v/>
          </cell>
          <cell r="O1377" t="str">
            <v/>
          </cell>
          <cell r="P1377" t="str">
            <v/>
          </cell>
          <cell r="Q1377" t="str">
            <v/>
          </cell>
          <cell r="R1377" t="str">
            <v/>
          </cell>
          <cell r="S1377" t="str">
            <v/>
          </cell>
          <cell r="T1377" t="str">
            <v/>
          </cell>
          <cell r="U1377" t="str">
            <v/>
          </cell>
          <cell r="V1377" t="str">
            <v>N52</v>
          </cell>
          <cell r="W1377" t="str">
            <v/>
          </cell>
          <cell r="X1377" t="str">
            <v/>
          </cell>
          <cell r="Y1377" t="str">
            <v/>
          </cell>
          <cell r="Z1377" t="str">
            <v/>
          </cell>
          <cell r="AA1377" t="str">
            <v/>
          </cell>
          <cell r="AB1377" t="str">
            <v>PA_4433327-UA.7005-1</v>
          </cell>
          <cell r="AC1377">
            <v>1</v>
          </cell>
          <cell r="AD1377" t="str">
            <v/>
          </cell>
          <cell r="AE1377">
            <v>0</v>
          </cell>
          <cell r="AF1377" t="str">
            <v/>
          </cell>
          <cell r="AG1377" t="str">
            <v>12534222</v>
          </cell>
          <cell r="AH1377">
            <v>44951.956053240741</v>
          </cell>
          <cell r="AI1377" t="str">
            <v>N52</v>
          </cell>
          <cell r="AJ1377" t="str">
            <v>F</v>
          </cell>
          <cell r="AK1377" t="str">
            <v/>
          </cell>
        </row>
        <row r="1378">
          <cell r="A1378" t="str">
            <v>12534222829052</v>
          </cell>
          <cell r="B1378" t="str">
            <v>Übergabe Task Force</v>
          </cell>
          <cell r="C1378">
            <v>24</v>
          </cell>
          <cell r="D1378" t="str">
            <v>EK65</v>
          </cell>
          <cell r="E1378" t="str">
            <v>703772</v>
          </cell>
          <cell r="F1378" t="str">
            <v>E</v>
          </cell>
          <cell r="G1378" t="str">
            <v>12534222</v>
          </cell>
          <cell r="H1378" t="str">
            <v>Seitenplatte</v>
          </cell>
          <cell r="I1378">
            <v>15</v>
          </cell>
          <cell r="J1378" t="str">
            <v>Stk</v>
          </cell>
          <cell r="K1378">
            <v>45681</v>
          </cell>
          <cell r="L1378" t="str">
            <v>829052</v>
          </cell>
          <cell r="M1378" t="str">
            <v/>
          </cell>
          <cell r="N1378" t="str">
            <v/>
          </cell>
          <cell r="O1378" t="str">
            <v/>
          </cell>
          <cell r="P1378" t="str">
            <v/>
          </cell>
          <cell r="Q1378" t="str">
            <v/>
          </cell>
          <cell r="R1378" t="str">
            <v/>
          </cell>
          <cell r="S1378" t="str">
            <v/>
          </cell>
          <cell r="T1378" t="str">
            <v/>
          </cell>
          <cell r="U1378" t="str">
            <v/>
          </cell>
          <cell r="V1378" t="str">
            <v>N52</v>
          </cell>
          <cell r="W1378" t="str">
            <v/>
          </cell>
          <cell r="X1378" t="str">
            <v/>
          </cell>
          <cell r="Y1378" t="str">
            <v/>
          </cell>
          <cell r="Z1378" t="str">
            <v/>
          </cell>
          <cell r="AA1378" t="str">
            <v/>
          </cell>
          <cell r="AB1378" t="str">
            <v>PA_4433327-UA.7005-1</v>
          </cell>
          <cell r="AC1378">
            <v>1</v>
          </cell>
          <cell r="AD1378" t="str">
            <v/>
          </cell>
          <cell r="AE1378">
            <v>0</v>
          </cell>
          <cell r="AF1378" t="str">
            <v/>
          </cell>
          <cell r="AG1378" t="str">
            <v>12534222</v>
          </cell>
          <cell r="AH1378">
            <v>44951.956053240741</v>
          </cell>
          <cell r="AI1378" t="str">
            <v>N52</v>
          </cell>
          <cell r="AJ1378" t="str">
            <v>F</v>
          </cell>
          <cell r="AK1378" t="str">
            <v/>
          </cell>
        </row>
        <row r="1379">
          <cell r="A1379" t="str">
            <v>12534222829051</v>
          </cell>
          <cell r="B1379" t="str">
            <v>Übergabe Task Force</v>
          </cell>
          <cell r="C1379">
            <v>24</v>
          </cell>
          <cell r="D1379" t="str">
            <v>EK65</v>
          </cell>
          <cell r="E1379" t="str">
            <v>703773</v>
          </cell>
          <cell r="F1379" t="str">
            <v>E</v>
          </cell>
          <cell r="G1379" t="str">
            <v>12534222</v>
          </cell>
          <cell r="H1379" t="str">
            <v>Seitenplatte</v>
          </cell>
          <cell r="I1379">
            <v>44</v>
          </cell>
          <cell r="J1379" t="str">
            <v>Stk</v>
          </cell>
          <cell r="K1379">
            <v>45682</v>
          </cell>
          <cell r="L1379" t="str">
            <v>829051</v>
          </cell>
          <cell r="M1379" t="str">
            <v/>
          </cell>
          <cell r="N1379" t="str">
            <v/>
          </cell>
          <cell r="O1379" t="str">
            <v/>
          </cell>
          <cell r="P1379" t="str">
            <v/>
          </cell>
          <cell r="Q1379" t="str">
            <v/>
          </cell>
          <cell r="R1379" t="str">
            <v/>
          </cell>
          <cell r="S1379" t="str">
            <v/>
          </cell>
          <cell r="T1379" t="str">
            <v/>
          </cell>
          <cell r="U1379" t="str">
            <v/>
          </cell>
          <cell r="V1379" t="str">
            <v>N52</v>
          </cell>
          <cell r="W1379" t="str">
            <v/>
          </cell>
          <cell r="X1379" t="str">
            <v/>
          </cell>
          <cell r="Y1379" t="str">
            <v/>
          </cell>
          <cell r="Z1379" t="str">
            <v/>
          </cell>
          <cell r="AA1379" t="str">
            <v/>
          </cell>
          <cell r="AB1379" t="str">
            <v>PA_4433327-UA.7005-1</v>
          </cell>
          <cell r="AC1379">
            <v>1</v>
          </cell>
          <cell r="AD1379" t="str">
            <v/>
          </cell>
          <cell r="AE1379">
            <v>0</v>
          </cell>
          <cell r="AF1379" t="str">
            <v/>
          </cell>
          <cell r="AG1379" t="str">
            <v>12534222</v>
          </cell>
          <cell r="AH1379">
            <v>44951.956053240741</v>
          </cell>
          <cell r="AI1379" t="str">
            <v>N52</v>
          </cell>
          <cell r="AJ1379" t="str">
            <v>F</v>
          </cell>
          <cell r="AK1379" t="str">
            <v/>
          </cell>
        </row>
        <row r="1380">
          <cell r="A1380" t="str">
            <v>12534305829053</v>
          </cell>
          <cell r="B1380">
            <v>0</v>
          </cell>
          <cell r="C1380">
            <v>6</v>
          </cell>
          <cell r="D1380" t="str">
            <v>EK65</v>
          </cell>
          <cell r="E1380" t="str">
            <v>703777</v>
          </cell>
          <cell r="F1380" t="str">
            <v>E</v>
          </cell>
          <cell r="G1380" t="str">
            <v>12534305</v>
          </cell>
          <cell r="H1380" t="str">
            <v>Erdungsblech 2</v>
          </cell>
          <cell r="I1380">
            <v>95</v>
          </cell>
          <cell r="J1380" t="str">
            <v>Stk</v>
          </cell>
          <cell r="K1380">
            <v>45114</v>
          </cell>
          <cell r="L1380" t="str">
            <v>829053</v>
          </cell>
          <cell r="M1380" t="str">
            <v/>
          </cell>
          <cell r="N1380" t="str">
            <v/>
          </cell>
          <cell r="O1380" t="str">
            <v/>
          </cell>
          <cell r="P1380" t="str">
            <v/>
          </cell>
          <cell r="Q1380" t="str">
            <v/>
          </cell>
          <cell r="R1380" t="str">
            <v/>
          </cell>
          <cell r="S1380" t="str">
            <v/>
          </cell>
          <cell r="T1380" t="str">
            <v/>
          </cell>
          <cell r="U1380" t="str">
            <v/>
          </cell>
          <cell r="V1380" t="str">
            <v>N52</v>
          </cell>
          <cell r="W1380" t="str">
            <v/>
          </cell>
          <cell r="X1380" t="str">
            <v/>
          </cell>
          <cell r="Y1380" t="str">
            <v/>
          </cell>
          <cell r="Z1380" t="str">
            <v/>
          </cell>
          <cell r="AA1380" t="str">
            <v/>
          </cell>
          <cell r="AB1380" t="str">
            <v>PA_4618445-TB.7005-4</v>
          </cell>
          <cell r="AC1380">
            <v>1</v>
          </cell>
          <cell r="AD1380" t="str">
            <v/>
          </cell>
          <cell r="AE1380">
            <v>0</v>
          </cell>
          <cell r="AF1380" t="str">
            <v/>
          </cell>
          <cell r="AG1380" t="str">
            <v>12534305</v>
          </cell>
          <cell r="AH1380">
            <v>44951.956099537034</v>
          </cell>
          <cell r="AI1380" t="str">
            <v>N52</v>
          </cell>
          <cell r="AJ1380" t="str">
            <v>F</v>
          </cell>
          <cell r="AK1380" t="str">
            <v/>
          </cell>
        </row>
        <row r="1381">
          <cell r="A1381" t="str">
            <v>12534348829054</v>
          </cell>
          <cell r="B1381" t="str">
            <v>Übergabe Task Force</v>
          </cell>
          <cell r="C1381">
            <v>8</v>
          </cell>
          <cell r="D1381" t="str">
            <v>EK65</v>
          </cell>
          <cell r="E1381" t="str">
            <v>703778</v>
          </cell>
          <cell r="F1381" t="str">
            <v>E</v>
          </cell>
          <cell r="G1381" t="str">
            <v>12534348</v>
          </cell>
          <cell r="H1381" t="str">
            <v>Kupferschiene 4 vollst.</v>
          </cell>
          <cell r="I1381">
            <v>7</v>
          </cell>
          <cell r="J1381" t="str">
            <v>Stk</v>
          </cell>
          <cell r="K1381">
            <v>45189</v>
          </cell>
          <cell r="L1381" t="str">
            <v>829054</v>
          </cell>
          <cell r="M1381" t="str">
            <v/>
          </cell>
          <cell r="N1381" t="str">
            <v/>
          </cell>
          <cell r="O1381" t="str">
            <v/>
          </cell>
          <cell r="P1381" t="str">
            <v/>
          </cell>
          <cell r="Q1381" t="str">
            <v/>
          </cell>
          <cell r="R1381" t="str">
            <v/>
          </cell>
          <cell r="S1381" t="str">
            <v/>
          </cell>
          <cell r="T1381" t="str">
            <v/>
          </cell>
          <cell r="U1381" t="str">
            <v/>
          </cell>
          <cell r="V1381" t="str">
            <v>N52</v>
          </cell>
          <cell r="W1381" t="str">
            <v/>
          </cell>
          <cell r="X1381" t="str">
            <v/>
          </cell>
          <cell r="Y1381" t="str">
            <v/>
          </cell>
          <cell r="Z1381" t="str">
            <v/>
          </cell>
          <cell r="AA1381" t="str">
            <v/>
          </cell>
          <cell r="AB1381" t="str">
            <v>PA_4471191-UA.7005-3</v>
          </cell>
          <cell r="AC1381">
            <v>1</v>
          </cell>
          <cell r="AD1381" t="str">
            <v/>
          </cell>
          <cell r="AE1381">
            <v>0</v>
          </cell>
          <cell r="AF1381" t="str">
            <v/>
          </cell>
          <cell r="AG1381" t="str">
            <v>12534348</v>
          </cell>
          <cell r="AH1381">
            <v>44951.956111111111</v>
          </cell>
          <cell r="AI1381" t="str">
            <v>N52</v>
          </cell>
          <cell r="AJ1381" t="str">
            <v>F</v>
          </cell>
          <cell r="AK1381" t="str">
            <v/>
          </cell>
        </row>
        <row r="1382">
          <cell r="A1382" t="str">
            <v>12534348829052</v>
          </cell>
          <cell r="B1382" t="str">
            <v>Übergabe Task Force</v>
          </cell>
          <cell r="C1382">
            <v>8</v>
          </cell>
          <cell r="D1382" t="str">
            <v>EK65</v>
          </cell>
          <cell r="E1382" t="str">
            <v>703779</v>
          </cell>
          <cell r="F1382" t="str">
            <v>E</v>
          </cell>
          <cell r="G1382" t="str">
            <v>12534348</v>
          </cell>
          <cell r="H1382" t="str">
            <v>Kupferschiene 4 vollst.</v>
          </cell>
          <cell r="I1382">
            <v>15</v>
          </cell>
          <cell r="J1382" t="str">
            <v>Stk</v>
          </cell>
          <cell r="K1382">
            <v>45681</v>
          </cell>
          <cell r="L1382" t="str">
            <v>829052</v>
          </cell>
          <cell r="M1382" t="str">
            <v/>
          </cell>
          <cell r="N1382" t="str">
            <v/>
          </cell>
          <cell r="O1382" t="str">
            <v/>
          </cell>
          <cell r="P1382" t="str">
            <v/>
          </cell>
          <cell r="Q1382" t="str">
            <v/>
          </cell>
          <cell r="R1382" t="str">
            <v/>
          </cell>
          <cell r="S1382" t="str">
            <v/>
          </cell>
          <cell r="T1382" t="str">
            <v/>
          </cell>
          <cell r="U1382" t="str">
            <v/>
          </cell>
          <cell r="V1382" t="str">
            <v>N52</v>
          </cell>
          <cell r="W1382" t="str">
            <v/>
          </cell>
          <cell r="X1382" t="str">
            <v/>
          </cell>
          <cell r="Y1382" t="str">
            <v/>
          </cell>
          <cell r="Z1382" t="str">
            <v/>
          </cell>
          <cell r="AA1382" t="str">
            <v/>
          </cell>
          <cell r="AB1382" t="str">
            <v>PA_4471191-UA.7005-3</v>
          </cell>
          <cell r="AC1382">
            <v>1</v>
          </cell>
          <cell r="AD1382" t="str">
            <v/>
          </cell>
          <cell r="AE1382">
            <v>0</v>
          </cell>
          <cell r="AF1382" t="str">
            <v/>
          </cell>
          <cell r="AG1382" t="str">
            <v>12534348</v>
          </cell>
          <cell r="AH1382">
            <v>44951.956111111111</v>
          </cell>
          <cell r="AI1382" t="str">
            <v>N52</v>
          </cell>
          <cell r="AJ1382" t="str">
            <v>F</v>
          </cell>
          <cell r="AK1382" t="str">
            <v/>
          </cell>
        </row>
        <row r="1383">
          <cell r="A1383" t="str">
            <v>12534348829051</v>
          </cell>
          <cell r="B1383" t="str">
            <v>Übergabe Task Force</v>
          </cell>
          <cell r="C1383">
            <v>8</v>
          </cell>
          <cell r="D1383" t="str">
            <v>EK65</v>
          </cell>
          <cell r="E1383" t="str">
            <v>703780</v>
          </cell>
          <cell r="F1383" t="str">
            <v>E</v>
          </cell>
          <cell r="G1383" t="str">
            <v>12534348</v>
          </cell>
          <cell r="H1383" t="str">
            <v>Kupferschiene 4 vollst.</v>
          </cell>
          <cell r="I1383">
            <v>44</v>
          </cell>
          <cell r="J1383" t="str">
            <v>Stk</v>
          </cell>
          <cell r="K1383">
            <v>45682</v>
          </cell>
          <cell r="L1383" t="str">
            <v>829051</v>
          </cell>
          <cell r="M1383" t="str">
            <v/>
          </cell>
          <cell r="N1383" t="str">
            <v/>
          </cell>
          <cell r="O1383" t="str">
            <v/>
          </cell>
          <cell r="P1383" t="str">
            <v/>
          </cell>
          <cell r="Q1383" t="str">
            <v/>
          </cell>
          <cell r="R1383" t="str">
            <v/>
          </cell>
          <cell r="S1383" t="str">
            <v/>
          </cell>
          <cell r="T1383" t="str">
            <v/>
          </cell>
          <cell r="U1383" t="str">
            <v/>
          </cell>
          <cell r="V1383" t="str">
            <v>N52</v>
          </cell>
          <cell r="W1383" t="str">
            <v/>
          </cell>
          <cell r="X1383" t="str">
            <v/>
          </cell>
          <cell r="Y1383" t="str">
            <v/>
          </cell>
          <cell r="Z1383" t="str">
            <v/>
          </cell>
          <cell r="AA1383" t="str">
            <v/>
          </cell>
          <cell r="AB1383" t="str">
            <v>PA_4471191-UA.7005-3</v>
          </cell>
          <cell r="AC1383">
            <v>1</v>
          </cell>
          <cell r="AD1383" t="str">
            <v/>
          </cell>
          <cell r="AE1383">
            <v>0</v>
          </cell>
          <cell r="AF1383" t="str">
            <v/>
          </cell>
          <cell r="AG1383" t="str">
            <v>12534348</v>
          </cell>
          <cell r="AH1383">
            <v>44951.956111111111</v>
          </cell>
          <cell r="AI1383" t="str">
            <v>N52</v>
          </cell>
          <cell r="AJ1383" t="str">
            <v>F</v>
          </cell>
          <cell r="AK1383" t="str">
            <v/>
          </cell>
        </row>
        <row r="1384">
          <cell r="A1384" t="str">
            <v>12534370829054</v>
          </cell>
          <cell r="B1384" t="str">
            <v>Übergabe Task Force</v>
          </cell>
          <cell r="C1384">
            <v>8</v>
          </cell>
          <cell r="D1384" t="str">
            <v>EK65</v>
          </cell>
          <cell r="E1384" t="str">
            <v>703781</v>
          </cell>
          <cell r="F1384" t="str">
            <v>E</v>
          </cell>
          <cell r="G1384" t="str">
            <v>12534370</v>
          </cell>
          <cell r="H1384" t="str">
            <v>Kupferschiene 2 vollst.</v>
          </cell>
          <cell r="I1384">
            <v>7</v>
          </cell>
          <cell r="J1384" t="str">
            <v>Stk</v>
          </cell>
          <cell r="K1384">
            <v>45189</v>
          </cell>
          <cell r="L1384" t="str">
            <v>829054</v>
          </cell>
          <cell r="M1384" t="str">
            <v/>
          </cell>
          <cell r="N1384" t="str">
            <v/>
          </cell>
          <cell r="O1384" t="str">
            <v/>
          </cell>
          <cell r="P1384" t="str">
            <v/>
          </cell>
          <cell r="Q1384" t="str">
            <v/>
          </cell>
          <cell r="R1384" t="str">
            <v/>
          </cell>
          <cell r="S1384" t="str">
            <v/>
          </cell>
          <cell r="T1384" t="str">
            <v/>
          </cell>
          <cell r="U1384" t="str">
            <v/>
          </cell>
          <cell r="V1384" t="str">
            <v>N52</v>
          </cell>
          <cell r="W1384" t="str">
            <v/>
          </cell>
          <cell r="X1384" t="str">
            <v/>
          </cell>
          <cell r="Y1384" t="str">
            <v/>
          </cell>
          <cell r="Z1384" t="str">
            <v/>
          </cell>
          <cell r="AA1384" t="str">
            <v/>
          </cell>
          <cell r="AB1384" t="str">
            <v>PA_4472433-UA.7005-3</v>
          </cell>
          <cell r="AC1384">
            <v>1</v>
          </cell>
          <cell r="AD1384" t="str">
            <v/>
          </cell>
          <cell r="AE1384">
            <v>0</v>
          </cell>
          <cell r="AF1384" t="str">
            <v/>
          </cell>
          <cell r="AG1384" t="str">
            <v>12534370</v>
          </cell>
          <cell r="AH1384">
            <v>44951.956122685187</v>
          </cell>
          <cell r="AI1384" t="str">
            <v>N52</v>
          </cell>
          <cell r="AJ1384" t="str">
            <v>F</v>
          </cell>
          <cell r="AK1384" t="str">
            <v/>
          </cell>
        </row>
        <row r="1385">
          <cell r="A1385" t="str">
            <v>12534370829052</v>
          </cell>
          <cell r="B1385" t="str">
            <v>Übergabe Task Force</v>
          </cell>
          <cell r="C1385">
            <v>8</v>
          </cell>
          <cell r="D1385" t="str">
            <v>EK65</v>
          </cell>
          <cell r="E1385" t="str">
            <v>703782</v>
          </cell>
          <cell r="F1385" t="str">
            <v>E</v>
          </cell>
          <cell r="G1385" t="str">
            <v>12534370</v>
          </cell>
          <cell r="H1385" t="str">
            <v>Kupferschiene 2 vollst.</v>
          </cell>
          <cell r="I1385">
            <v>15</v>
          </cell>
          <cell r="J1385" t="str">
            <v>Stk</v>
          </cell>
          <cell r="K1385">
            <v>45681</v>
          </cell>
          <cell r="L1385" t="str">
            <v>829052</v>
          </cell>
          <cell r="M1385" t="str">
            <v/>
          </cell>
          <cell r="N1385" t="str">
            <v/>
          </cell>
          <cell r="O1385" t="str">
            <v/>
          </cell>
          <cell r="P1385" t="str">
            <v/>
          </cell>
          <cell r="Q1385" t="str">
            <v/>
          </cell>
          <cell r="R1385" t="str">
            <v/>
          </cell>
          <cell r="S1385" t="str">
            <v/>
          </cell>
          <cell r="T1385" t="str">
            <v/>
          </cell>
          <cell r="U1385" t="str">
            <v/>
          </cell>
          <cell r="V1385" t="str">
            <v>N52</v>
          </cell>
          <cell r="W1385" t="str">
            <v/>
          </cell>
          <cell r="X1385" t="str">
            <v/>
          </cell>
          <cell r="Y1385" t="str">
            <v/>
          </cell>
          <cell r="Z1385" t="str">
            <v/>
          </cell>
          <cell r="AA1385" t="str">
            <v/>
          </cell>
          <cell r="AB1385" t="str">
            <v>PA_4472433-UA.7005-3</v>
          </cell>
          <cell r="AC1385">
            <v>1</v>
          </cell>
          <cell r="AD1385" t="str">
            <v/>
          </cell>
          <cell r="AE1385">
            <v>0</v>
          </cell>
          <cell r="AF1385" t="str">
            <v/>
          </cell>
          <cell r="AG1385" t="str">
            <v>12534370</v>
          </cell>
          <cell r="AH1385">
            <v>44951.956122685187</v>
          </cell>
          <cell r="AI1385" t="str">
            <v>N52</v>
          </cell>
          <cell r="AJ1385" t="str">
            <v>F</v>
          </cell>
          <cell r="AK1385" t="str">
            <v/>
          </cell>
        </row>
        <row r="1386">
          <cell r="A1386" t="str">
            <v>12534370829051</v>
          </cell>
          <cell r="B1386" t="str">
            <v>Übergabe Task Force</v>
          </cell>
          <cell r="C1386">
            <v>8</v>
          </cell>
          <cell r="D1386" t="str">
            <v>EK65</v>
          </cell>
          <cell r="E1386" t="str">
            <v>703783</v>
          </cell>
          <cell r="F1386" t="str">
            <v>E</v>
          </cell>
          <cell r="G1386" t="str">
            <v>12534370</v>
          </cell>
          <cell r="H1386" t="str">
            <v>Kupferschiene 2 vollst.</v>
          </cell>
          <cell r="I1386">
            <v>44</v>
          </cell>
          <cell r="J1386" t="str">
            <v>Stk</v>
          </cell>
          <cell r="K1386">
            <v>45682</v>
          </cell>
          <cell r="L1386" t="str">
            <v>829051</v>
          </cell>
          <cell r="M1386" t="str">
            <v/>
          </cell>
          <cell r="N1386" t="str">
            <v/>
          </cell>
          <cell r="O1386" t="str">
            <v/>
          </cell>
          <cell r="P1386" t="str">
            <v/>
          </cell>
          <cell r="Q1386" t="str">
            <v/>
          </cell>
          <cell r="R1386" t="str">
            <v/>
          </cell>
          <cell r="S1386" t="str">
            <v/>
          </cell>
          <cell r="T1386" t="str">
            <v/>
          </cell>
          <cell r="U1386" t="str">
            <v/>
          </cell>
          <cell r="V1386" t="str">
            <v>N52</v>
          </cell>
          <cell r="W1386" t="str">
            <v/>
          </cell>
          <cell r="X1386" t="str">
            <v/>
          </cell>
          <cell r="Y1386" t="str">
            <v/>
          </cell>
          <cell r="Z1386" t="str">
            <v/>
          </cell>
          <cell r="AA1386" t="str">
            <v/>
          </cell>
          <cell r="AB1386" t="str">
            <v>PA_4472433-UA.7005-3</v>
          </cell>
          <cell r="AC1386">
            <v>1</v>
          </cell>
          <cell r="AD1386" t="str">
            <v/>
          </cell>
          <cell r="AE1386">
            <v>0</v>
          </cell>
          <cell r="AF1386" t="str">
            <v/>
          </cell>
          <cell r="AG1386" t="str">
            <v>12534370</v>
          </cell>
          <cell r="AH1386">
            <v>44951.956122685187</v>
          </cell>
          <cell r="AI1386" t="str">
            <v>N52</v>
          </cell>
          <cell r="AJ1386" t="str">
            <v>F</v>
          </cell>
          <cell r="AK1386" t="str">
            <v/>
          </cell>
        </row>
        <row r="1387">
          <cell r="A1387" t="str">
            <v>12534392829051</v>
          </cell>
          <cell r="B1387" t="str">
            <v>Übergabe Task Force</v>
          </cell>
          <cell r="C1387">
            <v>4</v>
          </cell>
          <cell r="D1387" t="str">
            <v>EK65</v>
          </cell>
          <cell r="E1387" t="str">
            <v>703784</v>
          </cell>
          <cell r="F1387" t="str">
            <v>E</v>
          </cell>
          <cell r="G1387" t="str">
            <v>12534392</v>
          </cell>
          <cell r="H1387" t="str">
            <v>Sammelschiene 4 vollst.</v>
          </cell>
          <cell r="I1387">
            <v>45</v>
          </cell>
          <cell r="J1387" t="str">
            <v>Stk</v>
          </cell>
          <cell r="K1387">
            <v>45682</v>
          </cell>
          <cell r="L1387" t="str">
            <v>829051</v>
          </cell>
          <cell r="M1387" t="str">
            <v/>
          </cell>
          <cell r="N1387" t="str">
            <v/>
          </cell>
          <cell r="O1387" t="str">
            <v/>
          </cell>
          <cell r="P1387" t="str">
            <v/>
          </cell>
          <cell r="Q1387" t="str">
            <v/>
          </cell>
          <cell r="R1387" t="str">
            <v/>
          </cell>
          <cell r="S1387" t="str">
            <v/>
          </cell>
          <cell r="T1387" t="str">
            <v/>
          </cell>
          <cell r="U1387" t="str">
            <v/>
          </cell>
          <cell r="V1387" t="str">
            <v>N52</v>
          </cell>
          <cell r="W1387" t="str">
            <v/>
          </cell>
          <cell r="X1387" t="str">
            <v/>
          </cell>
          <cell r="Y1387" t="str">
            <v/>
          </cell>
          <cell r="Z1387" t="str">
            <v/>
          </cell>
          <cell r="AA1387" t="str">
            <v/>
          </cell>
          <cell r="AB1387" t="str">
            <v>PA_4586361-UA.7005-3</v>
          </cell>
          <cell r="AC1387">
            <v>1</v>
          </cell>
          <cell r="AD1387" t="str">
            <v/>
          </cell>
          <cell r="AE1387">
            <v>0</v>
          </cell>
          <cell r="AF1387" t="str">
            <v/>
          </cell>
          <cell r="AG1387" t="str">
            <v>12534392</v>
          </cell>
          <cell r="AH1387">
            <v>44951.956145833334</v>
          </cell>
          <cell r="AI1387" t="str">
            <v>N52</v>
          </cell>
          <cell r="AJ1387" t="str">
            <v>F</v>
          </cell>
          <cell r="AK1387" t="str">
            <v/>
          </cell>
        </row>
        <row r="1388">
          <cell r="A1388" t="str">
            <v>12535075829520</v>
          </cell>
          <cell r="B1388" t="str">
            <v>Übergabe Task Force</v>
          </cell>
          <cell r="C1388" t="e">
            <v>#N/A</v>
          </cell>
          <cell r="D1388" t="str">
            <v>EK65</v>
          </cell>
          <cell r="E1388" t="str">
            <v>703800</v>
          </cell>
          <cell r="F1388" t="str">
            <v>E</v>
          </cell>
          <cell r="G1388" t="str">
            <v>12535075</v>
          </cell>
          <cell r="H1388" t="str">
            <v>Auflageplatte</v>
          </cell>
          <cell r="I1388">
            <v>26</v>
          </cell>
          <cell r="J1388" t="str">
            <v>Stk</v>
          </cell>
          <cell r="K1388">
            <v>45049</v>
          </cell>
          <cell r="L1388" t="str">
            <v>829520</v>
          </cell>
          <cell r="M1388" t="str">
            <v/>
          </cell>
          <cell r="N1388" t="str">
            <v/>
          </cell>
          <cell r="O1388" t="str">
            <v/>
          </cell>
          <cell r="P1388" t="str">
            <v/>
          </cell>
          <cell r="Q1388" t="str">
            <v/>
          </cell>
          <cell r="R1388" t="str">
            <v/>
          </cell>
          <cell r="S1388" t="str">
            <v/>
          </cell>
          <cell r="T1388" t="str">
            <v/>
          </cell>
          <cell r="U1388" t="str">
            <v/>
          </cell>
          <cell r="V1388" t="str">
            <v>N52</v>
          </cell>
          <cell r="W1388" t="str">
            <v/>
          </cell>
          <cell r="X1388" t="str">
            <v/>
          </cell>
          <cell r="Y1388" t="str">
            <v/>
          </cell>
          <cell r="Z1388" t="str">
            <v/>
          </cell>
          <cell r="AA1388" t="str">
            <v/>
          </cell>
          <cell r="AB1388" t="str">
            <v>PA_4320971-ED.7005-4</v>
          </cell>
          <cell r="AC1388">
            <v>1</v>
          </cell>
          <cell r="AD1388" t="str">
            <v/>
          </cell>
          <cell r="AE1388">
            <v>0</v>
          </cell>
          <cell r="AF1388" t="str">
            <v/>
          </cell>
          <cell r="AG1388" t="str">
            <v>12535075</v>
          </cell>
          <cell r="AH1388">
            <v>44951.956354166665</v>
          </cell>
          <cell r="AI1388" t="str">
            <v>N52</v>
          </cell>
          <cell r="AJ1388" t="str">
            <v>F</v>
          </cell>
          <cell r="AK1388" t="str">
            <v>A</v>
          </cell>
        </row>
        <row r="1389">
          <cell r="A1389" t="str">
            <v>12535075829510</v>
          </cell>
          <cell r="B1389" t="str">
            <v>Übergabe Task Force</v>
          </cell>
          <cell r="C1389" t="e">
            <v>#N/A</v>
          </cell>
          <cell r="D1389" t="str">
            <v>EK65</v>
          </cell>
          <cell r="E1389" t="str">
            <v>703801</v>
          </cell>
          <cell r="F1389" t="str">
            <v>E</v>
          </cell>
          <cell r="G1389" t="str">
            <v>12535075</v>
          </cell>
          <cell r="H1389" t="str">
            <v>Auflageplatte</v>
          </cell>
          <cell r="I1389">
            <v>20</v>
          </cell>
          <cell r="J1389" t="str">
            <v>Stk</v>
          </cell>
          <cell r="K1389">
            <v>45054</v>
          </cell>
          <cell r="L1389" t="str">
            <v>829510</v>
          </cell>
          <cell r="M1389" t="str">
            <v/>
          </cell>
          <cell r="N1389" t="str">
            <v/>
          </cell>
          <cell r="O1389" t="str">
            <v/>
          </cell>
          <cell r="P1389" t="str">
            <v/>
          </cell>
          <cell r="Q1389" t="str">
            <v/>
          </cell>
          <cell r="R1389" t="str">
            <v/>
          </cell>
          <cell r="S1389" t="str">
            <v/>
          </cell>
          <cell r="T1389" t="str">
            <v/>
          </cell>
          <cell r="U1389" t="str">
            <v/>
          </cell>
          <cell r="V1389" t="str">
            <v>N52</v>
          </cell>
          <cell r="W1389" t="str">
            <v/>
          </cell>
          <cell r="X1389" t="str">
            <v/>
          </cell>
          <cell r="Y1389" t="str">
            <v/>
          </cell>
          <cell r="Z1389" t="str">
            <v/>
          </cell>
          <cell r="AA1389" t="str">
            <v/>
          </cell>
          <cell r="AB1389" t="str">
            <v>PA_4320971-ED.7005-4</v>
          </cell>
          <cell r="AC1389">
            <v>1</v>
          </cell>
          <cell r="AD1389" t="str">
            <v/>
          </cell>
          <cell r="AE1389">
            <v>0</v>
          </cell>
          <cell r="AF1389" t="str">
            <v/>
          </cell>
          <cell r="AG1389" t="str">
            <v>12535075</v>
          </cell>
          <cell r="AH1389">
            <v>44951.956354166665</v>
          </cell>
          <cell r="AI1389" t="str">
            <v>N52</v>
          </cell>
          <cell r="AJ1389" t="str">
            <v>F</v>
          </cell>
          <cell r="AK1389" t="str">
            <v>A</v>
          </cell>
        </row>
        <row r="1390">
          <cell r="A1390" t="str">
            <v>12535075829530</v>
          </cell>
          <cell r="B1390" t="str">
            <v>Angefragt 22.03.2023</v>
          </cell>
          <cell r="C1390" t="e">
            <v>#N/A</v>
          </cell>
          <cell r="D1390" t="str">
            <v>EK65</v>
          </cell>
          <cell r="E1390" t="str">
            <v>703802</v>
          </cell>
          <cell r="F1390" t="str">
            <v>E</v>
          </cell>
          <cell r="G1390" t="str">
            <v>12535075</v>
          </cell>
          <cell r="H1390" t="str">
            <v>Auflageplatte</v>
          </cell>
          <cell r="I1390">
            <v>3</v>
          </cell>
          <cell r="J1390" t="str">
            <v>Stk</v>
          </cell>
          <cell r="K1390">
            <v>45061</v>
          </cell>
          <cell r="L1390" t="str">
            <v>829530</v>
          </cell>
          <cell r="M1390" t="str">
            <v/>
          </cell>
          <cell r="N1390" t="str">
            <v/>
          </cell>
          <cell r="O1390" t="str">
            <v/>
          </cell>
          <cell r="P1390" t="str">
            <v/>
          </cell>
          <cell r="Q1390" t="str">
            <v/>
          </cell>
          <cell r="R1390" t="str">
            <v/>
          </cell>
          <cell r="S1390" t="str">
            <v/>
          </cell>
          <cell r="T1390" t="str">
            <v/>
          </cell>
          <cell r="U1390" t="str">
            <v/>
          </cell>
          <cell r="V1390" t="str">
            <v>N52</v>
          </cell>
          <cell r="W1390" t="str">
            <v/>
          </cell>
          <cell r="X1390" t="str">
            <v/>
          </cell>
          <cell r="Y1390" t="str">
            <v/>
          </cell>
          <cell r="Z1390" t="str">
            <v/>
          </cell>
          <cell r="AA1390" t="str">
            <v/>
          </cell>
          <cell r="AB1390" t="str">
            <v>PA_4320971-ED.7005-4</v>
          </cell>
          <cell r="AC1390">
            <v>1</v>
          </cell>
          <cell r="AD1390" t="str">
            <v/>
          </cell>
          <cell r="AE1390">
            <v>0</v>
          </cell>
          <cell r="AF1390" t="str">
            <v/>
          </cell>
          <cell r="AG1390" t="str">
            <v>12535075</v>
          </cell>
          <cell r="AH1390">
            <v>44951.956354166665</v>
          </cell>
          <cell r="AI1390" t="str">
            <v>N52</v>
          </cell>
          <cell r="AJ1390" t="str">
            <v>F</v>
          </cell>
          <cell r="AK1390" t="str">
            <v>A</v>
          </cell>
        </row>
        <row r="1391">
          <cell r="A1391" t="str">
            <v>12535076829540</v>
          </cell>
          <cell r="B1391" t="str">
            <v>Übergabe Task Force</v>
          </cell>
          <cell r="C1391" t="e">
            <v>#N/A</v>
          </cell>
          <cell r="D1391" t="str">
            <v>EK65</v>
          </cell>
          <cell r="E1391" t="str">
            <v>703806</v>
          </cell>
          <cell r="F1391" t="str">
            <v>E</v>
          </cell>
          <cell r="G1391" t="str">
            <v>12535076</v>
          </cell>
          <cell r="H1391" t="str">
            <v>Beilage</v>
          </cell>
          <cell r="I1391">
            <v>110</v>
          </cell>
          <cell r="J1391" t="str">
            <v>Stk</v>
          </cell>
          <cell r="K1391">
            <v>44991</v>
          </cell>
          <cell r="L1391" t="str">
            <v>829540</v>
          </cell>
          <cell r="M1391" t="str">
            <v/>
          </cell>
          <cell r="N1391" t="str">
            <v/>
          </cell>
          <cell r="O1391" t="str">
            <v/>
          </cell>
          <cell r="P1391" t="str">
            <v/>
          </cell>
          <cell r="Q1391" t="str">
            <v/>
          </cell>
          <cell r="R1391" t="str">
            <v/>
          </cell>
          <cell r="S1391" t="str">
            <v/>
          </cell>
          <cell r="T1391" t="str">
            <v/>
          </cell>
          <cell r="U1391" t="str">
            <v/>
          </cell>
          <cell r="V1391" t="str">
            <v>N52</v>
          </cell>
          <cell r="W1391" t="str">
            <v/>
          </cell>
          <cell r="X1391" t="str">
            <v/>
          </cell>
          <cell r="Y1391" t="str">
            <v/>
          </cell>
          <cell r="Z1391" t="str">
            <v/>
          </cell>
          <cell r="AA1391" t="str">
            <v/>
          </cell>
          <cell r="AB1391" t="str">
            <v>PA_2313683-ED.7005-4</v>
          </cell>
          <cell r="AC1391">
            <v>1</v>
          </cell>
          <cell r="AD1391" t="str">
            <v/>
          </cell>
          <cell r="AE1391">
            <v>0</v>
          </cell>
          <cell r="AF1391" t="str">
            <v/>
          </cell>
          <cell r="AG1391" t="str">
            <v>12535076</v>
          </cell>
          <cell r="AH1391">
            <v>44951.956365740742</v>
          </cell>
          <cell r="AI1391" t="str">
            <v>N52</v>
          </cell>
          <cell r="AJ1391" t="str">
            <v>F</v>
          </cell>
          <cell r="AK1391" t="str">
            <v/>
          </cell>
        </row>
        <row r="1392">
          <cell r="A1392" t="str">
            <v>12535076829560</v>
          </cell>
          <cell r="B1392" t="str">
            <v>Übergabe Task Force</v>
          </cell>
          <cell r="C1392" t="e">
            <v>#N/A</v>
          </cell>
          <cell r="D1392" t="str">
            <v>EK65</v>
          </cell>
          <cell r="E1392" t="str">
            <v>703807</v>
          </cell>
          <cell r="F1392" t="str">
            <v>E</v>
          </cell>
          <cell r="G1392" t="str">
            <v>12535076</v>
          </cell>
          <cell r="H1392" t="str">
            <v>Beilage</v>
          </cell>
          <cell r="I1392">
            <v>20</v>
          </cell>
          <cell r="J1392" t="str">
            <v>Stk</v>
          </cell>
          <cell r="K1392">
            <v>45028</v>
          </cell>
          <cell r="L1392" t="str">
            <v>829560</v>
          </cell>
          <cell r="M1392" t="str">
            <v/>
          </cell>
          <cell r="N1392" t="str">
            <v/>
          </cell>
          <cell r="O1392" t="str">
            <v/>
          </cell>
          <cell r="P1392" t="str">
            <v/>
          </cell>
          <cell r="Q1392" t="str">
            <v/>
          </cell>
          <cell r="R1392" t="str">
            <v/>
          </cell>
          <cell r="S1392" t="str">
            <v/>
          </cell>
          <cell r="T1392" t="str">
            <v/>
          </cell>
          <cell r="U1392" t="str">
            <v/>
          </cell>
          <cell r="V1392" t="str">
            <v>N52</v>
          </cell>
          <cell r="W1392" t="str">
            <v/>
          </cell>
          <cell r="X1392" t="str">
            <v/>
          </cell>
          <cell r="Y1392" t="str">
            <v/>
          </cell>
          <cell r="Z1392" t="str">
            <v/>
          </cell>
          <cell r="AA1392" t="str">
            <v/>
          </cell>
          <cell r="AB1392" t="str">
            <v>PA_2313683-ED.7005-4</v>
          </cell>
          <cell r="AC1392">
            <v>1</v>
          </cell>
          <cell r="AD1392" t="str">
            <v/>
          </cell>
          <cell r="AE1392">
            <v>0</v>
          </cell>
          <cell r="AF1392" t="str">
            <v/>
          </cell>
          <cell r="AG1392" t="str">
            <v>12535076</v>
          </cell>
          <cell r="AH1392">
            <v>44951.956365740742</v>
          </cell>
          <cell r="AI1392" t="str">
            <v>N52</v>
          </cell>
          <cell r="AJ1392" t="str">
            <v>F</v>
          </cell>
          <cell r="AK1392" t="str">
            <v/>
          </cell>
        </row>
        <row r="1393">
          <cell r="A1393" t="str">
            <v>12535076829510</v>
          </cell>
          <cell r="B1393" t="str">
            <v>Übergabe Task Force</v>
          </cell>
          <cell r="C1393" t="e">
            <v>#N/A</v>
          </cell>
          <cell r="D1393" t="str">
            <v>EK65</v>
          </cell>
          <cell r="E1393" t="str">
            <v>703808</v>
          </cell>
          <cell r="F1393" t="str">
            <v>E</v>
          </cell>
          <cell r="G1393" t="str">
            <v>12535076</v>
          </cell>
          <cell r="H1393" t="str">
            <v>Beilage</v>
          </cell>
          <cell r="I1393">
            <v>120</v>
          </cell>
          <cell r="J1393" t="str">
            <v>Stk</v>
          </cell>
          <cell r="K1393">
            <v>45048</v>
          </cell>
          <cell r="L1393" t="str">
            <v>829510</v>
          </cell>
          <cell r="M1393" t="str">
            <v/>
          </cell>
          <cell r="N1393" t="str">
            <v/>
          </cell>
          <cell r="O1393" t="str">
            <v/>
          </cell>
          <cell r="P1393" t="str">
            <v/>
          </cell>
          <cell r="Q1393" t="str">
            <v/>
          </cell>
          <cell r="R1393" t="str">
            <v/>
          </cell>
          <cell r="S1393" t="str">
            <v/>
          </cell>
          <cell r="T1393" t="str">
            <v/>
          </cell>
          <cell r="U1393" t="str">
            <v/>
          </cell>
          <cell r="V1393" t="str">
            <v>N52</v>
          </cell>
          <cell r="W1393" t="str">
            <v/>
          </cell>
          <cell r="X1393" t="str">
            <v/>
          </cell>
          <cell r="Y1393" t="str">
            <v/>
          </cell>
          <cell r="Z1393" t="str">
            <v/>
          </cell>
          <cell r="AA1393" t="str">
            <v/>
          </cell>
          <cell r="AB1393" t="str">
            <v>PA_2313683-ED.7005-4</v>
          </cell>
          <cell r="AC1393">
            <v>1</v>
          </cell>
          <cell r="AD1393" t="str">
            <v/>
          </cell>
          <cell r="AE1393">
            <v>0</v>
          </cell>
          <cell r="AF1393" t="str">
            <v/>
          </cell>
          <cell r="AG1393" t="str">
            <v>12535076</v>
          </cell>
          <cell r="AH1393">
            <v>44951.956365740742</v>
          </cell>
          <cell r="AI1393" t="str">
            <v>N52</v>
          </cell>
          <cell r="AJ1393" t="str">
            <v>F</v>
          </cell>
          <cell r="AK1393" t="str">
            <v/>
          </cell>
        </row>
        <row r="1394">
          <cell r="A1394" t="str">
            <v>12535076829520</v>
          </cell>
          <cell r="B1394" t="str">
            <v>Übergabe Task Force</v>
          </cell>
          <cell r="C1394" t="e">
            <v>#N/A</v>
          </cell>
          <cell r="D1394" t="str">
            <v>EK65</v>
          </cell>
          <cell r="E1394" t="str">
            <v>703809</v>
          </cell>
          <cell r="F1394" t="str">
            <v>E</v>
          </cell>
          <cell r="G1394" t="str">
            <v>12535076</v>
          </cell>
          <cell r="H1394" t="str">
            <v>Beilage</v>
          </cell>
          <cell r="I1394">
            <v>140</v>
          </cell>
          <cell r="J1394" t="str">
            <v>Stk</v>
          </cell>
          <cell r="K1394">
            <v>45048</v>
          </cell>
          <cell r="L1394" t="str">
            <v>829520</v>
          </cell>
          <cell r="M1394" t="str">
            <v/>
          </cell>
          <cell r="N1394" t="str">
            <v/>
          </cell>
          <cell r="O1394" t="str">
            <v/>
          </cell>
          <cell r="P1394" t="str">
            <v/>
          </cell>
          <cell r="Q1394" t="str">
            <v/>
          </cell>
          <cell r="R1394" t="str">
            <v/>
          </cell>
          <cell r="S1394" t="str">
            <v/>
          </cell>
          <cell r="T1394" t="str">
            <v/>
          </cell>
          <cell r="U1394" t="str">
            <v/>
          </cell>
          <cell r="V1394" t="str">
            <v>N52</v>
          </cell>
          <cell r="W1394" t="str">
            <v/>
          </cell>
          <cell r="X1394" t="str">
            <v/>
          </cell>
          <cell r="Y1394" t="str">
            <v/>
          </cell>
          <cell r="Z1394" t="str">
            <v/>
          </cell>
          <cell r="AA1394" t="str">
            <v/>
          </cell>
          <cell r="AB1394" t="str">
            <v>PA_2313683-ED.7005-4</v>
          </cell>
          <cell r="AC1394">
            <v>1</v>
          </cell>
          <cell r="AD1394" t="str">
            <v/>
          </cell>
          <cell r="AE1394">
            <v>0</v>
          </cell>
          <cell r="AF1394" t="str">
            <v/>
          </cell>
          <cell r="AG1394" t="str">
            <v>12535076</v>
          </cell>
          <cell r="AH1394">
            <v>44951.956365740742</v>
          </cell>
          <cell r="AI1394" t="str">
            <v>N52</v>
          </cell>
          <cell r="AJ1394" t="str">
            <v>F</v>
          </cell>
          <cell r="AK1394" t="str">
            <v/>
          </cell>
        </row>
        <row r="1395">
          <cell r="A1395" t="str">
            <v>12535076829530</v>
          </cell>
          <cell r="B1395" t="str">
            <v>Angefragt 22.03.2023</v>
          </cell>
          <cell r="C1395" t="e">
            <v>#N/A</v>
          </cell>
          <cell r="D1395" t="str">
            <v>EK65</v>
          </cell>
          <cell r="E1395" t="str">
            <v>703810</v>
          </cell>
          <cell r="F1395" t="str">
            <v>E</v>
          </cell>
          <cell r="G1395" t="str">
            <v>12535076</v>
          </cell>
          <cell r="H1395" t="str">
            <v>Beilage</v>
          </cell>
          <cell r="I1395">
            <v>20</v>
          </cell>
          <cell r="J1395" t="str">
            <v>Stk</v>
          </cell>
          <cell r="K1395">
            <v>45061</v>
          </cell>
          <cell r="L1395" t="str">
            <v>829530</v>
          </cell>
          <cell r="M1395" t="str">
            <v/>
          </cell>
          <cell r="N1395" t="str">
            <v/>
          </cell>
          <cell r="O1395" t="str">
            <v/>
          </cell>
          <cell r="P1395" t="str">
            <v/>
          </cell>
          <cell r="Q1395" t="str">
            <v/>
          </cell>
          <cell r="R1395" t="str">
            <v/>
          </cell>
          <cell r="S1395" t="str">
            <v/>
          </cell>
          <cell r="T1395" t="str">
            <v/>
          </cell>
          <cell r="U1395" t="str">
            <v/>
          </cell>
          <cell r="V1395" t="str">
            <v>N52</v>
          </cell>
          <cell r="W1395" t="str">
            <v/>
          </cell>
          <cell r="X1395" t="str">
            <v/>
          </cell>
          <cell r="Y1395" t="str">
            <v/>
          </cell>
          <cell r="Z1395" t="str">
            <v/>
          </cell>
          <cell r="AA1395" t="str">
            <v/>
          </cell>
          <cell r="AB1395" t="str">
            <v>PA_2313683-ED.7005-4</v>
          </cell>
          <cell r="AC1395">
            <v>1</v>
          </cell>
          <cell r="AD1395" t="str">
            <v/>
          </cell>
          <cell r="AE1395">
            <v>0</v>
          </cell>
          <cell r="AF1395" t="str">
            <v/>
          </cell>
          <cell r="AG1395" t="str">
            <v>12535076</v>
          </cell>
          <cell r="AH1395">
            <v>44951.956365740742</v>
          </cell>
          <cell r="AI1395" t="str">
            <v>N52</v>
          </cell>
          <cell r="AJ1395" t="str">
            <v>F</v>
          </cell>
          <cell r="AK1395" t="str">
            <v/>
          </cell>
        </row>
        <row r="1396">
          <cell r="A1396" t="str">
            <v>12535080829560</v>
          </cell>
          <cell r="B1396" t="str">
            <v>Übergabe Task Force</v>
          </cell>
          <cell r="C1396" t="e">
            <v>#N/A</v>
          </cell>
          <cell r="D1396" t="str">
            <v>EK65</v>
          </cell>
          <cell r="E1396" t="str">
            <v>703814</v>
          </cell>
          <cell r="F1396" t="str">
            <v>E</v>
          </cell>
          <cell r="G1396" t="str">
            <v>12535080</v>
          </cell>
          <cell r="H1396" t="str">
            <v>Halter</v>
          </cell>
          <cell r="I1396">
            <v>2</v>
          </cell>
          <cell r="J1396" t="str">
            <v>Stk</v>
          </cell>
          <cell r="K1396">
            <v>45028</v>
          </cell>
          <cell r="L1396" t="str">
            <v>829560</v>
          </cell>
          <cell r="M1396" t="str">
            <v/>
          </cell>
          <cell r="N1396" t="str">
            <v/>
          </cell>
          <cell r="O1396" t="str">
            <v/>
          </cell>
          <cell r="P1396" t="str">
            <v/>
          </cell>
          <cell r="Q1396" t="str">
            <v/>
          </cell>
          <cell r="R1396" t="str">
            <v/>
          </cell>
          <cell r="S1396" t="str">
            <v/>
          </cell>
          <cell r="T1396" t="str">
            <v/>
          </cell>
          <cell r="U1396" t="str">
            <v/>
          </cell>
          <cell r="V1396" t="str">
            <v>N52</v>
          </cell>
          <cell r="W1396" t="str">
            <v/>
          </cell>
          <cell r="X1396" t="str">
            <v/>
          </cell>
          <cell r="Y1396" t="str">
            <v/>
          </cell>
          <cell r="Z1396" t="str">
            <v/>
          </cell>
          <cell r="AA1396" t="str">
            <v/>
          </cell>
          <cell r="AB1396" t="str">
            <v>PA_4537103-UA.7005-3</v>
          </cell>
          <cell r="AC1396">
            <v>1</v>
          </cell>
          <cell r="AD1396" t="str">
            <v/>
          </cell>
          <cell r="AE1396">
            <v>0</v>
          </cell>
          <cell r="AF1396" t="str">
            <v/>
          </cell>
          <cell r="AG1396" t="str">
            <v>12535080</v>
          </cell>
          <cell r="AH1396">
            <v>44951.956388888888</v>
          </cell>
          <cell r="AI1396" t="str">
            <v>N52</v>
          </cell>
          <cell r="AJ1396" t="str">
            <v>F</v>
          </cell>
          <cell r="AK1396" t="str">
            <v/>
          </cell>
        </row>
        <row r="1397">
          <cell r="A1397" t="str">
            <v>12535092829560</v>
          </cell>
          <cell r="B1397" t="str">
            <v>Übergabe Task Force</v>
          </cell>
          <cell r="C1397" t="e">
            <v>#N/A</v>
          </cell>
          <cell r="D1397" t="str">
            <v>EK65</v>
          </cell>
          <cell r="E1397" t="str">
            <v>703835</v>
          </cell>
          <cell r="F1397" t="str">
            <v>E</v>
          </cell>
          <cell r="G1397" t="str">
            <v>12535092</v>
          </cell>
          <cell r="H1397" t="str">
            <v>Huelse</v>
          </cell>
          <cell r="I1397">
            <v>4</v>
          </cell>
          <cell r="J1397" t="str">
            <v>Stk</v>
          </cell>
          <cell r="K1397">
            <v>45028</v>
          </cell>
          <cell r="L1397" t="str">
            <v>829560</v>
          </cell>
          <cell r="M1397" t="str">
            <v/>
          </cell>
          <cell r="N1397" t="str">
            <v/>
          </cell>
          <cell r="O1397" t="str">
            <v/>
          </cell>
          <cell r="P1397" t="str">
            <v/>
          </cell>
          <cell r="Q1397" t="str">
            <v/>
          </cell>
          <cell r="R1397" t="str">
            <v/>
          </cell>
          <cell r="S1397" t="str">
            <v/>
          </cell>
          <cell r="T1397" t="str">
            <v/>
          </cell>
          <cell r="U1397" t="str">
            <v/>
          </cell>
          <cell r="V1397" t="str">
            <v>N52</v>
          </cell>
          <cell r="W1397" t="str">
            <v/>
          </cell>
          <cell r="X1397" t="str">
            <v/>
          </cell>
          <cell r="Y1397" t="str">
            <v/>
          </cell>
          <cell r="Z1397" t="str">
            <v/>
          </cell>
          <cell r="AA1397" t="str">
            <v/>
          </cell>
          <cell r="AB1397" t="str">
            <v>PA_4612787-ED.7005-4</v>
          </cell>
          <cell r="AC1397">
            <v>1</v>
          </cell>
          <cell r="AD1397" t="str">
            <v/>
          </cell>
          <cell r="AE1397">
            <v>0</v>
          </cell>
          <cell r="AF1397" t="str">
            <v/>
          </cell>
          <cell r="AG1397" t="str">
            <v>12535092</v>
          </cell>
          <cell r="AH1397">
            <v>44951.956458333334</v>
          </cell>
          <cell r="AI1397" t="str">
            <v>N52</v>
          </cell>
          <cell r="AJ1397" t="str">
            <v>F</v>
          </cell>
          <cell r="AK1397" t="str">
            <v/>
          </cell>
        </row>
        <row r="1398">
          <cell r="A1398" t="str">
            <v>12535092829520</v>
          </cell>
          <cell r="B1398" t="str">
            <v>Übergabe Task Force</v>
          </cell>
          <cell r="C1398" t="e">
            <v>#N/A</v>
          </cell>
          <cell r="D1398" t="str">
            <v>EK65</v>
          </cell>
          <cell r="E1398" t="str">
            <v>703836</v>
          </cell>
          <cell r="F1398" t="str">
            <v>E</v>
          </cell>
          <cell r="G1398" t="str">
            <v>12535092</v>
          </cell>
          <cell r="H1398" t="str">
            <v>Huelse</v>
          </cell>
          <cell r="I1398">
            <v>26</v>
          </cell>
          <cell r="J1398" t="str">
            <v>Stk</v>
          </cell>
          <cell r="K1398">
            <v>45049</v>
          </cell>
          <cell r="L1398" t="str">
            <v>829520</v>
          </cell>
          <cell r="M1398" t="str">
            <v/>
          </cell>
          <cell r="N1398" t="str">
            <v/>
          </cell>
          <cell r="O1398" t="str">
            <v/>
          </cell>
          <cell r="P1398" t="str">
            <v/>
          </cell>
          <cell r="Q1398" t="str">
            <v/>
          </cell>
          <cell r="R1398" t="str">
            <v/>
          </cell>
          <cell r="S1398" t="str">
            <v/>
          </cell>
          <cell r="T1398" t="str">
            <v/>
          </cell>
          <cell r="U1398" t="str">
            <v/>
          </cell>
          <cell r="V1398" t="str">
            <v>N52</v>
          </cell>
          <cell r="W1398" t="str">
            <v/>
          </cell>
          <cell r="X1398" t="str">
            <v/>
          </cell>
          <cell r="Y1398" t="str">
            <v/>
          </cell>
          <cell r="Z1398" t="str">
            <v/>
          </cell>
          <cell r="AA1398" t="str">
            <v/>
          </cell>
          <cell r="AB1398" t="str">
            <v>PA_4612787-ED.7005-4</v>
          </cell>
          <cell r="AC1398">
            <v>1</v>
          </cell>
          <cell r="AD1398" t="str">
            <v/>
          </cell>
          <cell r="AE1398">
            <v>0</v>
          </cell>
          <cell r="AF1398" t="str">
            <v/>
          </cell>
          <cell r="AG1398" t="str">
            <v>12535092</v>
          </cell>
          <cell r="AH1398">
            <v>44951.956458333334</v>
          </cell>
          <cell r="AI1398" t="str">
            <v>N52</v>
          </cell>
          <cell r="AJ1398" t="str">
            <v>F</v>
          </cell>
          <cell r="AK1398" t="str">
            <v/>
          </cell>
        </row>
        <row r="1399">
          <cell r="A1399" t="str">
            <v>12535092829510</v>
          </cell>
          <cell r="B1399" t="str">
            <v>Übergabe Task Force</v>
          </cell>
          <cell r="C1399" t="e">
            <v>#N/A</v>
          </cell>
          <cell r="D1399" t="str">
            <v>EK65</v>
          </cell>
          <cell r="E1399" t="str">
            <v>703837</v>
          </cell>
          <cell r="F1399" t="str">
            <v>E</v>
          </cell>
          <cell r="G1399" t="str">
            <v>12535092</v>
          </cell>
          <cell r="H1399" t="str">
            <v>Huelse</v>
          </cell>
          <cell r="I1399">
            <v>20</v>
          </cell>
          <cell r="J1399" t="str">
            <v>Stk</v>
          </cell>
          <cell r="K1399">
            <v>45054</v>
          </cell>
          <cell r="L1399" t="str">
            <v>829510</v>
          </cell>
          <cell r="M1399" t="str">
            <v/>
          </cell>
          <cell r="N1399" t="str">
            <v/>
          </cell>
          <cell r="O1399" t="str">
            <v/>
          </cell>
          <cell r="P1399" t="str">
            <v/>
          </cell>
          <cell r="Q1399" t="str">
            <v/>
          </cell>
          <cell r="R1399" t="str">
            <v/>
          </cell>
          <cell r="S1399" t="str">
            <v/>
          </cell>
          <cell r="T1399" t="str">
            <v/>
          </cell>
          <cell r="U1399" t="str">
            <v/>
          </cell>
          <cell r="V1399" t="str">
            <v>N52</v>
          </cell>
          <cell r="W1399" t="str">
            <v/>
          </cell>
          <cell r="X1399" t="str">
            <v/>
          </cell>
          <cell r="Y1399" t="str">
            <v/>
          </cell>
          <cell r="Z1399" t="str">
            <v/>
          </cell>
          <cell r="AA1399" t="str">
            <v/>
          </cell>
          <cell r="AB1399" t="str">
            <v>PA_4612787-ED.7005-4</v>
          </cell>
          <cell r="AC1399">
            <v>1</v>
          </cell>
          <cell r="AD1399" t="str">
            <v/>
          </cell>
          <cell r="AE1399">
            <v>0</v>
          </cell>
          <cell r="AF1399" t="str">
            <v/>
          </cell>
          <cell r="AG1399" t="str">
            <v>12535092</v>
          </cell>
          <cell r="AH1399">
            <v>44951.956458333334</v>
          </cell>
          <cell r="AI1399" t="str">
            <v>N52</v>
          </cell>
          <cell r="AJ1399" t="str">
            <v>F</v>
          </cell>
          <cell r="AK1399" t="str">
            <v/>
          </cell>
        </row>
        <row r="1400">
          <cell r="A1400" t="str">
            <v>12535092829530</v>
          </cell>
          <cell r="B1400" t="str">
            <v>Angefragt 22.03.2023</v>
          </cell>
          <cell r="C1400" t="e">
            <v>#N/A</v>
          </cell>
          <cell r="D1400" t="str">
            <v>EK65</v>
          </cell>
          <cell r="E1400" t="str">
            <v>703838</v>
          </cell>
          <cell r="F1400" t="str">
            <v>E</v>
          </cell>
          <cell r="G1400" t="str">
            <v>12535092</v>
          </cell>
          <cell r="H1400" t="str">
            <v>Huelse</v>
          </cell>
          <cell r="I1400">
            <v>1</v>
          </cell>
          <cell r="J1400" t="str">
            <v>Stk</v>
          </cell>
          <cell r="K1400">
            <v>45062</v>
          </cell>
          <cell r="L1400" t="str">
            <v>829530</v>
          </cell>
          <cell r="M1400" t="str">
            <v/>
          </cell>
          <cell r="N1400" t="str">
            <v/>
          </cell>
          <cell r="O1400" t="str">
            <v/>
          </cell>
          <cell r="P1400" t="str">
            <v/>
          </cell>
          <cell r="Q1400" t="str">
            <v/>
          </cell>
          <cell r="R1400" t="str">
            <v/>
          </cell>
          <cell r="S1400" t="str">
            <v/>
          </cell>
          <cell r="T1400" t="str">
            <v/>
          </cell>
          <cell r="U1400" t="str">
            <v/>
          </cell>
          <cell r="V1400" t="str">
            <v>N52</v>
          </cell>
          <cell r="W1400" t="str">
            <v/>
          </cell>
          <cell r="X1400" t="str">
            <v/>
          </cell>
          <cell r="Y1400" t="str">
            <v/>
          </cell>
          <cell r="Z1400" t="str">
            <v/>
          </cell>
          <cell r="AA1400" t="str">
            <v/>
          </cell>
          <cell r="AB1400" t="str">
            <v>PA_4612787-ED.7005-4</v>
          </cell>
          <cell r="AC1400">
            <v>1</v>
          </cell>
          <cell r="AD1400" t="str">
            <v/>
          </cell>
          <cell r="AE1400">
            <v>0</v>
          </cell>
          <cell r="AF1400" t="str">
            <v/>
          </cell>
          <cell r="AG1400" t="str">
            <v>12535092</v>
          </cell>
          <cell r="AH1400">
            <v>44951.956469907411</v>
          </cell>
          <cell r="AI1400" t="str">
            <v>N52</v>
          </cell>
          <cell r="AJ1400" t="str">
            <v>F</v>
          </cell>
          <cell r="AK1400" t="str">
            <v/>
          </cell>
        </row>
        <row r="1401">
          <cell r="A1401" t="str">
            <v>12535095829540</v>
          </cell>
          <cell r="B1401" t="str">
            <v>Übergabe Task Force</v>
          </cell>
          <cell r="C1401" t="e">
            <v>#N/A</v>
          </cell>
          <cell r="D1401" t="str">
            <v>EK65</v>
          </cell>
          <cell r="E1401" t="str">
            <v>703841</v>
          </cell>
          <cell r="F1401" t="str">
            <v>E</v>
          </cell>
          <cell r="G1401" t="str">
            <v>12535095</v>
          </cell>
          <cell r="H1401" t="str">
            <v>Beilage</v>
          </cell>
          <cell r="I1401">
            <v>87</v>
          </cell>
          <cell r="J1401" t="str">
            <v>Stk</v>
          </cell>
          <cell r="K1401">
            <v>44991</v>
          </cell>
          <cell r="L1401" t="str">
            <v>829540</v>
          </cell>
          <cell r="M1401" t="str">
            <v/>
          </cell>
          <cell r="N1401" t="str">
            <v/>
          </cell>
          <cell r="O1401" t="str">
            <v/>
          </cell>
          <cell r="P1401" t="str">
            <v/>
          </cell>
          <cell r="Q1401" t="str">
            <v/>
          </cell>
          <cell r="R1401" t="str">
            <v/>
          </cell>
          <cell r="S1401" t="str">
            <v/>
          </cell>
          <cell r="T1401" t="str">
            <v/>
          </cell>
          <cell r="U1401" t="str">
            <v/>
          </cell>
          <cell r="V1401" t="str">
            <v>N52</v>
          </cell>
          <cell r="W1401" t="str">
            <v/>
          </cell>
          <cell r="X1401" t="str">
            <v/>
          </cell>
          <cell r="Y1401" t="str">
            <v/>
          </cell>
          <cell r="Z1401" t="str">
            <v/>
          </cell>
          <cell r="AA1401" t="str">
            <v/>
          </cell>
          <cell r="AB1401" t="str">
            <v>PA_4615013-ED.7005-4</v>
          </cell>
          <cell r="AC1401">
            <v>1</v>
          </cell>
          <cell r="AD1401" t="str">
            <v/>
          </cell>
          <cell r="AE1401">
            <v>0</v>
          </cell>
          <cell r="AF1401" t="str">
            <v/>
          </cell>
          <cell r="AG1401" t="str">
            <v>12535095</v>
          </cell>
          <cell r="AH1401">
            <v>44951.95648148148</v>
          </cell>
          <cell r="AI1401" t="str">
            <v>N52</v>
          </cell>
          <cell r="AJ1401" t="str">
            <v>F</v>
          </cell>
          <cell r="AK1401" t="str">
            <v/>
          </cell>
        </row>
        <row r="1402">
          <cell r="A1402" t="str">
            <v>12535095829560</v>
          </cell>
          <cell r="B1402" t="str">
            <v>Übergabe Task Force</v>
          </cell>
          <cell r="C1402" t="e">
            <v>#N/A</v>
          </cell>
          <cell r="D1402" t="str">
            <v>EK65</v>
          </cell>
          <cell r="E1402" t="str">
            <v>703842</v>
          </cell>
          <cell r="F1402" t="str">
            <v>E</v>
          </cell>
          <cell r="G1402" t="str">
            <v>12535095</v>
          </cell>
          <cell r="H1402" t="str">
            <v>Beilage</v>
          </cell>
          <cell r="I1402">
            <v>16</v>
          </cell>
          <cell r="J1402" t="str">
            <v>Stk</v>
          </cell>
          <cell r="K1402">
            <v>45028</v>
          </cell>
          <cell r="L1402" t="str">
            <v>829560</v>
          </cell>
          <cell r="M1402" t="str">
            <v/>
          </cell>
          <cell r="N1402" t="str">
            <v/>
          </cell>
          <cell r="O1402" t="str">
            <v/>
          </cell>
          <cell r="P1402" t="str">
            <v/>
          </cell>
          <cell r="Q1402" t="str">
            <v/>
          </cell>
          <cell r="R1402" t="str">
            <v/>
          </cell>
          <cell r="S1402" t="str">
            <v/>
          </cell>
          <cell r="T1402" t="str">
            <v/>
          </cell>
          <cell r="U1402" t="str">
            <v/>
          </cell>
          <cell r="V1402" t="str">
            <v>N52</v>
          </cell>
          <cell r="W1402" t="str">
            <v/>
          </cell>
          <cell r="X1402" t="str">
            <v/>
          </cell>
          <cell r="Y1402" t="str">
            <v/>
          </cell>
          <cell r="Z1402" t="str">
            <v/>
          </cell>
          <cell r="AA1402" t="str">
            <v/>
          </cell>
          <cell r="AB1402" t="str">
            <v>PA_4615013-ED.7005-4</v>
          </cell>
          <cell r="AC1402">
            <v>1</v>
          </cell>
          <cell r="AD1402" t="str">
            <v/>
          </cell>
          <cell r="AE1402">
            <v>0</v>
          </cell>
          <cell r="AF1402" t="str">
            <v/>
          </cell>
          <cell r="AG1402" t="str">
            <v>12535095</v>
          </cell>
          <cell r="AH1402">
            <v>44951.95648148148</v>
          </cell>
          <cell r="AI1402" t="str">
            <v>N52</v>
          </cell>
          <cell r="AJ1402" t="str">
            <v>F</v>
          </cell>
          <cell r="AK1402" t="str">
            <v/>
          </cell>
        </row>
        <row r="1403">
          <cell r="A1403" t="str">
            <v>12535095829510</v>
          </cell>
          <cell r="B1403" t="str">
            <v>Übergabe Task Force</v>
          </cell>
          <cell r="C1403" t="e">
            <v>#N/A</v>
          </cell>
          <cell r="D1403" t="str">
            <v>EK65</v>
          </cell>
          <cell r="E1403" t="str">
            <v>703843</v>
          </cell>
          <cell r="F1403" t="str">
            <v>E</v>
          </cell>
          <cell r="G1403" t="str">
            <v>12535095</v>
          </cell>
          <cell r="H1403" t="str">
            <v>Beilage</v>
          </cell>
          <cell r="I1403">
            <v>95</v>
          </cell>
          <cell r="J1403" t="str">
            <v>Stk</v>
          </cell>
          <cell r="K1403">
            <v>45048</v>
          </cell>
          <cell r="L1403" t="str">
            <v>829510</v>
          </cell>
          <cell r="M1403" t="str">
            <v/>
          </cell>
          <cell r="N1403" t="str">
            <v/>
          </cell>
          <cell r="O1403" t="str">
            <v/>
          </cell>
          <cell r="P1403" t="str">
            <v/>
          </cell>
          <cell r="Q1403" t="str">
            <v/>
          </cell>
          <cell r="R1403" t="str">
            <v/>
          </cell>
          <cell r="S1403" t="str">
            <v/>
          </cell>
          <cell r="T1403" t="str">
            <v/>
          </cell>
          <cell r="U1403" t="str">
            <v/>
          </cell>
          <cell r="V1403" t="str">
            <v>N52</v>
          </cell>
          <cell r="W1403" t="str">
            <v/>
          </cell>
          <cell r="X1403" t="str">
            <v/>
          </cell>
          <cell r="Y1403" t="str">
            <v/>
          </cell>
          <cell r="Z1403" t="str">
            <v/>
          </cell>
          <cell r="AA1403" t="str">
            <v/>
          </cell>
          <cell r="AB1403" t="str">
            <v>PA_4615013-ED.7005-4</v>
          </cell>
          <cell r="AC1403">
            <v>1</v>
          </cell>
          <cell r="AD1403" t="str">
            <v/>
          </cell>
          <cell r="AE1403">
            <v>0</v>
          </cell>
          <cell r="AF1403" t="str">
            <v/>
          </cell>
          <cell r="AG1403" t="str">
            <v>12535095</v>
          </cell>
          <cell r="AH1403">
            <v>44951.95648148148</v>
          </cell>
          <cell r="AI1403" t="str">
            <v>N52</v>
          </cell>
          <cell r="AJ1403" t="str">
            <v>F</v>
          </cell>
          <cell r="AK1403" t="str">
            <v/>
          </cell>
        </row>
        <row r="1404">
          <cell r="A1404" t="str">
            <v>12535095829520</v>
          </cell>
          <cell r="B1404" t="str">
            <v>Übergabe Task Force</v>
          </cell>
          <cell r="C1404" t="e">
            <v>#N/A</v>
          </cell>
          <cell r="D1404" t="str">
            <v>EK65</v>
          </cell>
          <cell r="E1404" t="str">
            <v>703844</v>
          </cell>
          <cell r="F1404" t="str">
            <v>E</v>
          </cell>
          <cell r="G1404" t="str">
            <v>12535095</v>
          </cell>
          <cell r="H1404" t="str">
            <v>Beilage</v>
          </cell>
          <cell r="I1404">
            <v>105</v>
          </cell>
          <cell r="J1404" t="str">
            <v>Stk</v>
          </cell>
          <cell r="K1404">
            <v>45048</v>
          </cell>
          <cell r="L1404" t="str">
            <v>829520</v>
          </cell>
          <cell r="M1404" t="str">
            <v/>
          </cell>
          <cell r="N1404" t="str">
            <v/>
          </cell>
          <cell r="O1404" t="str">
            <v/>
          </cell>
          <cell r="P1404" t="str">
            <v/>
          </cell>
          <cell r="Q1404" t="str">
            <v/>
          </cell>
          <cell r="R1404" t="str">
            <v/>
          </cell>
          <cell r="S1404" t="str">
            <v/>
          </cell>
          <cell r="T1404" t="str">
            <v/>
          </cell>
          <cell r="U1404" t="str">
            <v/>
          </cell>
          <cell r="V1404" t="str">
            <v>N52</v>
          </cell>
          <cell r="W1404" t="str">
            <v/>
          </cell>
          <cell r="X1404" t="str">
            <v/>
          </cell>
          <cell r="Y1404" t="str">
            <v/>
          </cell>
          <cell r="Z1404" t="str">
            <v/>
          </cell>
          <cell r="AA1404" t="str">
            <v/>
          </cell>
          <cell r="AB1404" t="str">
            <v>PA_4615013-ED.7005-4</v>
          </cell>
          <cell r="AC1404">
            <v>1</v>
          </cell>
          <cell r="AD1404" t="str">
            <v/>
          </cell>
          <cell r="AE1404">
            <v>0</v>
          </cell>
          <cell r="AF1404" t="str">
            <v/>
          </cell>
          <cell r="AG1404" t="str">
            <v>12535095</v>
          </cell>
          <cell r="AH1404">
            <v>44951.95648148148</v>
          </cell>
          <cell r="AI1404" t="str">
            <v>N52</v>
          </cell>
          <cell r="AJ1404" t="str">
            <v>F</v>
          </cell>
          <cell r="AK1404" t="str">
            <v/>
          </cell>
        </row>
        <row r="1405">
          <cell r="A1405" t="str">
            <v>12535095829530</v>
          </cell>
          <cell r="B1405" t="str">
            <v>Angefragt 22.03.2023</v>
          </cell>
          <cell r="C1405" t="e">
            <v>#N/A</v>
          </cell>
          <cell r="D1405" t="str">
            <v>EK65</v>
          </cell>
          <cell r="E1405" t="str">
            <v>703845</v>
          </cell>
          <cell r="F1405" t="str">
            <v>E</v>
          </cell>
          <cell r="G1405" t="str">
            <v>12535095</v>
          </cell>
          <cell r="H1405" t="str">
            <v>Beilage</v>
          </cell>
          <cell r="I1405">
            <v>14</v>
          </cell>
          <cell r="J1405" t="str">
            <v>Stk</v>
          </cell>
          <cell r="K1405">
            <v>45061</v>
          </cell>
          <cell r="L1405" t="str">
            <v>829530</v>
          </cell>
          <cell r="M1405" t="str">
            <v/>
          </cell>
          <cell r="N1405" t="str">
            <v/>
          </cell>
          <cell r="O1405" t="str">
            <v/>
          </cell>
          <cell r="P1405" t="str">
            <v/>
          </cell>
          <cell r="Q1405" t="str">
            <v/>
          </cell>
          <cell r="R1405" t="str">
            <v/>
          </cell>
          <cell r="S1405" t="str">
            <v/>
          </cell>
          <cell r="T1405" t="str">
            <v/>
          </cell>
          <cell r="U1405" t="str">
            <v/>
          </cell>
          <cell r="V1405" t="str">
            <v>N52</v>
          </cell>
          <cell r="W1405" t="str">
            <v/>
          </cell>
          <cell r="X1405" t="str">
            <v/>
          </cell>
          <cell r="Y1405" t="str">
            <v/>
          </cell>
          <cell r="Z1405" t="str">
            <v/>
          </cell>
          <cell r="AA1405" t="str">
            <v/>
          </cell>
          <cell r="AB1405" t="str">
            <v>PA_4615013-ED.7005-4</v>
          </cell>
          <cell r="AC1405">
            <v>1</v>
          </cell>
          <cell r="AD1405" t="str">
            <v/>
          </cell>
          <cell r="AE1405">
            <v>0</v>
          </cell>
          <cell r="AF1405" t="str">
            <v/>
          </cell>
          <cell r="AG1405" t="str">
            <v>12535095</v>
          </cell>
          <cell r="AH1405">
            <v>44951.95648148148</v>
          </cell>
          <cell r="AI1405" t="str">
            <v>N52</v>
          </cell>
          <cell r="AJ1405" t="str">
            <v>F</v>
          </cell>
          <cell r="AK1405" t="str">
            <v/>
          </cell>
        </row>
        <row r="1406">
          <cell r="A1406" t="str">
            <v>12535096829560</v>
          </cell>
          <cell r="B1406" t="str">
            <v>Übergabe Task Force</v>
          </cell>
          <cell r="C1406" t="e">
            <v>#N/A</v>
          </cell>
          <cell r="D1406" t="str">
            <v>EK65</v>
          </cell>
          <cell r="E1406" t="str">
            <v>703847</v>
          </cell>
          <cell r="F1406" t="str">
            <v>E</v>
          </cell>
          <cell r="G1406" t="str">
            <v>12535096</v>
          </cell>
          <cell r="H1406" t="str">
            <v>Verschleissplatte</v>
          </cell>
          <cell r="I1406">
            <v>4</v>
          </cell>
          <cell r="J1406" t="str">
            <v>Stk</v>
          </cell>
          <cell r="K1406">
            <v>45028</v>
          </cell>
          <cell r="L1406" t="str">
            <v>829560</v>
          </cell>
          <cell r="M1406" t="str">
            <v/>
          </cell>
          <cell r="N1406" t="str">
            <v/>
          </cell>
          <cell r="O1406" t="str">
            <v/>
          </cell>
          <cell r="P1406" t="str">
            <v/>
          </cell>
          <cell r="Q1406" t="str">
            <v/>
          </cell>
          <cell r="R1406" t="str">
            <v/>
          </cell>
          <cell r="S1406" t="str">
            <v/>
          </cell>
          <cell r="T1406" t="str">
            <v/>
          </cell>
          <cell r="U1406" t="str">
            <v/>
          </cell>
          <cell r="V1406" t="str">
            <v>N52</v>
          </cell>
          <cell r="W1406" t="str">
            <v/>
          </cell>
          <cell r="X1406" t="str">
            <v/>
          </cell>
          <cell r="Y1406" t="str">
            <v/>
          </cell>
          <cell r="Z1406" t="str">
            <v/>
          </cell>
          <cell r="AA1406" t="str">
            <v/>
          </cell>
          <cell r="AB1406" t="str">
            <v>PA_4615065-ED.7005-4</v>
          </cell>
          <cell r="AC1406">
            <v>1</v>
          </cell>
          <cell r="AD1406" t="str">
            <v/>
          </cell>
          <cell r="AE1406">
            <v>0</v>
          </cell>
          <cell r="AF1406" t="str">
            <v/>
          </cell>
          <cell r="AG1406" t="str">
            <v>12535096</v>
          </cell>
          <cell r="AH1406">
            <v>44951.956493055557</v>
          </cell>
          <cell r="AI1406" t="str">
            <v>N52</v>
          </cell>
          <cell r="AJ1406" t="str">
            <v>F</v>
          </cell>
          <cell r="AK1406" t="str">
            <v/>
          </cell>
        </row>
        <row r="1407">
          <cell r="A1407" t="str">
            <v>12535096829510</v>
          </cell>
          <cell r="B1407" t="str">
            <v>Übergabe Task Force</v>
          </cell>
          <cell r="C1407" t="e">
            <v>#N/A</v>
          </cell>
          <cell r="D1407" t="str">
            <v>EK65</v>
          </cell>
          <cell r="E1407" t="str">
            <v>703848</v>
          </cell>
          <cell r="F1407" t="str">
            <v>E</v>
          </cell>
          <cell r="G1407" t="str">
            <v>12535096</v>
          </cell>
          <cell r="H1407" t="str">
            <v>Verschleissplatte</v>
          </cell>
          <cell r="I1407">
            <v>24</v>
          </cell>
          <cell r="J1407" t="str">
            <v>Stk</v>
          </cell>
          <cell r="K1407">
            <v>45048</v>
          </cell>
          <cell r="L1407" t="str">
            <v>829510</v>
          </cell>
          <cell r="M1407" t="str">
            <v/>
          </cell>
          <cell r="N1407" t="str">
            <v/>
          </cell>
          <cell r="O1407" t="str">
            <v/>
          </cell>
          <cell r="P1407" t="str">
            <v/>
          </cell>
          <cell r="Q1407" t="str">
            <v/>
          </cell>
          <cell r="R1407" t="str">
            <v/>
          </cell>
          <cell r="S1407" t="str">
            <v/>
          </cell>
          <cell r="T1407" t="str">
            <v/>
          </cell>
          <cell r="U1407" t="str">
            <v/>
          </cell>
          <cell r="V1407" t="str">
            <v>N52</v>
          </cell>
          <cell r="W1407" t="str">
            <v/>
          </cell>
          <cell r="X1407" t="str">
            <v/>
          </cell>
          <cell r="Y1407" t="str">
            <v/>
          </cell>
          <cell r="Z1407" t="str">
            <v/>
          </cell>
          <cell r="AA1407" t="str">
            <v/>
          </cell>
          <cell r="AB1407" t="str">
            <v>PA_4615065-ED.7005-4</v>
          </cell>
          <cell r="AC1407">
            <v>1</v>
          </cell>
          <cell r="AD1407" t="str">
            <v/>
          </cell>
          <cell r="AE1407">
            <v>0</v>
          </cell>
          <cell r="AF1407" t="str">
            <v/>
          </cell>
          <cell r="AG1407" t="str">
            <v>12535096</v>
          </cell>
          <cell r="AH1407">
            <v>44951.956493055557</v>
          </cell>
          <cell r="AI1407" t="str">
            <v>N52</v>
          </cell>
          <cell r="AJ1407" t="str">
            <v>F</v>
          </cell>
          <cell r="AK1407" t="str">
            <v/>
          </cell>
        </row>
        <row r="1408">
          <cell r="A1408" t="str">
            <v>12535096829520</v>
          </cell>
          <cell r="B1408" t="str">
            <v>Übergabe Task Force</v>
          </cell>
          <cell r="C1408" t="e">
            <v>#N/A</v>
          </cell>
          <cell r="D1408" t="str">
            <v>EK65</v>
          </cell>
          <cell r="E1408" t="str">
            <v>703849</v>
          </cell>
          <cell r="F1408" t="str">
            <v>E</v>
          </cell>
          <cell r="G1408" t="str">
            <v>12535096</v>
          </cell>
          <cell r="H1408" t="str">
            <v>Verschleissplatte</v>
          </cell>
          <cell r="I1408">
            <v>26</v>
          </cell>
          <cell r="J1408" t="str">
            <v>Stk</v>
          </cell>
          <cell r="K1408">
            <v>45049</v>
          </cell>
          <cell r="L1408" t="str">
            <v>829520</v>
          </cell>
          <cell r="M1408" t="str">
            <v/>
          </cell>
          <cell r="N1408" t="str">
            <v/>
          </cell>
          <cell r="O1408" t="str">
            <v/>
          </cell>
          <cell r="P1408" t="str">
            <v/>
          </cell>
          <cell r="Q1408" t="str">
            <v/>
          </cell>
          <cell r="R1408" t="str">
            <v/>
          </cell>
          <cell r="S1408" t="str">
            <v/>
          </cell>
          <cell r="T1408" t="str">
            <v/>
          </cell>
          <cell r="U1408" t="str">
            <v/>
          </cell>
          <cell r="V1408" t="str">
            <v>N52</v>
          </cell>
          <cell r="W1408" t="str">
            <v/>
          </cell>
          <cell r="X1408" t="str">
            <v/>
          </cell>
          <cell r="Y1408" t="str">
            <v/>
          </cell>
          <cell r="Z1408" t="str">
            <v/>
          </cell>
          <cell r="AA1408" t="str">
            <v/>
          </cell>
          <cell r="AB1408" t="str">
            <v>PA_4615065-ED.7005-4</v>
          </cell>
          <cell r="AC1408">
            <v>1</v>
          </cell>
          <cell r="AD1408" t="str">
            <v/>
          </cell>
          <cell r="AE1408">
            <v>0</v>
          </cell>
          <cell r="AF1408" t="str">
            <v/>
          </cell>
          <cell r="AG1408" t="str">
            <v>12535096</v>
          </cell>
          <cell r="AH1408">
            <v>44951.956493055557</v>
          </cell>
          <cell r="AI1408" t="str">
            <v>N52</v>
          </cell>
          <cell r="AJ1408" t="str">
            <v>F</v>
          </cell>
          <cell r="AK1408" t="str">
            <v/>
          </cell>
        </row>
        <row r="1409">
          <cell r="A1409" t="str">
            <v>12535096829530</v>
          </cell>
          <cell r="B1409" t="str">
            <v>Angefragt 22.03.2023</v>
          </cell>
          <cell r="C1409" t="e">
            <v>#N/A</v>
          </cell>
          <cell r="D1409" t="str">
            <v>EK65</v>
          </cell>
          <cell r="E1409" t="str">
            <v>703850</v>
          </cell>
          <cell r="F1409" t="str">
            <v>E</v>
          </cell>
          <cell r="G1409" t="str">
            <v>12535096</v>
          </cell>
          <cell r="H1409" t="str">
            <v>Verschleissplatte</v>
          </cell>
          <cell r="I1409">
            <v>4</v>
          </cell>
          <cell r="J1409" t="str">
            <v>Stk</v>
          </cell>
          <cell r="K1409">
            <v>45061</v>
          </cell>
          <cell r="L1409" t="str">
            <v>829530</v>
          </cell>
          <cell r="M1409" t="str">
            <v/>
          </cell>
          <cell r="N1409" t="str">
            <v/>
          </cell>
          <cell r="O1409" t="str">
            <v/>
          </cell>
          <cell r="P1409" t="str">
            <v/>
          </cell>
          <cell r="Q1409" t="str">
            <v/>
          </cell>
          <cell r="R1409" t="str">
            <v/>
          </cell>
          <cell r="S1409" t="str">
            <v/>
          </cell>
          <cell r="T1409" t="str">
            <v/>
          </cell>
          <cell r="U1409" t="str">
            <v/>
          </cell>
          <cell r="V1409" t="str">
            <v>N52</v>
          </cell>
          <cell r="W1409" t="str">
            <v/>
          </cell>
          <cell r="X1409" t="str">
            <v/>
          </cell>
          <cell r="Y1409" t="str">
            <v/>
          </cell>
          <cell r="Z1409" t="str">
            <v/>
          </cell>
          <cell r="AA1409" t="str">
            <v/>
          </cell>
          <cell r="AB1409" t="str">
            <v>PA_4615065-ED.7005-4</v>
          </cell>
          <cell r="AC1409">
            <v>1</v>
          </cell>
          <cell r="AD1409" t="str">
            <v/>
          </cell>
          <cell r="AE1409">
            <v>0</v>
          </cell>
          <cell r="AF1409" t="str">
            <v/>
          </cell>
          <cell r="AG1409" t="str">
            <v>12535096</v>
          </cell>
          <cell r="AH1409">
            <v>44951.956493055557</v>
          </cell>
          <cell r="AI1409" t="str">
            <v>N52</v>
          </cell>
          <cell r="AJ1409" t="str">
            <v>F</v>
          </cell>
          <cell r="AK1409" t="str">
            <v/>
          </cell>
        </row>
        <row r="1410">
          <cell r="A1410" t="str">
            <v>12535097829560</v>
          </cell>
          <cell r="B1410" t="str">
            <v>Übergabe Task Force</v>
          </cell>
          <cell r="C1410" t="e">
            <v>#N/A</v>
          </cell>
          <cell r="D1410" t="str">
            <v>EK65</v>
          </cell>
          <cell r="E1410" t="str">
            <v>703853</v>
          </cell>
          <cell r="F1410" t="str">
            <v>E</v>
          </cell>
          <cell r="G1410" t="str">
            <v>12535097</v>
          </cell>
          <cell r="H1410" t="str">
            <v>Beilage</v>
          </cell>
          <cell r="I1410">
            <v>8</v>
          </cell>
          <cell r="J1410" t="str">
            <v>Stk</v>
          </cell>
          <cell r="K1410">
            <v>45028</v>
          </cell>
          <cell r="L1410" t="str">
            <v>829560</v>
          </cell>
          <cell r="M1410" t="str">
            <v/>
          </cell>
          <cell r="N1410" t="str">
            <v/>
          </cell>
          <cell r="O1410" t="str">
            <v/>
          </cell>
          <cell r="P1410" t="str">
            <v/>
          </cell>
          <cell r="Q1410" t="str">
            <v/>
          </cell>
          <cell r="R1410" t="str">
            <v/>
          </cell>
          <cell r="S1410" t="str">
            <v/>
          </cell>
          <cell r="T1410" t="str">
            <v/>
          </cell>
          <cell r="U1410" t="str">
            <v/>
          </cell>
          <cell r="V1410" t="str">
            <v>N52</v>
          </cell>
          <cell r="W1410" t="str">
            <v/>
          </cell>
          <cell r="X1410" t="str">
            <v/>
          </cell>
          <cell r="Y1410" t="str">
            <v/>
          </cell>
          <cell r="Z1410" t="str">
            <v/>
          </cell>
          <cell r="AA1410" t="str">
            <v/>
          </cell>
          <cell r="AB1410" t="str">
            <v>PA_4615083-ED.7005-4</v>
          </cell>
          <cell r="AC1410">
            <v>1</v>
          </cell>
          <cell r="AD1410" t="str">
            <v/>
          </cell>
          <cell r="AE1410">
            <v>0</v>
          </cell>
          <cell r="AF1410" t="str">
            <v/>
          </cell>
          <cell r="AG1410" t="str">
            <v>12535097</v>
          </cell>
          <cell r="AH1410">
            <v>44951.956504629627</v>
          </cell>
          <cell r="AI1410" t="str">
            <v>N52</v>
          </cell>
          <cell r="AJ1410" t="str">
            <v>F</v>
          </cell>
          <cell r="AK1410" t="str">
            <v/>
          </cell>
        </row>
        <row r="1411">
          <cell r="A1411" t="str">
            <v>12535097829510</v>
          </cell>
          <cell r="B1411" t="str">
            <v>Übergabe Task Force</v>
          </cell>
          <cell r="C1411" t="e">
            <v>#N/A</v>
          </cell>
          <cell r="D1411" t="str">
            <v>EK65</v>
          </cell>
          <cell r="E1411" t="str">
            <v>703854</v>
          </cell>
          <cell r="F1411" t="str">
            <v>E</v>
          </cell>
          <cell r="G1411" t="str">
            <v>12535097</v>
          </cell>
          <cell r="H1411" t="str">
            <v>Beilage</v>
          </cell>
          <cell r="I1411">
            <v>45</v>
          </cell>
          <cell r="J1411" t="str">
            <v>Stk</v>
          </cell>
          <cell r="K1411">
            <v>45048</v>
          </cell>
          <cell r="L1411" t="str">
            <v>829510</v>
          </cell>
          <cell r="M1411" t="str">
            <v/>
          </cell>
          <cell r="N1411" t="str">
            <v/>
          </cell>
          <cell r="O1411" t="str">
            <v/>
          </cell>
          <cell r="P1411" t="str">
            <v/>
          </cell>
          <cell r="Q1411" t="str">
            <v/>
          </cell>
          <cell r="R1411" t="str">
            <v/>
          </cell>
          <cell r="S1411" t="str">
            <v/>
          </cell>
          <cell r="T1411" t="str">
            <v/>
          </cell>
          <cell r="U1411" t="str">
            <v/>
          </cell>
          <cell r="V1411" t="str">
            <v>N52</v>
          </cell>
          <cell r="W1411" t="str">
            <v/>
          </cell>
          <cell r="X1411" t="str">
            <v/>
          </cell>
          <cell r="Y1411" t="str">
            <v/>
          </cell>
          <cell r="Z1411" t="str">
            <v/>
          </cell>
          <cell r="AA1411" t="str">
            <v/>
          </cell>
          <cell r="AB1411" t="str">
            <v>PA_4615083-ED.7005-4</v>
          </cell>
          <cell r="AC1411">
            <v>1</v>
          </cell>
          <cell r="AD1411" t="str">
            <v/>
          </cell>
          <cell r="AE1411">
            <v>0</v>
          </cell>
          <cell r="AF1411" t="str">
            <v/>
          </cell>
          <cell r="AG1411" t="str">
            <v>12535097</v>
          </cell>
          <cell r="AH1411">
            <v>44951.956504629627</v>
          </cell>
          <cell r="AI1411" t="str">
            <v>N52</v>
          </cell>
          <cell r="AJ1411" t="str">
            <v>F</v>
          </cell>
          <cell r="AK1411" t="str">
            <v/>
          </cell>
        </row>
        <row r="1412">
          <cell r="A1412" t="str">
            <v>12535097829520</v>
          </cell>
          <cell r="B1412" t="str">
            <v>Übergabe Task Force</v>
          </cell>
          <cell r="C1412" t="e">
            <v>#N/A</v>
          </cell>
          <cell r="D1412" t="str">
            <v>EK65</v>
          </cell>
          <cell r="E1412" t="str">
            <v>703855</v>
          </cell>
          <cell r="F1412" t="str">
            <v>E</v>
          </cell>
          <cell r="G1412" t="str">
            <v>12535097</v>
          </cell>
          <cell r="H1412" t="str">
            <v>Beilage</v>
          </cell>
          <cell r="I1412">
            <v>56</v>
          </cell>
          <cell r="J1412" t="str">
            <v>Stk</v>
          </cell>
          <cell r="K1412">
            <v>45048</v>
          </cell>
          <cell r="L1412" t="str">
            <v>829520</v>
          </cell>
          <cell r="M1412" t="str">
            <v/>
          </cell>
          <cell r="N1412" t="str">
            <v/>
          </cell>
          <cell r="O1412" t="str">
            <v/>
          </cell>
          <cell r="P1412" t="str">
            <v/>
          </cell>
          <cell r="Q1412" t="str">
            <v/>
          </cell>
          <cell r="R1412" t="str">
            <v/>
          </cell>
          <cell r="S1412" t="str">
            <v/>
          </cell>
          <cell r="T1412" t="str">
            <v/>
          </cell>
          <cell r="U1412" t="str">
            <v/>
          </cell>
          <cell r="V1412" t="str">
            <v>N52</v>
          </cell>
          <cell r="W1412" t="str">
            <v/>
          </cell>
          <cell r="X1412" t="str">
            <v/>
          </cell>
          <cell r="Y1412" t="str">
            <v/>
          </cell>
          <cell r="Z1412" t="str">
            <v/>
          </cell>
          <cell r="AA1412" t="str">
            <v/>
          </cell>
          <cell r="AB1412" t="str">
            <v>PA_4615083-ED.7005-4</v>
          </cell>
          <cell r="AC1412">
            <v>1</v>
          </cell>
          <cell r="AD1412" t="str">
            <v/>
          </cell>
          <cell r="AE1412">
            <v>0</v>
          </cell>
          <cell r="AF1412" t="str">
            <v/>
          </cell>
          <cell r="AG1412" t="str">
            <v>12535097</v>
          </cell>
          <cell r="AH1412">
            <v>44951.956504629627</v>
          </cell>
          <cell r="AI1412" t="str">
            <v>N52</v>
          </cell>
          <cell r="AJ1412" t="str">
            <v>F</v>
          </cell>
          <cell r="AK1412" t="str">
            <v/>
          </cell>
        </row>
        <row r="1413">
          <cell r="A1413" t="str">
            <v>12535097829530</v>
          </cell>
          <cell r="B1413" t="str">
            <v>Angefragt 22.03.2023</v>
          </cell>
          <cell r="C1413" t="e">
            <v>#N/A</v>
          </cell>
          <cell r="D1413" t="str">
            <v>EK65</v>
          </cell>
          <cell r="E1413" t="str">
            <v>703856</v>
          </cell>
          <cell r="F1413" t="str">
            <v>E</v>
          </cell>
          <cell r="G1413" t="str">
            <v>12535097</v>
          </cell>
          <cell r="H1413" t="str">
            <v>Beilage</v>
          </cell>
          <cell r="I1413">
            <v>7</v>
          </cell>
          <cell r="J1413" t="str">
            <v>Stk</v>
          </cell>
          <cell r="K1413">
            <v>45061</v>
          </cell>
          <cell r="L1413" t="str">
            <v>829530</v>
          </cell>
          <cell r="M1413" t="str">
            <v/>
          </cell>
          <cell r="N1413" t="str">
            <v/>
          </cell>
          <cell r="O1413" t="str">
            <v/>
          </cell>
          <cell r="P1413" t="str">
            <v/>
          </cell>
          <cell r="Q1413" t="str">
            <v/>
          </cell>
          <cell r="R1413" t="str">
            <v/>
          </cell>
          <cell r="S1413" t="str">
            <v/>
          </cell>
          <cell r="T1413" t="str">
            <v/>
          </cell>
          <cell r="U1413" t="str">
            <v/>
          </cell>
          <cell r="V1413" t="str">
            <v>N52</v>
          </cell>
          <cell r="W1413" t="str">
            <v/>
          </cell>
          <cell r="X1413" t="str">
            <v/>
          </cell>
          <cell r="Y1413" t="str">
            <v/>
          </cell>
          <cell r="Z1413" t="str">
            <v/>
          </cell>
          <cell r="AA1413" t="str">
            <v/>
          </cell>
          <cell r="AB1413" t="str">
            <v>PA_4615083-ED.7005-4</v>
          </cell>
          <cell r="AC1413">
            <v>1</v>
          </cell>
          <cell r="AD1413" t="str">
            <v/>
          </cell>
          <cell r="AE1413">
            <v>0</v>
          </cell>
          <cell r="AF1413" t="str">
            <v/>
          </cell>
          <cell r="AG1413" t="str">
            <v>12535097</v>
          </cell>
          <cell r="AH1413">
            <v>44951.956504629627</v>
          </cell>
          <cell r="AI1413" t="str">
            <v>N52</v>
          </cell>
          <cell r="AJ1413" t="str">
            <v>F</v>
          </cell>
          <cell r="AK1413" t="str">
            <v/>
          </cell>
        </row>
        <row r="1414">
          <cell r="A1414" t="str">
            <v>12535640829054</v>
          </cell>
          <cell r="B1414" t="str">
            <v>Übergabe Task Force</v>
          </cell>
          <cell r="C1414">
            <v>24</v>
          </cell>
          <cell r="D1414" t="str">
            <v>EK65</v>
          </cell>
          <cell r="E1414" t="str">
            <v>703877</v>
          </cell>
          <cell r="F1414" t="str">
            <v>E</v>
          </cell>
          <cell r="G1414" t="str">
            <v>12535640</v>
          </cell>
          <cell r="H1414" t="str">
            <v>Blech</v>
          </cell>
          <cell r="I1414">
            <v>14</v>
          </cell>
          <cell r="J1414" t="str">
            <v>Stk</v>
          </cell>
          <cell r="K1414">
            <v>45156</v>
          </cell>
          <cell r="L1414" t="str">
            <v>829054</v>
          </cell>
          <cell r="M1414" t="str">
            <v/>
          </cell>
          <cell r="N1414" t="str">
            <v/>
          </cell>
          <cell r="O1414" t="str">
            <v/>
          </cell>
          <cell r="P1414" t="str">
            <v/>
          </cell>
          <cell r="Q1414" t="str">
            <v/>
          </cell>
          <cell r="R1414" t="str">
            <v/>
          </cell>
          <cell r="S1414" t="str">
            <v/>
          </cell>
          <cell r="T1414" t="str">
            <v/>
          </cell>
          <cell r="U1414" t="str">
            <v/>
          </cell>
          <cell r="V1414" t="str">
            <v>H06</v>
          </cell>
          <cell r="W1414" t="str">
            <v/>
          </cell>
          <cell r="X1414" t="str">
            <v/>
          </cell>
          <cell r="Y1414" t="str">
            <v/>
          </cell>
          <cell r="Z1414" t="str">
            <v/>
          </cell>
          <cell r="AA1414" t="str">
            <v/>
          </cell>
          <cell r="AB1414" t="str">
            <v>PA_4591520-TB.7005-3</v>
          </cell>
          <cell r="AC1414">
            <v>1</v>
          </cell>
          <cell r="AD1414" t="str">
            <v/>
          </cell>
          <cell r="AE1414">
            <v>0</v>
          </cell>
          <cell r="AF1414" t="str">
            <v/>
          </cell>
          <cell r="AG1414" t="str">
            <v>12535640</v>
          </cell>
          <cell r="AH1414">
            <v>44951.956585648149</v>
          </cell>
          <cell r="AI1414" t="str">
            <v>H06</v>
          </cell>
          <cell r="AJ1414" t="str">
            <v>F</v>
          </cell>
          <cell r="AK1414" t="str">
            <v/>
          </cell>
        </row>
        <row r="1415">
          <cell r="A1415" t="str">
            <v>12535640829052</v>
          </cell>
          <cell r="B1415" t="str">
            <v>Übergabe Task Force</v>
          </cell>
          <cell r="C1415">
            <v>24</v>
          </cell>
          <cell r="D1415" t="str">
            <v>EK65</v>
          </cell>
          <cell r="E1415" t="str">
            <v>703878</v>
          </cell>
          <cell r="F1415" t="str">
            <v>E</v>
          </cell>
          <cell r="G1415" t="str">
            <v>12535640</v>
          </cell>
          <cell r="H1415" t="str">
            <v>Blech</v>
          </cell>
          <cell r="I1415">
            <v>29</v>
          </cell>
          <cell r="J1415" t="str">
            <v>Stk</v>
          </cell>
          <cell r="K1415">
            <v>45253</v>
          </cell>
          <cell r="L1415" t="str">
            <v>829052</v>
          </cell>
          <cell r="M1415" t="str">
            <v/>
          </cell>
          <cell r="N1415" t="str">
            <v/>
          </cell>
          <cell r="O1415" t="str">
            <v/>
          </cell>
          <cell r="P1415" t="str">
            <v/>
          </cell>
          <cell r="Q1415" t="str">
            <v/>
          </cell>
          <cell r="R1415" t="str">
            <v/>
          </cell>
          <cell r="S1415" t="str">
            <v/>
          </cell>
          <cell r="T1415" t="str">
            <v/>
          </cell>
          <cell r="U1415" t="str">
            <v/>
          </cell>
          <cell r="V1415" t="str">
            <v>H06</v>
          </cell>
          <cell r="W1415" t="str">
            <v/>
          </cell>
          <cell r="X1415" t="str">
            <v/>
          </cell>
          <cell r="Y1415" t="str">
            <v/>
          </cell>
          <cell r="Z1415" t="str">
            <v/>
          </cell>
          <cell r="AA1415" t="str">
            <v/>
          </cell>
          <cell r="AB1415" t="str">
            <v>PA_4591520-TB.7005-3</v>
          </cell>
          <cell r="AC1415">
            <v>1</v>
          </cell>
          <cell r="AD1415" t="str">
            <v/>
          </cell>
          <cell r="AE1415">
            <v>0</v>
          </cell>
          <cell r="AF1415" t="str">
            <v/>
          </cell>
          <cell r="AG1415" t="str">
            <v>12535640</v>
          </cell>
          <cell r="AH1415">
            <v>44951.956585648149</v>
          </cell>
          <cell r="AI1415" t="str">
            <v>H06</v>
          </cell>
          <cell r="AJ1415" t="str">
            <v>F</v>
          </cell>
          <cell r="AK1415" t="str">
            <v/>
          </cell>
        </row>
        <row r="1416">
          <cell r="A1416" t="str">
            <v>12535640829051</v>
          </cell>
          <cell r="B1416" t="str">
            <v>Übergabe Task Force</v>
          </cell>
          <cell r="C1416">
            <v>24</v>
          </cell>
          <cell r="D1416" t="str">
            <v>EK65</v>
          </cell>
          <cell r="E1416" t="str">
            <v>703879</v>
          </cell>
          <cell r="F1416" t="str">
            <v>E</v>
          </cell>
          <cell r="G1416" t="str">
            <v>12535640</v>
          </cell>
          <cell r="H1416" t="str">
            <v>Blech</v>
          </cell>
          <cell r="I1416">
            <v>75</v>
          </cell>
          <cell r="J1416" t="str">
            <v>Stk</v>
          </cell>
          <cell r="K1416">
            <v>45294</v>
          </cell>
          <cell r="L1416" t="str">
            <v>829051</v>
          </cell>
          <cell r="M1416" t="str">
            <v/>
          </cell>
          <cell r="N1416" t="str">
            <v/>
          </cell>
          <cell r="O1416" t="str">
            <v/>
          </cell>
          <cell r="P1416" t="str">
            <v/>
          </cell>
          <cell r="Q1416" t="str">
            <v/>
          </cell>
          <cell r="R1416" t="str">
            <v/>
          </cell>
          <cell r="S1416" t="str">
            <v/>
          </cell>
          <cell r="T1416" t="str">
            <v/>
          </cell>
          <cell r="U1416" t="str">
            <v/>
          </cell>
          <cell r="V1416" t="str">
            <v>H06</v>
          </cell>
          <cell r="W1416" t="str">
            <v/>
          </cell>
          <cell r="X1416" t="str">
            <v/>
          </cell>
          <cell r="Y1416" t="str">
            <v/>
          </cell>
          <cell r="Z1416" t="str">
            <v/>
          </cell>
          <cell r="AA1416" t="str">
            <v/>
          </cell>
          <cell r="AB1416" t="str">
            <v>PA_4591520-TB.7005-3</v>
          </cell>
          <cell r="AC1416">
            <v>1</v>
          </cell>
          <cell r="AD1416" t="str">
            <v/>
          </cell>
          <cell r="AE1416">
            <v>0</v>
          </cell>
          <cell r="AF1416" t="str">
            <v/>
          </cell>
          <cell r="AG1416" t="str">
            <v>12535640</v>
          </cell>
          <cell r="AH1416">
            <v>44951.956585648149</v>
          </cell>
          <cell r="AI1416" t="str">
            <v>H06</v>
          </cell>
          <cell r="AJ1416" t="str">
            <v>F</v>
          </cell>
          <cell r="AK1416" t="str">
            <v/>
          </cell>
        </row>
        <row r="1417">
          <cell r="A1417" t="str">
            <v>12536647829054</v>
          </cell>
          <cell r="B1417">
            <v>0</v>
          </cell>
          <cell r="C1417">
            <v>4</v>
          </cell>
          <cell r="D1417" t="str">
            <v>EK65</v>
          </cell>
          <cell r="E1417" t="str">
            <v>703891</v>
          </cell>
          <cell r="F1417" t="str">
            <v>E</v>
          </cell>
          <cell r="G1417" t="str">
            <v>12536647</v>
          </cell>
          <cell r="H1417" t="str">
            <v>Kupferverbindungsblech</v>
          </cell>
          <cell r="I1417">
            <v>18</v>
          </cell>
          <cell r="J1417" t="str">
            <v>Stk</v>
          </cell>
          <cell r="K1417">
            <v>45100</v>
          </cell>
          <cell r="L1417" t="str">
            <v>829054</v>
          </cell>
          <cell r="M1417" t="str">
            <v/>
          </cell>
          <cell r="N1417" t="str">
            <v/>
          </cell>
          <cell r="O1417" t="str">
            <v/>
          </cell>
          <cell r="P1417" t="str">
            <v/>
          </cell>
          <cell r="Q1417" t="str">
            <v/>
          </cell>
          <cell r="R1417" t="str">
            <v/>
          </cell>
          <cell r="S1417" t="str">
            <v/>
          </cell>
          <cell r="T1417" t="str">
            <v/>
          </cell>
          <cell r="U1417" t="str">
            <v/>
          </cell>
          <cell r="V1417" t="str">
            <v>N52</v>
          </cell>
          <cell r="W1417" t="str">
            <v/>
          </cell>
          <cell r="X1417" t="str">
            <v/>
          </cell>
          <cell r="Y1417" t="str">
            <v/>
          </cell>
          <cell r="Z1417" t="str">
            <v/>
          </cell>
          <cell r="AA1417" t="str">
            <v/>
          </cell>
          <cell r="AB1417" t="str">
            <v>PA_4377785-UA.7005-4</v>
          </cell>
          <cell r="AC1417">
            <v>1</v>
          </cell>
          <cell r="AD1417" t="str">
            <v/>
          </cell>
          <cell r="AE1417">
            <v>0</v>
          </cell>
          <cell r="AF1417" t="str">
            <v/>
          </cell>
          <cell r="AG1417" t="str">
            <v>12536647</v>
          </cell>
          <cell r="AH1417">
            <v>44951.956828703704</v>
          </cell>
          <cell r="AI1417" t="str">
            <v>N52</v>
          </cell>
          <cell r="AJ1417" t="str">
            <v>F</v>
          </cell>
          <cell r="AK1417" t="str">
            <v/>
          </cell>
        </row>
        <row r="1418">
          <cell r="A1418" t="str">
            <v>12536647829052</v>
          </cell>
          <cell r="B1418" t="str">
            <v>Übergabe Task Force</v>
          </cell>
          <cell r="C1418">
            <v>4</v>
          </cell>
          <cell r="D1418" t="str">
            <v>EK65</v>
          </cell>
          <cell r="E1418" t="str">
            <v>703892</v>
          </cell>
          <cell r="F1418" t="str">
            <v>E</v>
          </cell>
          <cell r="G1418" t="str">
            <v>12536647</v>
          </cell>
          <cell r="H1418" t="str">
            <v>Kupferverbindungsblech</v>
          </cell>
          <cell r="I1418">
            <v>31</v>
          </cell>
          <cell r="J1418" t="str">
            <v>Stk</v>
          </cell>
          <cell r="K1418">
            <v>45240</v>
          </cell>
          <cell r="L1418" t="str">
            <v>829052</v>
          </cell>
          <cell r="M1418" t="str">
            <v/>
          </cell>
          <cell r="N1418" t="str">
            <v/>
          </cell>
          <cell r="O1418" t="str">
            <v/>
          </cell>
          <cell r="P1418" t="str">
            <v/>
          </cell>
          <cell r="Q1418" t="str">
            <v/>
          </cell>
          <cell r="R1418" t="str">
            <v/>
          </cell>
          <cell r="S1418" t="str">
            <v/>
          </cell>
          <cell r="T1418" t="str">
            <v/>
          </cell>
          <cell r="U1418" t="str">
            <v/>
          </cell>
          <cell r="V1418" t="str">
            <v>N52</v>
          </cell>
          <cell r="W1418" t="str">
            <v/>
          </cell>
          <cell r="X1418" t="str">
            <v/>
          </cell>
          <cell r="Y1418" t="str">
            <v/>
          </cell>
          <cell r="Z1418" t="str">
            <v/>
          </cell>
          <cell r="AA1418" t="str">
            <v/>
          </cell>
          <cell r="AB1418" t="str">
            <v>PA_4377785-UA.7005-4</v>
          </cell>
          <cell r="AC1418">
            <v>1</v>
          </cell>
          <cell r="AD1418" t="str">
            <v/>
          </cell>
          <cell r="AE1418">
            <v>0</v>
          </cell>
          <cell r="AF1418" t="str">
            <v/>
          </cell>
          <cell r="AG1418" t="str">
            <v>12536647</v>
          </cell>
          <cell r="AH1418">
            <v>44951.956828703704</v>
          </cell>
          <cell r="AI1418" t="str">
            <v>N52</v>
          </cell>
          <cell r="AJ1418" t="str">
            <v>F</v>
          </cell>
          <cell r="AK1418" t="str">
            <v/>
          </cell>
        </row>
        <row r="1419">
          <cell r="A1419" t="str">
            <v>12537130829054</v>
          </cell>
          <cell r="B1419" t="str">
            <v>Übergabe Task Force</v>
          </cell>
          <cell r="C1419" t="e">
            <v>#N/A</v>
          </cell>
          <cell r="D1419" t="str">
            <v>EK65</v>
          </cell>
          <cell r="E1419" t="str">
            <v>703893</v>
          </cell>
          <cell r="F1419" t="str">
            <v>E</v>
          </cell>
          <cell r="G1419" t="str">
            <v>12537130</v>
          </cell>
          <cell r="H1419" t="str">
            <v>Tragschiene 35 x 7,5 x 140</v>
          </cell>
          <cell r="I1419">
            <v>14</v>
          </cell>
          <cell r="J1419" t="str">
            <v>Stk</v>
          </cell>
          <cell r="K1419">
            <v>45156</v>
          </cell>
          <cell r="L1419" t="str">
            <v>829054</v>
          </cell>
          <cell r="M1419" t="str">
            <v/>
          </cell>
          <cell r="N1419" t="str">
            <v/>
          </cell>
          <cell r="O1419" t="str">
            <v/>
          </cell>
          <cell r="P1419" t="str">
            <v/>
          </cell>
          <cell r="Q1419" t="str">
            <v/>
          </cell>
          <cell r="R1419" t="str">
            <v/>
          </cell>
          <cell r="S1419" t="str">
            <v/>
          </cell>
          <cell r="T1419" t="str">
            <v/>
          </cell>
          <cell r="U1419" t="str">
            <v/>
          </cell>
          <cell r="V1419" t="str">
            <v>N38</v>
          </cell>
          <cell r="W1419" t="str">
            <v/>
          </cell>
          <cell r="X1419" t="str">
            <v/>
          </cell>
          <cell r="Y1419" t="str">
            <v/>
          </cell>
          <cell r="Z1419" t="str">
            <v/>
          </cell>
          <cell r="AA1419" t="str">
            <v/>
          </cell>
          <cell r="AB1419" t="str">
            <v>PA_4629590-UA.7005-4</v>
          </cell>
          <cell r="AC1419">
            <v>1</v>
          </cell>
          <cell r="AD1419" t="str">
            <v/>
          </cell>
          <cell r="AE1419">
            <v>0</v>
          </cell>
          <cell r="AF1419" t="str">
            <v/>
          </cell>
          <cell r="AG1419" t="str">
            <v>12537130</v>
          </cell>
          <cell r="AH1419">
            <v>44951.956886574073</v>
          </cell>
          <cell r="AI1419" t="str">
            <v>N38</v>
          </cell>
          <cell r="AJ1419" t="str">
            <v>F</v>
          </cell>
          <cell r="AK1419" t="str">
            <v/>
          </cell>
        </row>
        <row r="1420">
          <cell r="A1420" t="str">
            <v>12537130829053</v>
          </cell>
          <cell r="B1420" t="str">
            <v>Übergabe Task Force</v>
          </cell>
          <cell r="C1420" t="e">
            <v>#N/A</v>
          </cell>
          <cell r="D1420" t="str">
            <v>EK65</v>
          </cell>
          <cell r="E1420" t="str">
            <v>703894</v>
          </cell>
          <cell r="F1420" t="str">
            <v>E</v>
          </cell>
          <cell r="G1420" t="str">
            <v>12537130</v>
          </cell>
          <cell r="H1420" t="str">
            <v>Tragschiene 35 x 7,5 x 140</v>
          </cell>
          <cell r="I1420">
            <v>18</v>
          </cell>
          <cell r="J1420" t="str">
            <v>Stk</v>
          </cell>
          <cell r="K1420">
            <v>45170</v>
          </cell>
          <cell r="L1420" t="str">
            <v>829053</v>
          </cell>
          <cell r="M1420" t="str">
            <v/>
          </cell>
          <cell r="N1420" t="str">
            <v/>
          </cell>
          <cell r="O1420" t="str">
            <v/>
          </cell>
          <cell r="P1420" t="str">
            <v/>
          </cell>
          <cell r="Q1420" t="str">
            <v/>
          </cell>
          <cell r="R1420" t="str">
            <v/>
          </cell>
          <cell r="S1420" t="str">
            <v/>
          </cell>
          <cell r="T1420" t="str">
            <v/>
          </cell>
          <cell r="U1420" t="str">
            <v/>
          </cell>
          <cell r="V1420" t="str">
            <v>N38</v>
          </cell>
          <cell r="W1420" t="str">
            <v/>
          </cell>
          <cell r="X1420" t="str">
            <v/>
          </cell>
          <cell r="Y1420" t="str">
            <v/>
          </cell>
          <cell r="Z1420" t="str">
            <v/>
          </cell>
          <cell r="AA1420" t="str">
            <v/>
          </cell>
          <cell r="AB1420" t="str">
            <v>PA_4629590-UA.7005-4</v>
          </cell>
          <cell r="AC1420">
            <v>1</v>
          </cell>
          <cell r="AD1420" t="str">
            <v/>
          </cell>
          <cell r="AE1420">
            <v>0</v>
          </cell>
          <cell r="AF1420" t="str">
            <v/>
          </cell>
          <cell r="AG1420" t="str">
            <v>12537130</v>
          </cell>
          <cell r="AH1420">
            <v>44951.956886574073</v>
          </cell>
          <cell r="AI1420" t="str">
            <v>N38</v>
          </cell>
          <cell r="AJ1420" t="str">
            <v>F</v>
          </cell>
          <cell r="AK1420" t="str">
            <v/>
          </cell>
        </row>
        <row r="1421">
          <cell r="A1421" t="str">
            <v>12538086829520</v>
          </cell>
          <cell r="B1421" t="str">
            <v>Übergabe Task Force</v>
          </cell>
          <cell r="C1421" t="e">
            <v>#N/A</v>
          </cell>
          <cell r="D1421" t="str">
            <v>EK65</v>
          </cell>
          <cell r="E1421" t="str">
            <v>703895</v>
          </cell>
          <cell r="F1421" t="str">
            <v>E</v>
          </cell>
          <cell r="G1421" t="str">
            <v>12538086</v>
          </cell>
          <cell r="H1421" t="str">
            <v>Huelse</v>
          </cell>
          <cell r="I1421">
            <v>223</v>
          </cell>
          <cell r="J1421" t="str">
            <v>Stk</v>
          </cell>
          <cell r="K1421">
            <v>45048</v>
          </cell>
          <cell r="L1421" t="str">
            <v>829520</v>
          </cell>
          <cell r="M1421" t="str">
            <v/>
          </cell>
          <cell r="N1421" t="str">
            <v/>
          </cell>
          <cell r="O1421" t="str">
            <v/>
          </cell>
          <cell r="P1421" t="str">
            <v/>
          </cell>
          <cell r="Q1421" t="str">
            <v/>
          </cell>
          <cell r="R1421" t="str">
            <v/>
          </cell>
          <cell r="S1421" t="str">
            <v/>
          </cell>
          <cell r="T1421" t="str">
            <v/>
          </cell>
          <cell r="U1421" t="str">
            <v/>
          </cell>
          <cell r="V1421" t="str">
            <v>N52</v>
          </cell>
          <cell r="W1421" t="str">
            <v/>
          </cell>
          <cell r="X1421" t="str">
            <v/>
          </cell>
          <cell r="Y1421" t="str">
            <v/>
          </cell>
          <cell r="Z1421" t="str">
            <v/>
          </cell>
          <cell r="AA1421" t="str">
            <v/>
          </cell>
          <cell r="AB1421" t="str">
            <v>PA_4628861-EG.7005-4</v>
          </cell>
          <cell r="AC1421">
            <v>1</v>
          </cell>
          <cell r="AD1421" t="str">
            <v/>
          </cell>
          <cell r="AE1421">
            <v>0</v>
          </cell>
          <cell r="AF1421" t="str">
            <v/>
          </cell>
          <cell r="AG1421" t="str">
            <v>12538086</v>
          </cell>
          <cell r="AH1421">
            <v>44951.956921296296</v>
          </cell>
          <cell r="AI1421" t="str">
            <v>N52</v>
          </cell>
          <cell r="AJ1421" t="str">
            <v>F</v>
          </cell>
          <cell r="AK1421" t="str">
            <v/>
          </cell>
        </row>
        <row r="1422">
          <cell r="A1422" t="str">
            <v>12538086829510</v>
          </cell>
          <cell r="B1422" t="str">
            <v>Übergabe Task Force</v>
          </cell>
          <cell r="C1422" t="e">
            <v>#N/A</v>
          </cell>
          <cell r="D1422" t="str">
            <v>EK65</v>
          </cell>
          <cell r="E1422" t="str">
            <v>703896</v>
          </cell>
          <cell r="F1422" t="str">
            <v>E</v>
          </cell>
          <cell r="G1422" t="str">
            <v>12538086</v>
          </cell>
          <cell r="H1422" t="str">
            <v>Huelse</v>
          </cell>
          <cell r="I1422">
            <v>190</v>
          </cell>
          <cell r="J1422" t="str">
            <v>Stk</v>
          </cell>
          <cell r="K1422">
            <v>45048</v>
          </cell>
          <cell r="L1422" t="str">
            <v>829510</v>
          </cell>
          <cell r="M1422" t="str">
            <v/>
          </cell>
          <cell r="N1422" t="str">
            <v/>
          </cell>
          <cell r="O1422" t="str">
            <v/>
          </cell>
          <cell r="P1422" t="str">
            <v/>
          </cell>
          <cell r="Q1422" t="str">
            <v/>
          </cell>
          <cell r="R1422" t="str">
            <v/>
          </cell>
          <cell r="S1422" t="str">
            <v/>
          </cell>
          <cell r="T1422" t="str">
            <v/>
          </cell>
          <cell r="U1422" t="str">
            <v/>
          </cell>
          <cell r="V1422" t="str">
            <v>N52</v>
          </cell>
          <cell r="W1422" t="str">
            <v/>
          </cell>
          <cell r="X1422" t="str">
            <v/>
          </cell>
          <cell r="Y1422" t="str">
            <v/>
          </cell>
          <cell r="Z1422" t="str">
            <v/>
          </cell>
          <cell r="AA1422" t="str">
            <v/>
          </cell>
          <cell r="AB1422" t="str">
            <v>PA_4628861-EG.7005-4</v>
          </cell>
          <cell r="AC1422">
            <v>1</v>
          </cell>
          <cell r="AD1422" t="str">
            <v/>
          </cell>
          <cell r="AE1422">
            <v>0</v>
          </cell>
          <cell r="AF1422" t="str">
            <v/>
          </cell>
          <cell r="AG1422" t="str">
            <v>12538086</v>
          </cell>
          <cell r="AH1422">
            <v>44951.956921296296</v>
          </cell>
          <cell r="AI1422" t="str">
            <v>N52</v>
          </cell>
          <cell r="AJ1422" t="str">
            <v>F</v>
          </cell>
          <cell r="AK1422" t="str">
            <v/>
          </cell>
        </row>
        <row r="1423">
          <cell r="A1423" t="str">
            <v>12538086829530</v>
          </cell>
          <cell r="B1423" t="str">
            <v>Angefragt 22.03.2023</v>
          </cell>
          <cell r="C1423" t="e">
            <v>#N/A</v>
          </cell>
          <cell r="D1423" t="str">
            <v>EK65</v>
          </cell>
          <cell r="E1423" t="str">
            <v>703897</v>
          </cell>
          <cell r="F1423" t="str">
            <v>E</v>
          </cell>
          <cell r="G1423" t="str">
            <v>12538086</v>
          </cell>
          <cell r="H1423" t="str">
            <v>Huelse</v>
          </cell>
          <cell r="I1423">
            <v>28</v>
          </cell>
          <cell r="J1423" t="str">
            <v>Stk</v>
          </cell>
          <cell r="K1423">
            <v>45061</v>
          </cell>
          <cell r="L1423" t="str">
            <v>829530</v>
          </cell>
          <cell r="M1423" t="str">
            <v/>
          </cell>
          <cell r="N1423" t="str">
            <v/>
          </cell>
          <cell r="O1423" t="str">
            <v/>
          </cell>
          <cell r="P1423" t="str">
            <v/>
          </cell>
          <cell r="Q1423" t="str">
            <v/>
          </cell>
          <cell r="R1423" t="str">
            <v/>
          </cell>
          <cell r="S1423" t="str">
            <v/>
          </cell>
          <cell r="T1423" t="str">
            <v/>
          </cell>
          <cell r="U1423" t="str">
            <v/>
          </cell>
          <cell r="V1423" t="str">
            <v>N52</v>
          </cell>
          <cell r="W1423" t="str">
            <v/>
          </cell>
          <cell r="X1423" t="str">
            <v/>
          </cell>
          <cell r="Y1423" t="str">
            <v/>
          </cell>
          <cell r="Z1423" t="str">
            <v/>
          </cell>
          <cell r="AA1423" t="str">
            <v/>
          </cell>
          <cell r="AB1423" t="str">
            <v>PA_4628861-EG.7005-4</v>
          </cell>
          <cell r="AC1423">
            <v>1</v>
          </cell>
          <cell r="AD1423" t="str">
            <v/>
          </cell>
          <cell r="AE1423">
            <v>0</v>
          </cell>
          <cell r="AF1423" t="str">
            <v/>
          </cell>
          <cell r="AG1423" t="str">
            <v>12538086</v>
          </cell>
          <cell r="AH1423">
            <v>44951.956921296296</v>
          </cell>
          <cell r="AI1423" t="str">
            <v>N52</v>
          </cell>
          <cell r="AJ1423" t="str">
            <v>F</v>
          </cell>
          <cell r="AK1423" t="str">
            <v/>
          </cell>
        </row>
        <row r="1424">
          <cell r="A1424" t="str">
            <v>12538226829520</v>
          </cell>
          <cell r="B1424" t="str">
            <v>Übergabe Task Force</v>
          </cell>
          <cell r="C1424" t="e">
            <v>#N/A</v>
          </cell>
          <cell r="D1424" t="str">
            <v>EK65</v>
          </cell>
          <cell r="E1424" t="str">
            <v>703898</v>
          </cell>
          <cell r="F1424" t="str">
            <v>E</v>
          </cell>
          <cell r="G1424" t="str">
            <v>12538226</v>
          </cell>
          <cell r="H1424" t="str">
            <v>Halter</v>
          </cell>
          <cell r="I1424">
            <v>26</v>
          </cell>
          <cell r="J1424" t="str">
            <v>Stk</v>
          </cell>
          <cell r="K1424">
            <v>45034</v>
          </cell>
          <cell r="L1424" t="str">
            <v>829520</v>
          </cell>
          <cell r="M1424" t="str">
            <v/>
          </cell>
          <cell r="N1424" t="str">
            <v/>
          </cell>
          <cell r="O1424" t="str">
            <v/>
          </cell>
          <cell r="P1424" t="str">
            <v/>
          </cell>
          <cell r="Q1424" t="str">
            <v/>
          </cell>
          <cell r="R1424" t="str">
            <v/>
          </cell>
          <cell r="S1424" t="str">
            <v/>
          </cell>
          <cell r="T1424" t="str">
            <v/>
          </cell>
          <cell r="U1424" t="str">
            <v/>
          </cell>
          <cell r="V1424" t="str">
            <v>N52</v>
          </cell>
          <cell r="W1424" t="str">
            <v/>
          </cell>
          <cell r="X1424" t="str">
            <v/>
          </cell>
          <cell r="Y1424" t="str">
            <v/>
          </cell>
          <cell r="Z1424" t="str">
            <v/>
          </cell>
          <cell r="AA1424" t="str">
            <v/>
          </cell>
          <cell r="AB1424" t="str">
            <v>PA_4385536-UA.7005-3</v>
          </cell>
          <cell r="AC1424">
            <v>1</v>
          </cell>
          <cell r="AD1424" t="str">
            <v/>
          </cell>
          <cell r="AE1424">
            <v>0</v>
          </cell>
          <cell r="AF1424" t="str">
            <v/>
          </cell>
          <cell r="AG1424" t="str">
            <v>12538226</v>
          </cell>
          <cell r="AH1424">
            <v>44951.956921296296</v>
          </cell>
          <cell r="AI1424" t="str">
            <v>N52</v>
          </cell>
          <cell r="AJ1424" t="str">
            <v>F</v>
          </cell>
          <cell r="AK1424" t="str">
            <v/>
          </cell>
        </row>
        <row r="1425">
          <cell r="A1425" t="str">
            <v>12538226829510</v>
          </cell>
          <cell r="B1425" t="str">
            <v>Übergabe Task Force</v>
          </cell>
          <cell r="C1425" t="e">
            <v>#N/A</v>
          </cell>
          <cell r="D1425" t="str">
            <v>EK65</v>
          </cell>
          <cell r="E1425" t="str">
            <v>703899</v>
          </cell>
          <cell r="F1425" t="str">
            <v>E</v>
          </cell>
          <cell r="G1425" t="str">
            <v>12538226</v>
          </cell>
          <cell r="H1425" t="str">
            <v>Halter</v>
          </cell>
          <cell r="I1425">
            <v>10</v>
          </cell>
          <cell r="J1425" t="str">
            <v>Stk</v>
          </cell>
          <cell r="K1425">
            <v>45037</v>
          </cell>
          <cell r="L1425" t="str">
            <v>829510</v>
          </cell>
          <cell r="M1425" t="str">
            <v/>
          </cell>
          <cell r="N1425" t="str">
            <v/>
          </cell>
          <cell r="O1425" t="str">
            <v/>
          </cell>
          <cell r="P1425" t="str">
            <v/>
          </cell>
          <cell r="Q1425" t="str">
            <v/>
          </cell>
          <cell r="R1425" t="str">
            <v/>
          </cell>
          <cell r="S1425" t="str">
            <v/>
          </cell>
          <cell r="T1425" t="str">
            <v/>
          </cell>
          <cell r="U1425" t="str">
            <v/>
          </cell>
          <cell r="V1425" t="str">
            <v>N52</v>
          </cell>
          <cell r="W1425" t="str">
            <v/>
          </cell>
          <cell r="X1425" t="str">
            <v/>
          </cell>
          <cell r="Y1425" t="str">
            <v/>
          </cell>
          <cell r="Z1425" t="str">
            <v/>
          </cell>
          <cell r="AA1425" t="str">
            <v/>
          </cell>
          <cell r="AB1425" t="str">
            <v>PA_4385536-UA.7005-3</v>
          </cell>
          <cell r="AC1425">
            <v>1</v>
          </cell>
          <cell r="AD1425" t="str">
            <v/>
          </cell>
          <cell r="AE1425">
            <v>0</v>
          </cell>
          <cell r="AF1425" t="str">
            <v/>
          </cell>
          <cell r="AG1425" t="str">
            <v>12538226</v>
          </cell>
          <cell r="AH1425">
            <v>44951.956921296296</v>
          </cell>
          <cell r="AI1425" t="str">
            <v>N52</v>
          </cell>
          <cell r="AJ1425" t="str">
            <v>F</v>
          </cell>
          <cell r="AK1425" t="str">
            <v/>
          </cell>
        </row>
        <row r="1426">
          <cell r="A1426" t="str">
            <v>12538226829530</v>
          </cell>
          <cell r="B1426">
            <v>0</v>
          </cell>
          <cell r="C1426" t="e">
            <v>#N/A</v>
          </cell>
          <cell r="D1426" t="str">
            <v>EK65</v>
          </cell>
          <cell r="E1426" t="str">
            <v>703900</v>
          </cell>
          <cell r="F1426" t="str">
            <v>E</v>
          </cell>
          <cell r="G1426" t="str">
            <v>12538226</v>
          </cell>
          <cell r="H1426" t="str">
            <v>Halter</v>
          </cell>
          <cell r="I1426">
            <v>2</v>
          </cell>
          <cell r="J1426" t="str">
            <v>Stk</v>
          </cell>
          <cell r="K1426">
            <v>45044</v>
          </cell>
          <cell r="L1426" t="str">
            <v>829530</v>
          </cell>
          <cell r="M1426" t="str">
            <v/>
          </cell>
          <cell r="N1426" t="str">
            <v/>
          </cell>
          <cell r="O1426" t="str">
            <v/>
          </cell>
          <cell r="P1426" t="str">
            <v/>
          </cell>
          <cell r="Q1426" t="str">
            <v/>
          </cell>
          <cell r="R1426" t="str">
            <v/>
          </cell>
          <cell r="S1426" t="str">
            <v/>
          </cell>
          <cell r="T1426" t="str">
            <v/>
          </cell>
          <cell r="U1426" t="str">
            <v/>
          </cell>
          <cell r="V1426" t="str">
            <v>N52</v>
          </cell>
          <cell r="W1426" t="str">
            <v/>
          </cell>
          <cell r="X1426" t="str">
            <v/>
          </cell>
          <cell r="Y1426" t="str">
            <v/>
          </cell>
          <cell r="Z1426" t="str">
            <v/>
          </cell>
          <cell r="AA1426" t="str">
            <v/>
          </cell>
          <cell r="AB1426" t="str">
            <v>PA_4385536-UA.7005-3</v>
          </cell>
          <cell r="AC1426">
            <v>1</v>
          </cell>
          <cell r="AD1426" t="str">
            <v/>
          </cell>
          <cell r="AE1426">
            <v>0</v>
          </cell>
          <cell r="AF1426" t="str">
            <v/>
          </cell>
          <cell r="AG1426" t="str">
            <v>12538226</v>
          </cell>
          <cell r="AH1426">
            <v>44951.956921296296</v>
          </cell>
          <cell r="AI1426" t="str">
            <v>N52</v>
          </cell>
          <cell r="AJ1426" t="str">
            <v>F</v>
          </cell>
          <cell r="AK1426" t="str">
            <v/>
          </cell>
        </row>
        <row r="1427">
          <cell r="A1427" t="str">
            <v>12538231829053</v>
          </cell>
          <cell r="B1427">
            <v>0</v>
          </cell>
          <cell r="C1427" t="e">
            <v>#N/A</v>
          </cell>
          <cell r="D1427" t="str">
            <v>EK65</v>
          </cell>
          <cell r="E1427" t="str">
            <v>703904</v>
          </cell>
          <cell r="F1427" t="str">
            <v>E</v>
          </cell>
          <cell r="G1427" t="str">
            <v>12538231</v>
          </cell>
          <cell r="H1427" t="str">
            <v>SMSE WSH U1MT eingekuerzt</v>
          </cell>
          <cell r="I1427">
            <v>103</v>
          </cell>
          <cell r="J1427" t="str">
            <v>Stk</v>
          </cell>
          <cell r="K1427">
            <v>45086</v>
          </cell>
          <cell r="L1427" t="str">
            <v>829053</v>
          </cell>
          <cell r="M1427" t="str">
            <v/>
          </cell>
          <cell r="N1427" t="str">
            <v/>
          </cell>
          <cell r="O1427" t="str">
            <v/>
          </cell>
          <cell r="P1427" t="str">
            <v/>
          </cell>
          <cell r="Q1427" t="str">
            <v/>
          </cell>
          <cell r="R1427" t="str">
            <v/>
          </cell>
          <cell r="S1427" t="str">
            <v/>
          </cell>
          <cell r="T1427" t="str">
            <v/>
          </cell>
          <cell r="U1427" t="str">
            <v/>
          </cell>
          <cell r="V1427" t="str">
            <v>N38</v>
          </cell>
          <cell r="W1427" t="str">
            <v/>
          </cell>
          <cell r="X1427" t="str">
            <v/>
          </cell>
          <cell r="Y1427" t="str">
            <v/>
          </cell>
          <cell r="Z1427" t="str">
            <v/>
          </cell>
          <cell r="AA1427" t="str">
            <v/>
          </cell>
          <cell r="AB1427" t="str">
            <v>PA_4635482-UA.7005-3</v>
          </cell>
          <cell r="AC1427">
            <v>1</v>
          </cell>
          <cell r="AD1427" t="str">
            <v/>
          </cell>
          <cell r="AE1427">
            <v>0</v>
          </cell>
          <cell r="AF1427" t="str">
            <v/>
          </cell>
          <cell r="AG1427" t="str">
            <v>12538231</v>
          </cell>
          <cell r="AH1427">
            <v>44951.956944444442</v>
          </cell>
          <cell r="AI1427" t="str">
            <v>N38</v>
          </cell>
          <cell r="AJ1427" t="str">
            <v>F</v>
          </cell>
          <cell r="AK1427" t="str">
            <v/>
          </cell>
        </row>
        <row r="1428">
          <cell r="A1428" t="str">
            <v>12538231829054</v>
          </cell>
          <cell r="B1428" t="str">
            <v>Übergabe Task Force</v>
          </cell>
          <cell r="C1428" t="e">
            <v>#N/A</v>
          </cell>
          <cell r="D1428" t="str">
            <v>EK65</v>
          </cell>
          <cell r="E1428" t="str">
            <v>703905</v>
          </cell>
          <cell r="F1428" t="str">
            <v>E</v>
          </cell>
          <cell r="G1428" t="str">
            <v>12538231</v>
          </cell>
          <cell r="H1428" t="str">
            <v>SMSE WSH U1MT eingekuerzt</v>
          </cell>
          <cell r="I1428">
            <v>30</v>
          </cell>
          <cell r="J1428" t="str">
            <v>Stk</v>
          </cell>
          <cell r="K1428">
            <v>45128</v>
          </cell>
          <cell r="L1428" t="str">
            <v>829054</v>
          </cell>
          <cell r="M1428" t="str">
            <v/>
          </cell>
          <cell r="N1428" t="str">
            <v/>
          </cell>
          <cell r="O1428" t="str">
            <v/>
          </cell>
          <cell r="P1428" t="str">
            <v/>
          </cell>
          <cell r="Q1428" t="str">
            <v/>
          </cell>
          <cell r="R1428" t="str">
            <v/>
          </cell>
          <cell r="S1428" t="str">
            <v/>
          </cell>
          <cell r="T1428" t="str">
            <v/>
          </cell>
          <cell r="U1428" t="str">
            <v/>
          </cell>
          <cell r="V1428" t="str">
            <v>N38</v>
          </cell>
          <cell r="W1428" t="str">
            <v/>
          </cell>
          <cell r="X1428" t="str">
            <v/>
          </cell>
          <cell r="Y1428" t="str">
            <v/>
          </cell>
          <cell r="Z1428" t="str">
            <v/>
          </cell>
          <cell r="AA1428" t="str">
            <v/>
          </cell>
          <cell r="AB1428" t="str">
            <v>PA_4635482-UA.7005-3</v>
          </cell>
          <cell r="AC1428">
            <v>1</v>
          </cell>
          <cell r="AD1428" t="str">
            <v/>
          </cell>
          <cell r="AE1428">
            <v>0</v>
          </cell>
          <cell r="AF1428" t="str">
            <v/>
          </cell>
          <cell r="AG1428" t="str">
            <v>12538231</v>
          </cell>
          <cell r="AH1428">
            <v>44951.956944444442</v>
          </cell>
          <cell r="AI1428" t="str">
            <v>N38</v>
          </cell>
          <cell r="AJ1428" t="str">
            <v>F</v>
          </cell>
          <cell r="AK1428" t="str">
            <v/>
          </cell>
        </row>
        <row r="1429">
          <cell r="A1429" t="str">
            <v>12538287829550</v>
          </cell>
          <cell r="B1429">
            <v>0</v>
          </cell>
          <cell r="C1429" t="e">
            <v>#N/A</v>
          </cell>
          <cell r="D1429" t="str">
            <v>EK65</v>
          </cell>
          <cell r="E1429" t="str">
            <v>703906</v>
          </cell>
          <cell r="F1429" t="str">
            <v>E</v>
          </cell>
          <cell r="G1429" t="str">
            <v>12538287</v>
          </cell>
          <cell r="H1429" t="str">
            <v>Halter</v>
          </cell>
          <cell r="I1429">
            <v>16</v>
          </cell>
          <cell r="J1429" t="str">
            <v>Stk</v>
          </cell>
          <cell r="K1429">
            <v>44988</v>
          </cell>
          <cell r="L1429" t="str">
            <v>829550</v>
          </cell>
          <cell r="M1429" t="str">
            <v/>
          </cell>
          <cell r="N1429" t="str">
            <v/>
          </cell>
          <cell r="O1429" t="str">
            <v/>
          </cell>
          <cell r="P1429" t="str">
            <v/>
          </cell>
          <cell r="Q1429" t="str">
            <v/>
          </cell>
          <cell r="R1429" t="str">
            <v/>
          </cell>
          <cell r="S1429" t="str">
            <v/>
          </cell>
          <cell r="T1429" t="str">
            <v/>
          </cell>
          <cell r="U1429" t="str">
            <v/>
          </cell>
          <cell r="V1429" t="str">
            <v>N52</v>
          </cell>
          <cell r="W1429" t="str">
            <v/>
          </cell>
          <cell r="X1429" t="str">
            <v/>
          </cell>
          <cell r="Y1429" t="str">
            <v/>
          </cell>
          <cell r="Z1429" t="str">
            <v/>
          </cell>
          <cell r="AA1429" t="str">
            <v/>
          </cell>
          <cell r="AB1429" t="str">
            <v>PA_4564018-UA.7005-3</v>
          </cell>
          <cell r="AC1429">
            <v>1</v>
          </cell>
          <cell r="AD1429" t="str">
            <v/>
          </cell>
          <cell r="AE1429">
            <v>0</v>
          </cell>
          <cell r="AF1429" t="str">
            <v/>
          </cell>
          <cell r="AG1429" t="str">
            <v>12538287</v>
          </cell>
          <cell r="AH1429">
            <v>44951.956956018519</v>
          </cell>
          <cell r="AI1429" t="str">
            <v>N52</v>
          </cell>
          <cell r="AJ1429" t="str">
            <v>F</v>
          </cell>
          <cell r="AK1429" t="str">
            <v/>
          </cell>
        </row>
        <row r="1430">
          <cell r="A1430" t="str">
            <v>12538287829520</v>
          </cell>
          <cell r="B1430" t="str">
            <v>Übergabe Task Force</v>
          </cell>
          <cell r="C1430" t="e">
            <v>#N/A</v>
          </cell>
          <cell r="D1430" t="str">
            <v>EK65</v>
          </cell>
          <cell r="E1430" t="str">
            <v>703907</v>
          </cell>
          <cell r="F1430" t="str">
            <v>E</v>
          </cell>
          <cell r="G1430" t="str">
            <v>12538287</v>
          </cell>
          <cell r="H1430" t="str">
            <v>Halter</v>
          </cell>
          <cell r="I1430">
            <v>14</v>
          </cell>
          <cell r="J1430" t="str">
            <v>Stk</v>
          </cell>
          <cell r="K1430">
            <v>45048</v>
          </cell>
          <cell r="L1430" t="str">
            <v>829520</v>
          </cell>
          <cell r="M1430" t="str">
            <v/>
          </cell>
          <cell r="N1430" t="str">
            <v/>
          </cell>
          <cell r="O1430" t="str">
            <v/>
          </cell>
          <cell r="P1430" t="str">
            <v/>
          </cell>
          <cell r="Q1430" t="str">
            <v/>
          </cell>
          <cell r="R1430" t="str">
            <v/>
          </cell>
          <cell r="S1430" t="str">
            <v/>
          </cell>
          <cell r="T1430" t="str">
            <v/>
          </cell>
          <cell r="U1430" t="str">
            <v/>
          </cell>
          <cell r="V1430" t="str">
            <v>N52</v>
          </cell>
          <cell r="W1430" t="str">
            <v/>
          </cell>
          <cell r="X1430" t="str">
            <v/>
          </cell>
          <cell r="Y1430" t="str">
            <v/>
          </cell>
          <cell r="Z1430" t="str">
            <v/>
          </cell>
          <cell r="AA1430" t="str">
            <v/>
          </cell>
          <cell r="AB1430" t="str">
            <v>PA_4564018-UA.7005-3</v>
          </cell>
          <cell r="AC1430">
            <v>1</v>
          </cell>
          <cell r="AD1430" t="str">
            <v/>
          </cell>
          <cell r="AE1430">
            <v>0</v>
          </cell>
          <cell r="AF1430" t="str">
            <v/>
          </cell>
          <cell r="AG1430" t="str">
            <v>12538287</v>
          </cell>
          <cell r="AH1430">
            <v>44951.956956018519</v>
          </cell>
          <cell r="AI1430" t="str">
            <v>N52</v>
          </cell>
          <cell r="AJ1430" t="str">
            <v>F</v>
          </cell>
          <cell r="AK1430" t="str">
            <v/>
          </cell>
        </row>
        <row r="1431">
          <cell r="A1431" t="str">
            <v>12538287829510</v>
          </cell>
          <cell r="B1431" t="str">
            <v>Übergabe Task Force</v>
          </cell>
          <cell r="C1431" t="e">
            <v>#N/A</v>
          </cell>
          <cell r="D1431" t="str">
            <v>EK65</v>
          </cell>
          <cell r="E1431" t="str">
            <v>703908</v>
          </cell>
          <cell r="F1431" t="str">
            <v>E</v>
          </cell>
          <cell r="G1431" t="str">
            <v>12538287</v>
          </cell>
          <cell r="H1431" t="str">
            <v>Halter</v>
          </cell>
          <cell r="I1431">
            <v>10</v>
          </cell>
          <cell r="J1431" t="str">
            <v>Stk</v>
          </cell>
          <cell r="K1431">
            <v>45054</v>
          </cell>
          <cell r="L1431" t="str">
            <v>829510</v>
          </cell>
          <cell r="M1431" t="str">
            <v/>
          </cell>
          <cell r="N1431" t="str">
            <v/>
          </cell>
          <cell r="O1431" t="str">
            <v/>
          </cell>
          <cell r="P1431" t="str">
            <v/>
          </cell>
          <cell r="Q1431" t="str">
            <v/>
          </cell>
          <cell r="R1431" t="str">
            <v/>
          </cell>
          <cell r="S1431" t="str">
            <v/>
          </cell>
          <cell r="T1431" t="str">
            <v/>
          </cell>
          <cell r="U1431" t="str">
            <v/>
          </cell>
          <cell r="V1431" t="str">
            <v>N52</v>
          </cell>
          <cell r="W1431" t="str">
            <v/>
          </cell>
          <cell r="X1431" t="str">
            <v/>
          </cell>
          <cell r="Y1431" t="str">
            <v/>
          </cell>
          <cell r="Z1431" t="str">
            <v/>
          </cell>
          <cell r="AA1431" t="str">
            <v/>
          </cell>
          <cell r="AB1431" t="str">
            <v>PA_4564018-UA.7005-3</v>
          </cell>
          <cell r="AC1431">
            <v>1</v>
          </cell>
          <cell r="AD1431" t="str">
            <v/>
          </cell>
          <cell r="AE1431">
            <v>0</v>
          </cell>
          <cell r="AF1431" t="str">
            <v/>
          </cell>
          <cell r="AG1431" t="str">
            <v>12538287</v>
          </cell>
          <cell r="AH1431">
            <v>44951.956956018519</v>
          </cell>
          <cell r="AI1431" t="str">
            <v>N52</v>
          </cell>
          <cell r="AJ1431" t="str">
            <v>F</v>
          </cell>
          <cell r="AK1431" t="str">
            <v/>
          </cell>
        </row>
        <row r="1432">
          <cell r="A1432" t="str">
            <v>12538287829530</v>
          </cell>
          <cell r="B1432" t="str">
            <v>Angefragt 22.03.2023</v>
          </cell>
          <cell r="C1432" t="e">
            <v>#N/A</v>
          </cell>
          <cell r="D1432" t="str">
            <v>EK65</v>
          </cell>
          <cell r="E1432" t="str">
            <v>703909</v>
          </cell>
          <cell r="F1432" t="str">
            <v>E</v>
          </cell>
          <cell r="G1432" t="str">
            <v>12538287</v>
          </cell>
          <cell r="H1432" t="str">
            <v>Halter</v>
          </cell>
          <cell r="I1432">
            <v>2</v>
          </cell>
          <cell r="J1432" t="str">
            <v>Stk</v>
          </cell>
          <cell r="K1432">
            <v>45061</v>
          </cell>
          <cell r="L1432" t="str">
            <v>829530</v>
          </cell>
          <cell r="M1432" t="str">
            <v/>
          </cell>
          <cell r="N1432" t="str">
            <v/>
          </cell>
          <cell r="O1432" t="str">
            <v/>
          </cell>
          <cell r="P1432" t="str">
            <v/>
          </cell>
          <cell r="Q1432" t="str">
            <v/>
          </cell>
          <cell r="R1432" t="str">
            <v/>
          </cell>
          <cell r="S1432" t="str">
            <v/>
          </cell>
          <cell r="T1432" t="str">
            <v/>
          </cell>
          <cell r="U1432" t="str">
            <v/>
          </cell>
          <cell r="V1432" t="str">
            <v>N52</v>
          </cell>
          <cell r="W1432" t="str">
            <v/>
          </cell>
          <cell r="X1432" t="str">
            <v/>
          </cell>
          <cell r="Y1432" t="str">
            <v/>
          </cell>
          <cell r="Z1432" t="str">
            <v/>
          </cell>
          <cell r="AA1432" t="str">
            <v/>
          </cell>
          <cell r="AB1432" t="str">
            <v>PA_4564018-UA.7005-3</v>
          </cell>
          <cell r="AC1432">
            <v>1</v>
          </cell>
          <cell r="AD1432" t="str">
            <v/>
          </cell>
          <cell r="AE1432">
            <v>0</v>
          </cell>
          <cell r="AF1432" t="str">
            <v/>
          </cell>
          <cell r="AG1432" t="str">
            <v>12538287</v>
          </cell>
          <cell r="AH1432">
            <v>44951.956956018519</v>
          </cell>
          <cell r="AI1432" t="str">
            <v>N52</v>
          </cell>
          <cell r="AJ1432" t="str">
            <v>F</v>
          </cell>
          <cell r="AK1432" t="str">
            <v/>
          </cell>
        </row>
        <row r="1433">
          <cell r="A1433" t="str">
            <v>12538378829053</v>
          </cell>
          <cell r="B1433">
            <v>0</v>
          </cell>
          <cell r="C1433">
            <v>12</v>
          </cell>
          <cell r="D1433" t="str">
            <v>EK65</v>
          </cell>
          <cell r="E1433" t="str">
            <v>703912</v>
          </cell>
          <cell r="F1433" t="str">
            <v>E</v>
          </cell>
          <cell r="G1433" t="str">
            <v>12538378</v>
          </cell>
          <cell r="H1433" t="str">
            <v>Sammelschiene SSch 10 x 3 x 461</v>
          </cell>
          <cell r="I1433">
            <v>50</v>
          </cell>
          <cell r="J1433" t="str">
            <v>Stk</v>
          </cell>
          <cell r="K1433">
            <v>45100</v>
          </cell>
          <cell r="L1433" t="str">
            <v>829053</v>
          </cell>
          <cell r="M1433" t="str">
            <v/>
          </cell>
          <cell r="N1433" t="str">
            <v/>
          </cell>
          <cell r="O1433" t="str">
            <v/>
          </cell>
          <cell r="P1433" t="str">
            <v/>
          </cell>
          <cell r="Q1433" t="str">
            <v/>
          </cell>
          <cell r="R1433" t="str">
            <v/>
          </cell>
          <cell r="S1433" t="str">
            <v/>
          </cell>
          <cell r="T1433" t="str">
            <v/>
          </cell>
          <cell r="U1433" t="str">
            <v/>
          </cell>
          <cell r="V1433" t="str">
            <v>N38</v>
          </cell>
          <cell r="W1433" t="str">
            <v/>
          </cell>
          <cell r="X1433" t="str">
            <v/>
          </cell>
          <cell r="Y1433" t="str">
            <v/>
          </cell>
          <cell r="Z1433" t="str">
            <v/>
          </cell>
          <cell r="AA1433" t="str">
            <v/>
          </cell>
          <cell r="AB1433" t="str">
            <v>PA_4634480-UA.7005-3</v>
          </cell>
          <cell r="AC1433">
            <v>1</v>
          </cell>
          <cell r="AD1433" t="str">
            <v/>
          </cell>
          <cell r="AE1433">
            <v>0</v>
          </cell>
          <cell r="AF1433" t="str">
            <v/>
          </cell>
          <cell r="AG1433" t="str">
            <v>12538378</v>
          </cell>
          <cell r="AH1433">
            <v>44951.956979166665</v>
          </cell>
          <cell r="AI1433" t="str">
            <v>N38</v>
          </cell>
          <cell r="AJ1433" t="str">
            <v>F</v>
          </cell>
          <cell r="AK1433" t="str">
            <v/>
          </cell>
        </row>
        <row r="1434">
          <cell r="A1434" t="str">
            <v>12538378829051</v>
          </cell>
          <cell r="B1434" t="str">
            <v>Übergabe Task Force</v>
          </cell>
          <cell r="C1434">
            <v>12</v>
          </cell>
          <cell r="D1434" t="str">
            <v>EK65</v>
          </cell>
          <cell r="E1434" t="str">
            <v>703913</v>
          </cell>
          <cell r="F1434" t="str">
            <v>E</v>
          </cell>
          <cell r="G1434" t="str">
            <v>12538378</v>
          </cell>
          <cell r="H1434" t="str">
            <v>Sammelschiene SSch 10 x 3 x 461</v>
          </cell>
          <cell r="I1434">
            <v>89</v>
          </cell>
          <cell r="J1434" t="str">
            <v>Stk</v>
          </cell>
          <cell r="K1434">
            <v>45226</v>
          </cell>
          <cell r="L1434" t="str">
            <v>829051</v>
          </cell>
          <cell r="M1434" t="str">
            <v/>
          </cell>
          <cell r="N1434" t="str">
            <v/>
          </cell>
          <cell r="O1434" t="str">
            <v/>
          </cell>
          <cell r="P1434" t="str">
            <v/>
          </cell>
          <cell r="Q1434" t="str">
            <v/>
          </cell>
          <cell r="R1434" t="str">
            <v/>
          </cell>
          <cell r="S1434" t="str">
            <v/>
          </cell>
          <cell r="T1434" t="str">
            <v/>
          </cell>
          <cell r="U1434" t="str">
            <v/>
          </cell>
          <cell r="V1434" t="str">
            <v>N38</v>
          </cell>
          <cell r="W1434" t="str">
            <v/>
          </cell>
          <cell r="X1434" t="str">
            <v/>
          </cell>
          <cell r="Y1434" t="str">
            <v/>
          </cell>
          <cell r="Z1434" t="str">
            <v/>
          </cell>
          <cell r="AA1434" t="str">
            <v/>
          </cell>
          <cell r="AB1434" t="str">
            <v>PA_4634480-UA.7005-3</v>
          </cell>
          <cell r="AC1434">
            <v>1</v>
          </cell>
          <cell r="AD1434" t="str">
            <v/>
          </cell>
          <cell r="AE1434">
            <v>0</v>
          </cell>
          <cell r="AF1434" t="str">
            <v/>
          </cell>
          <cell r="AG1434" t="str">
            <v>12538378</v>
          </cell>
          <cell r="AH1434">
            <v>44951.956979166665</v>
          </cell>
          <cell r="AI1434" t="str">
            <v>N38</v>
          </cell>
          <cell r="AJ1434" t="str">
            <v>F</v>
          </cell>
          <cell r="AK1434" t="str">
            <v/>
          </cell>
        </row>
        <row r="1435">
          <cell r="A1435" t="str">
            <v>12538378829052</v>
          </cell>
          <cell r="B1435" t="str">
            <v>Übergabe Task Force</v>
          </cell>
          <cell r="C1435">
            <v>12</v>
          </cell>
          <cell r="D1435" t="str">
            <v>EK65</v>
          </cell>
          <cell r="E1435" t="str">
            <v>703914</v>
          </cell>
          <cell r="F1435" t="str">
            <v>E</v>
          </cell>
          <cell r="G1435" t="str">
            <v>12538378</v>
          </cell>
          <cell r="H1435" t="str">
            <v>Sammelschiene SSch 10 x 3 x 461</v>
          </cell>
          <cell r="I1435">
            <v>31</v>
          </cell>
          <cell r="J1435" t="str">
            <v>Stk</v>
          </cell>
          <cell r="K1435">
            <v>45240</v>
          </cell>
          <cell r="L1435" t="str">
            <v>829052</v>
          </cell>
          <cell r="M1435" t="str">
            <v/>
          </cell>
          <cell r="N1435" t="str">
            <v/>
          </cell>
          <cell r="O1435" t="str">
            <v/>
          </cell>
          <cell r="P1435" t="str">
            <v/>
          </cell>
          <cell r="Q1435" t="str">
            <v/>
          </cell>
          <cell r="R1435" t="str">
            <v/>
          </cell>
          <cell r="S1435" t="str">
            <v/>
          </cell>
          <cell r="T1435" t="str">
            <v/>
          </cell>
          <cell r="U1435" t="str">
            <v/>
          </cell>
          <cell r="V1435" t="str">
            <v>N38</v>
          </cell>
          <cell r="W1435" t="str">
            <v/>
          </cell>
          <cell r="X1435" t="str">
            <v/>
          </cell>
          <cell r="Y1435" t="str">
            <v/>
          </cell>
          <cell r="Z1435" t="str">
            <v/>
          </cell>
          <cell r="AA1435" t="str">
            <v/>
          </cell>
          <cell r="AB1435" t="str">
            <v>PA_4634480-UA.7005-3</v>
          </cell>
          <cell r="AC1435">
            <v>1</v>
          </cell>
          <cell r="AD1435" t="str">
            <v/>
          </cell>
          <cell r="AE1435">
            <v>0</v>
          </cell>
          <cell r="AF1435" t="str">
            <v/>
          </cell>
          <cell r="AG1435" t="str">
            <v>12538378</v>
          </cell>
          <cell r="AH1435">
            <v>44951.956979166665</v>
          </cell>
          <cell r="AI1435" t="str">
            <v>N38</v>
          </cell>
          <cell r="AJ1435" t="str">
            <v>F</v>
          </cell>
          <cell r="AK1435" t="str">
            <v/>
          </cell>
        </row>
        <row r="1436">
          <cell r="A1436" t="str">
            <v>12538464829550</v>
          </cell>
          <cell r="B1436">
            <v>0</v>
          </cell>
          <cell r="C1436" t="e">
            <v>#N/A</v>
          </cell>
          <cell r="D1436" t="str">
            <v>EK65</v>
          </cell>
          <cell r="E1436" t="str">
            <v>703915</v>
          </cell>
          <cell r="F1436" t="str">
            <v>E</v>
          </cell>
          <cell r="G1436" t="str">
            <v>12538464</v>
          </cell>
          <cell r="H1436" t="str">
            <v>Halter w.g. (PA_4431282 sp.g.)</v>
          </cell>
          <cell r="I1436">
            <v>4</v>
          </cell>
          <cell r="J1436" t="str">
            <v>Stk</v>
          </cell>
          <cell r="K1436">
            <v>45027</v>
          </cell>
          <cell r="L1436" t="str">
            <v>829550</v>
          </cell>
          <cell r="M1436" t="str">
            <v/>
          </cell>
          <cell r="N1436" t="str">
            <v/>
          </cell>
          <cell r="O1436" t="str">
            <v/>
          </cell>
          <cell r="P1436" t="str">
            <v/>
          </cell>
          <cell r="Q1436" t="str">
            <v/>
          </cell>
          <cell r="R1436" t="str">
            <v/>
          </cell>
          <cell r="S1436" t="str">
            <v/>
          </cell>
          <cell r="T1436" t="str">
            <v/>
          </cell>
          <cell r="U1436" t="str">
            <v/>
          </cell>
          <cell r="V1436" t="str">
            <v>N52</v>
          </cell>
          <cell r="W1436" t="str">
            <v/>
          </cell>
          <cell r="X1436" t="str">
            <v/>
          </cell>
          <cell r="Y1436" t="str">
            <v/>
          </cell>
          <cell r="Z1436" t="str">
            <v/>
          </cell>
          <cell r="AA1436" t="str">
            <v/>
          </cell>
          <cell r="AB1436" t="str">
            <v>PA_4431278-EG.7005-2</v>
          </cell>
          <cell r="AC1436">
            <v>1</v>
          </cell>
          <cell r="AD1436" t="str">
            <v/>
          </cell>
          <cell r="AE1436">
            <v>0</v>
          </cell>
          <cell r="AF1436" t="str">
            <v/>
          </cell>
          <cell r="AG1436" t="str">
            <v>12538464</v>
          </cell>
          <cell r="AH1436">
            <v>44951.957013888888</v>
          </cell>
          <cell r="AI1436" t="str">
            <v>N52</v>
          </cell>
          <cell r="AJ1436" t="str">
            <v/>
          </cell>
          <cell r="AK1436" t="str">
            <v>A</v>
          </cell>
        </row>
        <row r="1437">
          <cell r="A1437" t="str">
            <v>12538464829540</v>
          </cell>
          <cell r="B1437" t="str">
            <v>Übergabe Task Force</v>
          </cell>
          <cell r="C1437" t="e">
            <v>#N/A</v>
          </cell>
          <cell r="D1437" t="str">
            <v>EK65</v>
          </cell>
          <cell r="E1437" t="str">
            <v>703916</v>
          </cell>
          <cell r="F1437" t="str">
            <v>E</v>
          </cell>
          <cell r="G1437" t="str">
            <v>12538464</v>
          </cell>
          <cell r="H1437" t="str">
            <v>Halter w.g. (PA_4431282 sp.g.)</v>
          </cell>
          <cell r="I1437">
            <v>1</v>
          </cell>
          <cell r="J1437" t="str">
            <v>Stk</v>
          </cell>
          <cell r="K1437">
            <v>45030</v>
          </cell>
          <cell r="L1437" t="str">
            <v>829540</v>
          </cell>
          <cell r="M1437" t="str">
            <v/>
          </cell>
          <cell r="N1437" t="str">
            <v/>
          </cell>
          <cell r="O1437" t="str">
            <v/>
          </cell>
          <cell r="P1437" t="str">
            <v/>
          </cell>
          <cell r="Q1437" t="str">
            <v/>
          </cell>
          <cell r="R1437" t="str">
            <v/>
          </cell>
          <cell r="S1437" t="str">
            <v/>
          </cell>
          <cell r="T1437" t="str">
            <v/>
          </cell>
          <cell r="U1437" t="str">
            <v/>
          </cell>
          <cell r="V1437" t="str">
            <v>N52</v>
          </cell>
          <cell r="W1437" t="str">
            <v/>
          </cell>
          <cell r="X1437" t="str">
            <v/>
          </cell>
          <cell r="Y1437" t="str">
            <v/>
          </cell>
          <cell r="Z1437" t="str">
            <v/>
          </cell>
          <cell r="AA1437" t="str">
            <v/>
          </cell>
          <cell r="AB1437" t="str">
            <v>PA_4431278-EG.7005-2</v>
          </cell>
          <cell r="AC1437">
            <v>1</v>
          </cell>
          <cell r="AD1437" t="str">
            <v/>
          </cell>
          <cell r="AE1437">
            <v>0</v>
          </cell>
          <cell r="AF1437" t="str">
            <v/>
          </cell>
          <cell r="AG1437" t="str">
            <v>12538464</v>
          </cell>
          <cell r="AH1437">
            <v>44951.957013888888</v>
          </cell>
          <cell r="AI1437" t="str">
            <v>N52</v>
          </cell>
          <cell r="AJ1437" t="str">
            <v/>
          </cell>
          <cell r="AK1437" t="str">
            <v>A</v>
          </cell>
        </row>
        <row r="1438">
          <cell r="A1438" t="str">
            <v>12538467829550</v>
          </cell>
          <cell r="B1438">
            <v>0</v>
          </cell>
          <cell r="C1438" t="e">
            <v>#N/A</v>
          </cell>
          <cell r="D1438" t="str">
            <v>EK65</v>
          </cell>
          <cell r="E1438" t="str">
            <v>703917</v>
          </cell>
          <cell r="F1438" t="str">
            <v>E</v>
          </cell>
          <cell r="G1438" t="str">
            <v>12538467</v>
          </cell>
          <cell r="H1438" t="str">
            <v>Halter sp.g (PA_4431278 w.g.)</v>
          </cell>
          <cell r="I1438">
            <v>4</v>
          </cell>
          <cell r="J1438" t="str">
            <v>Stk</v>
          </cell>
          <cell r="K1438">
            <v>45027</v>
          </cell>
          <cell r="L1438" t="str">
            <v>829550</v>
          </cell>
          <cell r="M1438" t="str">
            <v/>
          </cell>
          <cell r="N1438" t="str">
            <v/>
          </cell>
          <cell r="O1438" t="str">
            <v/>
          </cell>
          <cell r="P1438" t="str">
            <v/>
          </cell>
          <cell r="Q1438" t="str">
            <v/>
          </cell>
          <cell r="R1438" t="str">
            <v/>
          </cell>
          <cell r="S1438" t="str">
            <v/>
          </cell>
          <cell r="T1438" t="str">
            <v/>
          </cell>
          <cell r="U1438" t="str">
            <v/>
          </cell>
          <cell r="V1438" t="str">
            <v>N52</v>
          </cell>
          <cell r="W1438" t="str">
            <v/>
          </cell>
          <cell r="X1438" t="str">
            <v/>
          </cell>
          <cell r="Y1438" t="str">
            <v/>
          </cell>
          <cell r="Z1438" t="str">
            <v/>
          </cell>
          <cell r="AA1438" t="str">
            <v/>
          </cell>
          <cell r="AB1438" t="str">
            <v>PA_4431278-EG.7005-2</v>
          </cell>
          <cell r="AC1438">
            <v>1</v>
          </cell>
          <cell r="AD1438" t="str">
            <v/>
          </cell>
          <cell r="AE1438">
            <v>0</v>
          </cell>
          <cell r="AF1438" t="str">
            <v/>
          </cell>
          <cell r="AG1438" t="str">
            <v>12538467</v>
          </cell>
          <cell r="AH1438">
            <v>44951.957013888888</v>
          </cell>
          <cell r="AI1438" t="str">
            <v>N52</v>
          </cell>
          <cell r="AJ1438" t="str">
            <v/>
          </cell>
          <cell r="AK1438" t="str">
            <v>A</v>
          </cell>
        </row>
        <row r="1439">
          <cell r="A1439" t="str">
            <v>12538467829540</v>
          </cell>
          <cell r="B1439" t="str">
            <v>Übergabe Task Force</v>
          </cell>
          <cell r="C1439" t="e">
            <v>#N/A</v>
          </cell>
          <cell r="D1439" t="str">
            <v>EK65</v>
          </cell>
          <cell r="E1439" t="str">
            <v>703918</v>
          </cell>
          <cell r="F1439" t="str">
            <v>E</v>
          </cell>
          <cell r="G1439" t="str">
            <v>12538467</v>
          </cell>
          <cell r="H1439" t="str">
            <v>Halter sp.g (PA_4431278 w.g.)</v>
          </cell>
          <cell r="I1439">
            <v>1</v>
          </cell>
          <cell r="J1439" t="str">
            <v>Stk</v>
          </cell>
          <cell r="K1439">
            <v>45030</v>
          </cell>
          <cell r="L1439" t="str">
            <v>829540</v>
          </cell>
          <cell r="M1439" t="str">
            <v/>
          </cell>
          <cell r="N1439" t="str">
            <v/>
          </cell>
          <cell r="O1439" t="str">
            <v/>
          </cell>
          <cell r="P1439" t="str">
            <v/>
          </cell>
          <cell r="Q1439" t="str">
            <v/>
          </cell>
          <cell r="R1439" t="str">
            <v/>
          </cell>
          <cell r="S1439" t="str">
            <v/>
          </cell>
          <cell r="T1439" t="str">
            <v/>
          </cell>
          <cell r="U1439" t="str">
            <v/>
          </cell>
          <cell r="V1439" t="str">
            <v>N52</v>
          </cell>
          <cell r="W1439" t="str">
            <v/>
          </cell>
          <cell r="X1439" t="str">
            <v/>
          </cell>
          <cell r="Y1439" t="str">
            <v/>
          </cell>
          <cell r="Z1439" t="str">
            <v/>
          </cell>
          <cell r="AA1439" t="str">
            <v/>
          </cell>
          <cell r="AB1439" t="str">
            <v>PA_4431278-EG.7005-2</v>
          </cell>
          <cell r="AC1439">
            <v>1</v>
          </cell>
          <cell r="AD1439" t="str">
            <v/>
          </cell>
          <cell r="AE1439">
            <v>0</v>
          </cell>
          <cell r="AF1439" t="str">
            <v/>
          </cell>
          <cell r="AG1439" t="str">
            <v>12538467</v>
          </cell>
          <cell r="AH1439">
            <v>44951.957013888888</v>
          </cell>
          <cell r="AI1439" t="str">
            <v>N52</v>
          </cell>
          <cell r="AJ1439" t="str">
            <v/>
          </cell>
          <cell r="AK1439" t="str">
            <v>A</v>
          </cell>
        </row>
        <row r="1440">
          <cell r="A1440" t="str">
            <v>12538477829540</v>
          </cell>
          <cell r="B1440" t="str">
            <v>Übergabe Task Force</v>
          </cell>
          <cell r="C1440" t="e">
            <v>#N/A</v>
          </cell>
          <cell r="D1440" t="str">
            <v>EK65</v>
          </cell>
          <cell r="E1440" t="str">
            <v>703919</v>
          </cell>
          <cell r="F1440" t="str">
            <v>E</v>
          </cell>
          <cell r="G1440" t="str">
            <v>12538477</v>
          </cell>
          <cell r="H1440" t="str">
            <v>Huelse</v>
          </cell>
          <cell r="I1440">
            <v>90</v>
          </cell>
          <cell r="J1440" t="str">
            <v>Stk</v>
          </cell>
          <cell r="K1440">
            <v>44988</v>
          </cell>
          <cell r="L1440" t="str">
            <v>829540</v>
          </cell>
          <cell r="M1440" t="str">
            <v/>
          </cell>
          <cell r="N1440" t="str">
            <v/>
          </cell>
          <cell r="O1440" t="str">
            <v/>
          </cell>
          <cell r="P1440" t="str">
            <v/>
          </cell>
          <cell r="Q1440" t="str">
            <v/>
          </cell>
          <cell r="R1440" t="str">
            <v/>
          </cell>
          <cell r="S1440" t="str">
            <v/>
          </cell>
          <cell r="T1440" t="str">
            <v/>
          </cell>
          <cell r="U1440" t="str">
            <v/>
          </cell>
          <cell r="V1440" t="str">
            <v>N52</v>
          </cell>
          <cell r="W1440" t="str">
            <v/>
          </cell>
          <cell r="X1440" t="str">
            <v/>
          </cell>
          <cell r="Y1440" t="str">
            <v/>
          </cell>
          <cell r="Z1440" t="str">
            <v/>
          </cell>
          <cell r="AA1440" t="str">
            <v/>
          </cell>
          <cell r="AB1440" t="str">
            <v>PA_4432051-EG.7005-4</v>
          </cell>
          <cell r="AC1440">
            <v>1</v>
          </cell>
          <cell r="AD1440" t="str">
            <v/>
          </cell>
          <cell r="AE1440">
            <v>0</v>
          </cell>
          <cell r="AF1440" t="str">
            <v/>
          </cell>
          <cell r="AG1440" t="str">
            <v>12538477</v>
          </cell>
          <cell r="AH1440">
            <v>44951.957025462965</v>
          </cell>
          <cell r="AI1440" t="str">
            <v>N52</v>
          </cell>
          <cell r="AJ1440" t="str">
            <v>F</v>
          </cell>
          <cell r="AK1440" t="str">
            <v/>
          </cell>
        </row>
        <row r="1441">
          <cell r="A1441" t="str">
            <v>12538477829560</v>
          </cell>
          <cell r="B1441" t="str">
            <v>Übergabe Task Force</v>
          </cell>
          <cell r="C1441" t="e">
            <v>#N/A</v>
          </cell>
          <cell r="D1441" t="str">
            <v>EK65</v>
          </cell>
          <cell r="E1441" t="str">
            <v>703920</v>
          </cell>
          <cell r="F1441" t="str">
            <v>E</v>
          </cell>
          <cell r="G1441" t="str">
            <v>12538477</v>
          </cell>
          <cell r="H1441" t="str">
            <v>Huelse</v>
          </cell>
          <cell r="I1441">
            <v>14</v>
          </cell>
          <cell r="J1441" t="str">
            <v>Stk</v>
          </cell>
          <cell r="K1441">
            <v>45028</v>
          </cell>
          <cell r="L1441" t="str">
            <v>829560</v>
          </cell>
          <cell r="M1441" t="str">
            <v/>
          </cell>
          <cell r="N1441" t="str">
            <v/>
          </cell>
          <cell r="O1441" t="str">
            <v/>
          </cell>
          <cell r="P1441" t="str">
            <v/>
          </cell>
          <cell r="Q1441" t="str">
            <v/>
          </cell>
          <cell r="R1441" t="str">
            <v/>
          </cell>
          <cell r="S1441" t="str">
            <v/>
          </cell>
          <cell r="T1441" t="str">
            <v/>
          </cell>
          <cell r="U1441" t="str">
            <v/>
          </cell>
          <cell r="V1441" t="str">
            <v>N52</v>
          </cell>
          <cell r="W1441" t="str">
            <v/>
          </cell>
          <cell r="X1441" t="str">
            <v/>
          </cell>
          <cell r="Y1441" t="str">
            <v/>
          </cell>
          <cell r="Z1441" t="str">
            <v/>
          </cell>
          <cell r="AA1441" t="str">
            <v/>
          </cell>
          <cell r="AB1441" t="str">
            <v>PA_4432051-EG.7005-4</v>
          </cell>
          <cell r="AC1441">
            <v>1</v>
          </cell>
          <cell r="AD1441" t="str">
            <v/>
          </cell>
          <cell r="AE1441">
            <v>0</v>
          </cell>
          <cell r="AF1441" t="str">
            <v/>
          </cell>
          <cell r="AG1441" t="str">
            <v>12538477</v>
          </cell>
          <cell r="AH1441">
            <v>44951.957025462965</v>
          </cell>
          <cell r="AI1441" t="str">
            <v>N52</v>
          </cell>
          <cell r="AJ1441" t="str">
            <v>F</v>
          </cell>
          <cell r="AK1441" t="str">
            <v/>
          </cell>
        </row>
        <row r="1442">
          <cell r="A1442" t="str">
            <v>12538477829520</v>
          </cell>
          <cell r="B1442" t="str">
            <v>Übergabe Task Force</v>
          </cell>
          <cell r="C1442" t="e">
            <v>#N/A</v>
          </cell>
          <cell r="D1442" t="str">
            <v>EK65</v>
          </cell>
          <cell r="E1442" t="str">
            <v>703921</v>
          </cell>
          <cell r="F1442" t="str">
            <v>E</v>
          </cell>
          <cell r="G1442" t="str">
            <v>12538477</v>
          </cell>
          <cell r="H1442" t="str">
            <v>Huelse</v>
          </cell>
          <cell r="I1442">
            <v>109</v>
          </cell>
          <cell r="J1442" t="str">
            <v>Stk</v>
          </cell>
          <cell r="K1442">
            <v>45048</v>
          </cell>
          <cell r="L1442" t="str">
            <v>829520</v>
          </cell>
          <cell r="M1442" t="str">
            <v/>
          </cell>
          <cell r="N1442" t="str">
            <v/>
          </cell>
          <cell r="O1442" t="str">
            <v/>
          </cell>
          <cell r="P1442" t="str">
            <v/>
          </cell>
          <cell r="Q1442" t="str">
            <v/>
          </cell>
          <cell r="R1442" t="str">
            <v/>
          </cell>
          <cell r="S1442" t="str">
            <v/>
          </cell>
          <cell r="T1442" t="str">
            <v/>
          </cell>
          <cell r="U1442" t="str">
            <v/>
          </cell>
          <cell r="V1442" t="str">
            <v>N52</v>
          </cell>
          <cell r="W1442" t="str">
            <v/>
          </cell>
          <cell r="X1442" t="str">
            <v/>
          </cell>
          <cell r="Y1442" t="str">
            <v/>
          </cell>
          <cell r="Z1442" t="str">
            <v/>
          </cell>
          <cell r="AA1442" t="str">
            <v/>
          </cell>
          <cell r="AB1442" t="str">
            <v>PA_4432051-EG.7005-4</v>
          </cell>
          <cell r="AC1442">
            <v>1</v>
          </cell>
          <cell r="AD1442" t="str">
            <v/>
          </cell>
          <cell r="AE1442">
            <v>0</v>
          </cell>
          <cell r="AF1442" t="str">
            <v/>
          </cell>
          <cell r="AG1442" t="str">
            <v>12538477</v>
          </cell>
          <cell r="AH1442">
            <v>44951.957025462965</v>
          </cell>
          <cell r="AI1442" t="str">
            <v>N52</v>
          </cell>
          <cell r="AJ1442" t="str">
            <v>F</v>
          </cell>
          <cell r="AK1442" t="str">
            <v/>
          </cell>
        </row>
        <row r="1443">
          <cell r="A1443" t="str">
            <v>12538477829510</v>
          </cell>
          <cell r="B1443" t="str">
            <v>Übergabe Task Force</v>
          </cell>
          <cell r="C1443" t="e">
            <v>#N/A</v>
          </cell>
          <cell r="D1443" t="str">
            <v>EK65</v>
          </cell>
          <cell r="E1443" t="str">
            <v>703922</v>
          </cell>
          <cell r="F1443" t="str">
            <v>E</v>
          </cell>
          <cell r="G1443" t="str">
            <v>12538477</v>
          </cell>
          <cell r="H1443" t="str">
            <v>Huelse</v>
          </cell>
          <cell r="I1443">
            <v>95</v>
          </cell>
          <cell r="J1443" t="str">
            <v>Stk</v>
          </cell>
          <cell r="K1443">
            <v>45048</v>
          </cell>
          <cell r="L1443" t="str">
            <v>829510</v>
          </cell>
          <cell r="M1443" t="str">
            <v/>
          </cell>
          <cell r="N1443" t="str">
            <v/>
          </cell>
          <cell r="O1443" t="str">
            <v/>
          </cell>
          <cell r="P1443" t="str">
            <v/>
          </cell>
          <cell r="Q1443" t="str">
            <v/>
          </cell>
          <cell r="R1443" t="str">
            <v/>
          </cell>
          <cell r="S1443" t="str">
            <v/>
          </cell>
          <cell r="T1443" t="str">
            <v/>
          </cell>
          <cell r="U1443" t="str">
            <v/>
          </cell>
          <cell r="V1443" t="str">
            <v>N52</v>
          </cell>
          <cell r="W1443" t="str">
            <v/>
          </cell>
          <cell r="X1443" t="str">
            <v/>
          </cell>
          <cell r="Y1443" t="str">
            <v/>
          </cell>
          <cell r="Z1443" t="str">
            <v/>
          </cell>
          <cell r="AA1443" t="str">
            <v/>
          </cell>
          <cell r="AB1443" t="str">
            <v>PA_4432051-EG.7005-4</v>
          </cell>
          <cell r="AC1443">
            <v>1</v>
          </cell>
          <cell r="AD1443" t="str">
            <v/>
          </cell>
          <cell r="AE1443">
            <v>0</v>
          </cell>
          <cell r="AF1443" t="str">
            <v/>
          </cell>
          <cell r="AG1443" t="str">
            <v>12538477</v>
          </cell>
          <cell r="AH1443">
            <v>44951.957025462965</v>
          </cell>
          <cell r="AI1443" t="str">
            <v>N52</v>
          </cell>
          <cell r="AJ1443" t="str">
            <v>F</v>
          </cell>
          <cell r="AK1443" t="str">
            <v/>
          </cell>
        </row>
        <row r="1444">
          <cell r="A1444" t="str">
            <v>12538477829530</v>
          </cell>
          <cell r="B1444" t="str">
            <v>Angefragt 22.03.2023</v>
          </cell>
          <cell r="C1444" t="e">
            <v>#N/A</v>
          </cell>
          <cell r="D1444" t="str">
            <v>EK65</v>
          </cell>
          <cell r="E1444" t="str">
            <v>703923</v>
          </cell>
          <cell r="F1444" t="str">
            <v>E</v>
          </cell>
          <cell r="G1444" t="str">
            <v>12538477</v>
          </cell>
          <cell r="H1444" t="str">
            <v>Huelse</v>
          </cell>
          <cell r="I1444">
            <v>14</v>
          </cell>
          <cell r="J1444" t="str">
            <v>Stk</v>
          </cell>
          <cell r="K1444">
            <v>45061</v>
          </cell>
          <cell r="L1444" t="str">
            <v>829530</v>
          </cell>
          <cell r="M1444" t="str">
            <v/>
          </cell>
          <cell r="N1444" t="str">
            <v/>
          </cell>
          <cell r="O1444" t="str">
            <v/>
          </cell>
          <cell r="P1444" t="str">
            <v/>
          </cell>
          <cell r="Q1444" t="str">
            <v/>
          </cell>
          <cell r="R1444" t="str">
            <v/>
          </cell>
          <cell r="S1444" t="str">
            <v/>
          </cell>
          <cell r="T1444" t="str">
            <v/>
          </cell>
          <cell r="U1444" t="str">
            <v/>
          </cell>
          <cell r="V1444" t="str">
            <v>N52</v>
          </cell>
          <cell r="W1444" t="str">
            <v/>
          </cell>
          <cell r="X1444" t="str">
            <v/>
          </cell>
          <cell r="Y1444" t="str">
            <v/>
          </cell>
          <cell r="Z1444" t="str">
            <v/>
          </cell>
          <cell r="AA1444" t="str">
            <v/>
          </cell>
          <cell r="AB1444" t="str">
            <v>PA_4432051-EG.7005-4</v>
          </cell>
          <cell r="AC1444">
            <v>1</v>
          </cell>
          <cell r="AD1444" t="str">
            <v/>
          </cell>
          <cell r="AE1444">
            <v>0</v>
          </cell>
          <cell r="AF1444" t="str">
            <v/>
          </cell>
          <cell r="AG1444" t="str">
            <v>12538477</v>
          </cell>
          <cell r="AH1444">
            <v>44951.957025462965</v>
          </cell>
          <cell r="AI1444" t="str">
            <v>N52</v>
          </cell>
          <cell r="AJ1444" t="str">
            <v>F</v>
          </cell>
          <cell r="AK1444" t="str">
            <v/>
          </cell>
        </row>
        <row r="1445">
          <cell r="A1445" t="str">
            <v>12539937829051</v>
          </cell>
          <cell r="B1445" t="str">
            <v>Übergabe Task Force</v>
          </cell>
          <cell r="C1445">
            <v>6</v>
          </cell>
          <cell r="D1445" t="str">
            <v>EK65</v>
          </cell>
          <cell r="E1445" t="str">
            <v>703932</v>
          </cell>
          <cell r="F1445" t="str">
            <v>E</v>
          </cell>
          <cell r="G1445" t="str">
            <v>12539937</v>
          </cell>
          <cell r="H1445" t="str">
            <v>Tafel vollst.</v>
          </cell>
          <cell r="I1445">
            <v>66</v>
          </cell>
          <cell r="J1445" t="str">
            <v>Stk</v>
          </cell>
          <cell r="K1445">
            <v>45317</v>
          </cell>
          <cell r="L1445" t="str">
            <v>829051</v>
          </cell>
          <cell r="M1445" t="str">
            <v/>
          </cell>
          <cell r="N1445" t="str">
            <v/>
          </cell>
          <cell r="O1445" t="str">
            <v/>
          </cell>
          <cell r="P1445" t="str">
            <v/>
          </cell>
          <cell r="Q1445" t="str">
            <v/>
          </cell>
          <cell r="R1445" t="str">
            <v/>
          </cell>
          <cell r="S1445" t="str">
            <v/>
          </cell>
          <cell r="T1445" t="str">
            <v/>
          </cell>
          <cell r="U1445" t="str">
            <v/>
          </cell>
          <cell r="V1445" t="str">
            <v>N38</v>
          </cell>
          <cell r="W1445" t="str">
            <v/>
          </cell>
          <cell r="X1445" t="str">
            <v/>
          </cell>
          <cell r="Y1445" t="str">
            <v/>
          </cell>
          <cell r="Z1445" t="str">
            <v/>
          </cell>
          <cell r="AA1445" t="str">
            <v/>
          </cell>
          <cell r="AB1445" t="str">
            <v>PA_4300541-TC.7004-2</v>
          </cell>
          <cell r="AC1445">
            <v>1</v>
          </cell>
          <cell r="AD1445" t="str">
            <v/>
          </cell>
          <cell r="AE1445">
            <v>0</v>
          </cell>
          <cell r="AF1445" t="str">
            <v/>
          </cell>
          <cell r="AG1445" t="str">
            <v>12539937</v>
          </cell>
          <cell r="AH1445">
            <v>44951.957094907404</v>
          </cell>
          <cell r="AI1445" t="str">
            <v>N38</v>
          </cell>
          <cell r="AJ1445" t="str">
            <v>F</v>
          </cell>
          <cell r="AK1445" t="str">
            <v/>
          </cell>
        </row>
        <row r="1446">
          <cell r="A1446" t="str">
            <v>12543144829051</v>
          </cell>
          <cell r="B1446" t="str">
            <v>Übergabe Task Force</v>
          </cell>
          <cell r="C1446">
            <v>12</v>
          </cell>
          <cell r="D1446" t="str">
            <v>EK65</v>
          </cell>
          <cell r="E1446" t="str">
            <v>703940</v>
          </cell>
          <cell r="F1446" t="str">
            <v>E</v>
          </cell>
          <cell r="G1446" t="str">
            <v>12543144</v>
          </cell>
          <cell r="H1446" t="str">
            <v>Befestigungswinkel</v>
          </cell>
          <cell r="I1446">
            <v>183</v>
          </cell>
          <cell r="J1446" t="str">
            <v>Stk</v>
          </cell>
          <cell r="K1446">
            <v>45682</v>
          </cell>
          <cell r="L1446" t="str">
            <v>829051</v>
          </cell>
          <cell r="M1446" t="str">
            <v/>
          </cell>
          <cell r="N1446" t="str">
            <v/>
          </cell>
          <cell r="O1446" t="str">
            <v/>
          </cell>
          <cell r="P1446" t="str">
            <v/>
          </cell>
          <cell r="Q1446" t="str">
            <v/>
          </cell>
          <cell r="R1446" t="str">
            <v/>
          </cell>
          <cell r="S1446" t="str">
            <v/>
          </cell>
          <cell r="T1446" t="str">
            <v/>
          </cell>
          <cell r="U1446" t="str">
            <v/>
          </cell>
          <cell r="V1446" t="str">
            <v>N52</v>
          </cell>
          <cell r="W1446" t="str">
            <v/>
          </cell>
          <cell r="X1446" t="str">
            <v/>
          </cell>
          <cell r="Y1446" t="str">
            <v/>
          </cell>
          <cell r="Z1446" t="str">
            <v/>
          </cell>
          <cell r="AA1446" t="str">
            <v/>
          </cell>
          <cell r="AB1446" t="str">
            <v>PA_4484410-TD.7005-4</v>
          </cell>
          <cell r="AC1446">
            <v>1</v>
          </cell>
          <cell r="AD1446" t="str">
            <v/>
          </cell>
          <cell r="AE1446">
            <v>0</v>
          </cell>
          <cell r="AF1446" t="str">
            <v/>
          </cell>
          <cell r="AG1446" t="str">
            <v>12543144</v>
          </cell>
          <cell r="AH1446">
            <v>44951.957291666666</v>
          </cell>
          <cell r="AI1446" t="str">
            <v>N52</v>
          </cell>
          <cell r="AJ1446" t="str">
            <v>F</v>
          </cell>
          <cell r="AK1446" t="str">
            <v/>
          </cell>
        </row>
        <row r="1447">
          <cell r="A1447" t="str">
            <v>12545204829550</v>
          </cell>
          <cell r="B1447">
            <v>0</v>
          </cell>
          <cell r="C1447" t="e">
            <v>#N/A</v>
          </cell>
          <cell r="D1447" t="str">
            <v>EK65</v>
          </cell>
          <cell r="E1447" t="str">
            <v>703945</v>
          </cell>
          <cell r="F1447" t="str">
            <v>E</v>
          </cell>
          <cell r="G1447" t="str">
            <v>12545204</v>
          </cell>
          <cell r="H1447" t="str">
            <v>Halter</v>
          </cell>
          <cell r="I1447">
            <v>18</v>
          </cell>
          <cell r="J1447" t="str">
            <v>Stk</v>
          </cell>
          <cell r="K1447">
            <v>44659</v>
          </cell>
          <cell r="L1447" t="str">
            <v>829550</v>
          </cell>
          <cell r="M1447" t="str">
            <v/>
          </cell>
          <cell r="N1447" t="str">
            <v/>
          </cell>
          <cell r="O1447" t="str">
            <v/>
          </cell>
          <cell r="P1447" t="str">
            <v/>
          </cell>
          <cell r="Q1447" t="str">
            <v/>
          </cell>
          <cell r="R1447" t="str">
            <v/>
          </cell>
          <cell r="S1447" t="str">
            <v/>
          </cell>
          <cell r="T1447" t="str">
            <v/>
          </cell>
          <cell r="U1447" t="str">
            <v/>
          </cell>
          <cell r="V1447" t="str">
            <v>N52</v>
          </cell>
          <cell r="W1447" t="str">
            <v/>
          </cell>
          <cell r="X1447" t="str">
            <v/>
          </cell>
          <cell r="Y1447" t="str">
            <v/>
          </cell>
          <cell r="Z1447" t="str">
            <v/>
          </cell>
          <cell r="AA1447" t="str">
            <v/>
          </cell>
          <cell r="AB1447" t="str">
            <v>PA_4547209-UA.7005-3</v>
          </cell>
          <cell r="AC1447">
            <v>1</v>
          </cell>
          <cell r="AD1447" t="str">
            <v/>
          </cell>
          <cell r="AE1447">
            <v>0</v>
          </cell>
          <cell r="AF1447" t="str">
            <v/>
          </cell>
          <cell r="AG1447" t="str">
            <v>12545204</v>
          </cell>
          <cell r="AH1447">
            <v>44951.957499999997</v>
          </cell>
          <cell r="AI1447" t="str">
            <v>N52</v>
          </cell>
          <cell r="AJ1447" t="str">
            <v>F</v>
          </cell>
          <cell r="AK1447" t="str">
            <v/>
          </cell>
        </row>
        <row r="1448">
          <cell r="A1448" t="str">
            <v>12547977829052</v>
          </cell>
          <cell r="B1448" t="str">
            <v>Übergabe Task Force</v>
          </cell>
          <cell r="C1448">
            <v>11</v>
          </cell>
          <cell r="D1448" t="str">
            <v>EK65</v>
          </cell>
          <cell r="E1448" t="str">
            <v>703950</v>
          </cell>
          <cell r="F1448" t="str">
            <v>E</v>
          </cell>
          <cell r="G1448" t="str">
            <v>12547977</v>
          </cell>
          <cell r="H1448" t="str">
            <v>Halter Automatenabdeckung vollst.+64 +66</v>
          </cell>
          <cell r="I1448">
            <v>689</v>
          </cell>
          <cell r="J1448" t="str">
            <v>Stk</v>
          </cell>
          <cell r="K1448">
            <v>45253</v>
          </cell>
          <cell r="L1448" t="str">
            <v>829052</v>
          </cell>
          <cell r="M1448" t="str">
            <v/>
          </cell>
          <cell r="N1448" t="str">
            <v/>
          </cell>
          <cell r="O1448" t="str">
            <v/>
          </cell>
          <cell r="P1448" t="str">
            <v/>
          </cell>
          <cell r="Q1448" t="str">
            <v/>
          </cell>
          <cell r="R1448" t="str">
            <v/>
          </cell>
          <cell r="S1448" t="str">
            <v/>
          </cell>
          <cell r="T1448" t="str">
            <v/>
          </cell>
          <cell r="U1448" t="str">
            <v/>
          </cell>
          <cell r="V1448" t="str">
            <v>N38</v>
          </cell>
          <cell r="W1448" t="str">
            <v/>
          </cell>
          <cell r="X1448" t="str">
            <v/>
          </cell>
          <cell r="Y1448" t="str">
            <v/>
          </cell>
          <cell r="Z1448" t="str">
            <v/>
          </cell>
          <cell r="AA1448" t="str">
            <v/>
          </cell>
          <cell r="AB1448" t="str">
            <v>PA_4672098-UA.7004-4</v>
          </cell>
          <cell r="AC1448">
            <v>1</v>
          </cell>
          <cell r="AD1448" t="str">
            <v/>
          </cell>
          <cell r="AE1448">
            <v>0</v>
          </cell>
          <cell r="AF1448" t="str">
            <v/>
          </cell>
          <cell r="AG1448" t="str">
            <v>12547977</v>
          </cell>
          <cell r="AH1448">
            <v>44951.957592592589</v>
          </cell>
          <cell r="AI1448" t="str">
            <v>N38</v>
          </cell>
          <cell r="AJ1448" t="str">
            <v>F</v>
          </cell>
          <cell r="AK1448" t="str">
            <v/>
          </cell>
        </row>
        <row r="1449">
          <cell r="A1449" t="str">
            <v>12554994829051</v>
          </cell>
          <cell r="B1449" t="e">
            <v>#N/A</v>
          </cell>
          <cell r="C1449" t="e">
            <v>#N/A</v>
          </cell>
          <cell r="D1449" t="str">
            <v>EK65</v>
          </cell>
          <cell r="E1449" t="str">
            <v>703953</v>
          </cell>
          <cell r="F1449" t="str">
            <v>E</v>
          </cell>
          <cell r="G1449" t="str">
            <v>12554994</v>
          </cell>
          <cell r="H1449" t="str">
            <v>Halter 1 vollst.</v>
          </cell>
          <cell r="I1449">
            <v>64</v>
          </cell>
          <cell r="J1449" t="str">
            <v>Stk</v>
          </cell>
          <cell r="K1449">
            <v>45317</v>
          </cell>
          <cell r="L1449" t="str">
            <v>829051</v>
          </cell>
          <cell r="M1449" t="str">
            <v/>
          </cell>
          <cell r="N1449" t="str">
            <v/>
          </cell>
          <cell r="O1449" t="str">
            <v/>
          </cell>
          <cell r="P1449" t="str">
            <v/>
          </cell>
          <cell r="Q1449" t="str">
            <v/>
          </cell>
          <cell r="R1449" t="str">
            <v/>
          </cell>
          <cell r="S1449" t="str">
            <v/>
          </cell>
          <cell r="T1449" t="str">
            <v/>
          </cell>
          <cell r="U1449" t="str">
            <v/>
          </cell>
          <cell r="V1449" t="str">
            <v>N38</v>
          </cell>
          <cell r="W1449" t="str">
            <v/>
          </cell>
          <cell r="X1449" t="str">
            <v/>
          </cell>
          <cell r="Y1449" t="str">
            <v/>
          </cell>
          <cell r="Z1449" t="str">
            <v/>
          </cell>
          <cell r="AA1449" t="str">
            <v/>
          </cell>
          <cell r="AB1449" t="str">
            <v>PA_4598323-TC.7004-2</v>
          </cell>
          <cell r="AC1449">
            <v>1</v>
          </cell>
          <cell r="AD1449" t="str">
            <v/>
          </cell>
          <cell r="AE1449">
            <v>0</v>
          </cell>
          <cell r="AF1449" t="str">
            <v/>
          </cell>
          <cell r="AG1449" t="str">
            <v>12554994</v>
          </cell>
          <cell r="AH1449">
            <v>44951.957685185182</v>
          </cell>
          <cell r="AI1449" t="str">
            <v>N38</v>
          </cell>
          <cell r="AJ1449" t="str">
            <v>F</v>
          </cell>
          <cell r="AK1449" t="str">
            <v/>
          </cell>
        </row>
        <row r="1450">
          <cell r="A1450" t="str">
            <v>12558736829510</v>
          </cell>
          <cell r="B1450" t="str">
            <v>Übergabe Task Force</v>
          </cell>
          <cell r="C1450" t="e">
            <v>#N/A</v>
          </cell>
          <cell r="D1450" t="str">
            <v>EK65</v>
          </cell>
          <cell r="E1450" t="str">
            <v>703955</v>
          </cell>
          <cell r="F1450" t="str">
            <v>E</v>
          </cell>
          <cell r="G1450" t="str">
            <v>12558736</v>
          </cell>
          <cell r="H1450" t="str">
            <v>Halter</v>
          </cell>
          <cell r="I1450">
            <v>24</v>
          </cell>
          <cell r="J1450" t="str">
            <v>Stk</v>
          </cell>
          <cell r="K1450">
            <v>45048</v>
          </cell>
          <cell r="L1450" t="str">
            <v>829510</v>
          </cell>
          <cell r="M1450" t="str">
            <v/>
          </cell>
          <cell r="N1450" t="str">
            <v/>
          </cell>
          <cell r="O1450" t="str">
            <v/>
          </cell>
          <cell r="P1450" t="str">
            <v/>
          </cell>
          <cell r="Q1450" t="str">
            <v/>
          </cell>
          <cell r="R1450" t="str">
            <v/>
          </cell>
          <cell r="S1450" t="str">
            <v/>
          </cell>
          <cell r="T1450" t="str">
            <v/>
          </cell>
          <cell r="U1450" t="str">
            <v/>
          </cell>
          <cell r="V1450" t="str">
            <v>N52</v>
          </cell>
          <cell r="W1450" t="str">
            <v/>
          </cell>
          <cell r="X1450" t="str">
            <v/>
          </cell>
          <cell r="Y1450" t="str">
            <v/>
          </cell>
          <cell r="Z1450" t="str">
            <v/>
          </cell>
          <cell r="AA1450" t="str">
            <v/>
          </cell>
          <cell r="AB1450" t="str">
            <v>PA_4628094-MC.7005-4</v>
          </cell>
          <cell r="AC1450">
            <v>1</v>
          </cell>
          <cell r="AD1450" t="str">
            <v/>
          </cell>
          <cell r="AE1450">
            <v>0</v>
          </cell>
          <cell r="AF1450" t="str">
            <v/>
          </cell>
          <cell r="AG1450" t="str">
            <v>12558736</v>
          </cell>
          <cell r="AH1450">
            <v>44951.957743055558</v>
          </cell>
          <cell r="AI1450" t="str">
            <v>N52</v>
          </cell>
          <cell r="AJ1450" t="str">
            <v>F</v>
          </cell>
          <cell r="AK1450" t="str">
            <v/>
          </cell>
        </row>
        <row r="1451">
          <cell r="A1451" t="str">
            <v>12558754829510</v>
          </cell>
          <cell r="B1451" t="str">
            <v>Übergabe Task Force</v>
          </cell>
          <cell r="C1451" t="e">
            <v>#N/A</v>
          </cell>
          <cell r="D1451" t="str">
            <v>EK65</v>
          </cell>
          <cell r="E1451" t="str">
            <v>703957</v>
          </cell>
          <cell r="F1451" t="str">
            <v>E</v>
          </cell>
          <cell r="G1451" t="str">
            <v>12558754</v>
          </cell>
          <cell r="H1451" t="str">
            <v>Halter</v>
          </cell>
          <cell r="I1451">
            <v>24</v>
          </cell>
          <cell r="J1451" t="str">
            <v>Stk</v>
          </cell>
          <cell r="K1451">
            <v>45048</v>
          </cell>
          <cell r="L1451" t="str">
            <v>829510</v>
          </cell>
          <cell r="M1451" t="str">
            <v/>
          </cell>
          <cell r="N1451" t="str">
            <v/>
          </cell>
          <cell r="O1451" t="str">
            <v/>
          </cell>
          <cell r="P1451" t="str">
            <v/>
          </cell>
          <cell r="Q1451" t="str">
            <v/>
          </cell>
          <cell r="R1451" t="str">
            <v/>
          </cell>
          <cell r="S1451" t="str">
            <v/>
          </cell>
          <cell r="T1451" t="str">
            <v/>
          </cell>
          <cell r="U1451" t="str">
            <v/>
          </cell>
          <cell r="V1451" t="str">
            <v>N52</v>
          </cell>
          <cell r="W1451" t="str">
            <v/>
          </cell>
          <cell r="X1451" t="str">
            <v/>
          </cell>
          <cell r="Y1451" t="str">
            <v/>
          </cell>
          <cell r="Z1451" t="str">
            <v/>
          </cell>
          <cell r="AA1451" t="str">
            <v/>
          </cell>
          <cell r="AB1451" t="str">
            <v>PA_4466544-MC.7005-3</v>
          </cell>
          <cell r="AC1451">
            <v>1</v>
          </cell>
          <cell r="AD1451" t="str">
            <v/>
          </cell>
          <cell r="AE1451">
            <v>0</v>
          </cell>
          <cell r="AF1451" t="str">
            <v/>
          </cell>
          <cell r="AG1451" t="str">
            <v>12558754</v>
          </cell>
          <cell r="AH1451">
            <v>44951.957754629628</v>
          </cell>
          <cell r="AI1451" t="str">
            <v>N52</v>
          </cell>
          <cell r="AJ1451" t="str">
            <v>F</v>
          </cell>
          <cell r="AK1451" t="str">
            <v/>
          </cell>
        </row>
        <row r="1452">
          <cell r="A1452" t="str">
            <v>12560512829510</v>
          </cell>
          <cell r="B1452" t="str">
            <v>Übergabe Task Force</v>
          </cell>
          <cell r="C1452" t="e">
            <v>#N/A</v>
          </cell>
          <cell r="D1452" t="str">
            <v>EK65</v>
          </cell>
          <cell r="E1452" t="str">
            <v>703961</v>
          </cell>
          <cell r="F1452" t="str">
            <v>E</v>
          </cell>
          <cell r="G1452" t="str">
            <v>12560512</v>
          </cell>
          <cell r="H1452" t="str">
            <v>Halter</v>
          </cell>
          <cell r="I1452">
            <v>95</v>
          </cell>
          <cell r="J1452" t="str">
            <v>Stk</v>
          </cell>
          <cell r="K1452">
            <v>45033</v>
          </cell>
          <cell r="L1452" t="str">
            <v>829510</v>
          </cell>
          <cell r="M1452" t="str">
            <v/>
          </cell>
          <cell r="N1452" t="str">
            <v/>
          </cell>
          <cell r="O1452" t="str">
            <v/>
          </cell>
          <cell r="P1452" t="str">
            <v/>
          </cell>
          <cell r="Q1452" t="str">
            <v/>
          </cell>
          <cell r="R1452" t="str">
            <v/>
          </cell>
          <cell r="S1452" t="str">
            <v/>
          </cell>
          <cell r="T1452" t="str">
            <v/>
          </cell>
          <cell r="U1452" t="str">
            <v/>
          </cell>
          <cell r="V1452" t="str">
            <v>N52</v>
          </cell>
          <cell r="W1452" t="str">
            <v/>
          </cell>
          <cell r="X1452" t="str">
            <v/>
          </cell>
          <cell r="Y1452" t="str">
            <v/>
          </cell>
          <cell r="Z1452" t="str">
            <v/>
          </cell>
          <cell r="AA1452" t="str">
            <v/>
          </cell>
          <cell r="AB1452" t="str">
            <v>PA_2338479-UA.7005-3</v>
          </cell>
          <cell r="AC1452">
            <v>1</v>
          </cell>
          <cell r="AD1452" t="str">
            <v/>
          </cell>
          <cell r="AE1452">
            <v>0</v>
          </cell>
          <cell r="AF1452" t="str">
            <v/>
          </cell>
          <cell r="AG1452" t="str">
            <v>12560512</v>
          </cell>
          <cell r="AH1452">
            <v>44951.957777777781</v>
          </cell>
          <cell r="AI1452" t="str">
            <v>N52</v>
          </cell>
          <cell r="AJ1452" t="str">
            <v>F</v>
          </cell>
          <cell r="AK1452" t="str">
            <v/>
          </cell>
        </row>
        <row r="1453">
          <cell r="A1453" t="str">
            <v>12560512829540</v>
          </cell>
          <cell r="B1453">
            <v>0</v>
          </cell>
          <cell r="C1453" t="e">
            <v>#N/A</v>
          </cell>
          <cell r="D1453" t="str">
            <v>EK65</v>
          </cell>
          <cell r="E1453" t="str">
            <v>703962</v>
          </cell>
          <cell r="F1453" t="str">
            <v>E</v>
          </cell>
          <cell r="G1453" t="str">
            <v>12560512</v>
          </cell>
          <cell r="H1453" t="str">
            <v>Halter</v>
          </cell>
          <cell r="I1453">
            <v>92</v>
          </cell>
          <cell r="J1453" t="str">
            <v>Stk</v>
          </cell>
          <cell r="K1453">
            <v>44974</v>
          </cell>
          <cell r="L1453" t="str">
            <v>829540</v>
          </cell>
          <cell r="M1453" t="str">
            <v/>
          </cell>
          <cell r="N1453" t="str">
            <v/>
          </cell>
          <cell r="O1453" t="str">
            <v/>
          </cell>
          <cell r="P1453" t="str">
            <v/>
          </cell>
          <cell r="Q1453" t="str">
            <v/>
          </cell>
          <cell r="R1453" t="str">
            <v/>
          </cell>
          <cell r="S1453" t="str">
            <v/>
          </cell>
          <cell r="T1453" t="str">
            <v/>
          </cell>
          <cell r="U1453" t="str">
            <v/>
          </cell>
          <cell r="V1453" t="str">
            <v>N52</v>
          </cell>
          <cell r="W1453" t="str">
            <v/>
          </cell>
          <cell r="X1453" t="str">
            <v/>
          </cell>
          <cell r="Y1453" t="str">
            <v/>
          </cell>
          <cell r="Z1453" t="str">
            <v/>
          </cell>
          <cell r="AA1453" t="str">
            <v/>
          </cell>
          <cell r="AB1453" t="str">
            <v>PA_2338479-UA.7005-3</v>
          </cell>
          <cell r="AC1453">
            <v>1</v>
          </cell>
          <cell r="AD1453" t="str">
            <v/>
          </cell>
          <cell r="AE1453">
            <v>0</v>
          </cell>
          <cell r="AF1453" t="str">
            <v/>
          </cell>
          <cell r="AG1453" t="str">
            <v>12560512</v>
          </cell>
          <cell r="AH1453">
            <v>44951.957777777781</v>
          </cell>
          <cell r="AI1453" t="str">
            <v>N52</v>
          </cell>
          <cell r="AJ1453" t="str">
            <v>F</v>
          </cell>
          <cell r="AK1453" t="str">
            <v/>
          </cell>
        </row>
        <row r="1454">
          <cell r="A1454" t="str">
            <v>12560512829520</v>
          </cell>
          <cell r="B1454" t="str">
            <v>Übergabe Task Force</v>
          </cell>
          <cell r="C1454" t="e">
            <v>#N/A</v>
          </cell>
          <cell r="D1454" t="str">
            <v>EK65</v>
          </cell>
          <cell r="E1454" t="str">
            <v>703963</v>
          </cell>
          <cell r="F1454" t="str">
            <v>E</v>
          </cell>
          <cell r="G1454" t="str">
            <v>12560512</v>
          </cell>
          <cell r="H1454" t="str">
            <v>Halter</v>
          </cell>
          <cell r="I1454">
            <v>109</v>
          </cell>
          <cell r="J1454" t="str">
            <v>Stk</v>
          </cell>
          <cell r="K1454">
            <v>45033</v>
          </cell>
          <cell r="L1454" t="str">
            <v>829520</v>
          </cell>
          <cell r="M1454" t="str">
            <v/>
          </cell>
          <cell r="N1454" t="str">
            <v/>
          </cell>
          <cell r="O1454" t="str">
            <v/>
          </cell>
          <cell r="P1454" t="str">
            <v/>
          </cell>
          <cell r="Q1454" t="str">
            <v/>
          </cell>
          <cell r="R1454" t="str">
            <v/>
          </cell>
          <cell r="S1454" t="str">
            <v/>
          </cell>
          <cell r="T1454" t="str">
            <v/>
          </cell>
          <cell r="U1454" t="str">
            <v/>
          </cell>
          <cell r="V1454" t="str">
            <v>N52</v>
          </cell>
          <cell r="W1454" t="str">
            <v/>
          </cell>
          <cell r="X1454" t="str">
            <v/>
          </cell>
          <cell r="Y1454" t="str">
            <v/>
          </cell>
          <cell r="Z1454" t="str">
            <v/>
          </cell>
          <cell r="AA1454" t="str">
            <v/>
          </cell>
          <cell r="AB1454" t="str">
            <v>PA_2338479-UA.7005-3</v>
          </cell>
          <cell r="AC1454">
            <v>1</v>
          </cell>
          <cell r="AD1454" t="str">
            <v/>
          </cell>
          <cell r="AE1454">
            <v>0</v>
          </cell>
          <cell r="AF1454" t="str">
            <v/>
          </cell>
          <cell r="AG1454" t="str">
            <v>12560512</v>
          </cell>
          <cell r="AH1454">
            <v>44951.957777777781</v>
          </cell>
          <cell r="AI1454" t="str">
            <v>N52</v>
          </cell>
          <cell r="AJ1454" t="str">
            <v>F</v>
          </cell>
          <cell r="AK1454" t="str">
            <v/>
          </cell>
        </row>
        <row r="1455">
          <cell r="A1455" t="str">
            <v>12560512829530</v>
          </cell>
          <cell r="B1455">
            <v>0</v>
          </cell>
          <cell r="C1455" t="e">
            <v>#N/A</v>
          </cell>
          <cell r="D1455" t="str">
            <v>EK65</v>
          </cell>
          <cell r="E1455" t="str">
            <v>703964</v>
          </cell>
          <cell r="F1455" t="str">
            <v>E</v>
          </cell>
          <cell r="G1455" t="str">
            <v>12560512</v>
          </cell>
          <cell r="H1455" t="str">
            <v>Halter</v>
          </cell>
          <cell r="I1455">
            <v>14</v>
          </cell>
          <cell r="J1455" t="str">
            <v>Stk</v>
          </cell>
          <cell r="K1455">
            <v>45044</v>
          </cell>
          <cell r="L1455" t="str">
            <v>829530</v>
          </cell>
          <cell r="M1455" t="str">
            <v/>
          </cell>
          <cell r="N1455" t="str">
            <v/>
          </cell>
          <cell r="O1455" t="str">
            <v/>
          </cell>
          <cell r="P1455" t="str">
            <v/>
          </cell>
          <cell r="Q1455" t="str">
            <v/>
          </cell>
          <cell r="R1455" t="str">
            <v/>
          </cell>
          <cell r="S1455" t="str">
            <v/>
          </cell>
          <cell r="T1455" t="str">
            <v/>
          </cell>
          <cell r="U1455" t="str">
            <v/>
          </cell>
          <cell r="V1455" t="str">
            <v>N52</v>
          </cell>
          <cell r="W1455" t="str">
            <v/>
          </cell>
          <cell r="X1455" t="str">
            <v/>
          </cell>
          <cell r="Y1455" t="str">
            <v/>
          </cell>
          <cell r="Z1455" t="str">
            <v/>
          </cell>
          <cell r="AA1455" t="str">
            <v/>
          </cell>
          <cell r="AB1455" t="str">
            <v>PA_2338479-UA.7005-3</v>
          </cell>
          <cell r="AC1455">
            <v>1</v>
          </cell>
          <cell r="AD1455" t="str">
            <v/>
          </cell>
          <cell r="AE1455">
            <v>0</v>
          </cell>
          <cell r="AF1455" t="str">
            <v/>
          </cell>
          <cell r="AG1455" t="str">
            <v>12560512</v>
          </cell>
          <cell r="AH1455">
            <v>44951.957777777781</v>
          </cell>
          <cell r="AI1455" t="str">
            <v>N52</v>
          </cell>
          <cell r="AJ1455" t="str">
            <v>F</v>
          </cell>
          <cell r="AK1455" t="str">
            <v/>
          </cell>
        </row>
        <row r="1456">
          <cell r="A1456" t="str">
            <v>12560523829530</v>
          </cell>
          <cell r="B1456" t="str">
            <v>Übergabe Task Force</v>
          </cell>
          <cell r="C1456" t="e">
            <v>#N/A</v>
          </cell>
          <cell r="D1456" t="str">
            <v>EK65</v>
          </cell>
          <cell r="E1456" t="str">
            <v>703967</v>
          </cell>
          <cell r="F1456" t="str">
            <v>E</v>
          </cell>
          <cell r="G1456" t="str">
            <v>12560523</v>
          </cell>
          <cell r="H1456" t="str">
            <v>Huelse</v>
          </cell>
          <cell r="I1456">
            <v>1</v>
          </cell>
          <cell r="J1456" t="str">
            <v>Stk</v>
          </cell>
          <cell r="K1456">
            <v>45048</v>
          </cell>
          <cell r="L1456" t="str">
            <v>829530</v>
          </cell>
          <cell r="M1456" t="str">
            <v/>
          </cell>
          <cell r="N1456" t="str">
            <v/>
          </cell>
          <cell r="O1456" t="str">
            <v/>
          </cell>
          <cell r="P1456" t="str">
            <v/>
          </cell>
          <cell r="Q1456" t="str">
            <v/>
          </cell>
          <cell r="R1456" t="str">
            <v/>
          </cell>
          <cell r="S1456" t="str">
            <v/>
          </cell>
          <cell r="T1456" t="str">
            <v/>
          </cell>
          <cell r="U1456" t="str">
            <v/>
          </cell>
          <cell r="V1456" t="str">
            <v>N37</v>
          </cell>
          <cell r="W1456" t="str">
            <v/>
          </cell>
          <cell r="X1456" t="str">
            <v/>
          </cell>
          <cell r="Y1456" t="str">
            <v/>
          </cell>
          <cell r="Z1456" t="str">
            <v/>
          </cell>
          <cell r="AA1456" t="str">
            <v/>
          </cell>
          <cell r="AB1456" t="str">
            <v>PA_4564443-UA.7005-4</v>
          </cell>
          <cell r="AC1456">
            <v>1</v>
          </cell>
          <cell r="AD1456" t="str">
            <v/>
          </cell>
          <cell r="AE1456">
            <v>0</v>
          </cell>
          <cell r="AF1456" t="str">
            <v/>
          </cell>
          <cell r="AG1456" t="str">
            <v>12560523</v>
          </cell>
          <cell r="AH1456">
            <v>44951.957800925928</v>
          </cell>
          <cell r="AI1456" t="str">
            <v>N37</v>
          </cell>
          <cell r="AJ1456" t="str">
            <v>F</v>
          </cell>
          <cell r="AK1456" t="str">
            <v/>
          </cell>
        </row>
        <row r="1457">
          <cell r="A1457" t="str">
            <v>12560569829520</v>
          </cell>
          <cell r="B1457" t="str">
            <v>Übergabe Task Force</v>
          </cell>
          <cell r="C1457" t="e">
            <v>#N/A</v>
          </cell>
          <cell r="D1457" t="str">
            <v>EK65</v>
          </cell>
          <cell r="E1457" t="str">
            <v>703989</v>
          </cell>
          <cell r="F1457" t="str">
            <v>E</v>
          </cell>
          <cell r="G1457" t="str">
            <v>12560569</v>
          </cell>
          <cell r="H1457" t="str">
            <v>Platte</v>
          </cell>
          <cell r="I1457">
            <v>28</v>
          </cell>
          <cell r="J1457" t="str">
            <v>Stk</v>
          </cell>
          <cell r="K1457">
            <v>45033</v>
          </cell>
          <cell r="L1457" t="str">
            <v>829520</v>
          </cell>
          <cell r="M1457" t="str">
            <v/>
          </cell>
          <cell r="N1457" t="str">
            <v/>
          </cell>
          <cell r="O1457" t="str">
            <v/>
          </cell>
          <cell r="P1457" t="str">
            <v/>
          </cell>
          <cell r="Q1457" t="str">
            <v/>
          </cell>
          <cell r="R1457" t="str">
            <v/>
          </cell>
          <cell r="S1457" t="str">
            <v/>
          </cell>
          <cell r="T1457" t="str">
            <v/>
          </cell>
          <cell r="U1457" t="str">
            <v/>
          </cell>
          <cell r="V1457" t="str">
            <v>N52</v>
          </cell>
          <cell r="W1457" t="str">
            <v/>
          </cell>
          <cell r="X1457" t="str">
            <v/>
          </cell>
          <cell r="Y1457" t="str">
            <v/>
          </cell>
          <cell r="Z1457" t="str">
            <v/>
          </cell>
          <cell r="AA1457" t="str">
            <v/>
          </cell>
          <cell r="AB1457" t="str">
            <v>PA_4530548-UA.7005-4</v>
          </cell>
          <cell r="AC1457">
            <v>1</v>
          </cell>
          <cell r="AD1457" t="str">
            <v/>
          </cell>
          <cell r="AE1457">
            <v>0</v>
          </cell>
          <cell r="AF1457" t="str">
            <v/>
          </cell>
          <cell r="AG1457" t="str">
            <v>12560569</v>
          </cell>
          <cell r="AH1457">
            <v>44951.957870370374</v>
          </cell>
          <cell r="AI1457" t="str">
            <v>N52</v>
          </cell>
          <cell r="AJ1457" t="str">
            <v>F</v>
          </cell>
          <cell r="AK1457" t="str">
            <v/>
          </cell>
        </row>
        <row r="1458">
          <cell r="A1458" t="str">
            <v>12560569829510</v>
          </cell>
          <cell r="B1458" t="str">
            <v>Übergabe Task Force</v>
          </cell>
          <cell r="C1458" t="e">
            <v>#N/A</v>
          </cell>
          <cell r="D1458" t="str">
            <v>EK65</v>
          </cell>
          <cell r="E1458" t="str">
            <v>703990</v>
          </cell>
          <cell r="F1458" t="str">
            <v>E</v>
          </cell>
          <cell r="G1458" t="str">
            <v>12560569</v>
          </cell>
          <cell r="H1458" t="str">
            <v>Platte</v>
          </cell>
          <cell r="I1458">
            <v>24</v>
          </cell>
          <cell r="J1458" t="str">
            <v>Stk</v>
          </cell>
          <cell r="K1458">
            <v>45033</v>
          </cell>
          <cell r="L1458" t="str">
            <v>829510</v>
          </cell>
          <cell r="M1458" t="str">
            <v/>
          </cell>
          <cell r="N1458" t="str">
            <v/>
          </cell>
          <cell r="O1458" t="str">
            <v/>
          </cell>
          <cell r="P1458" t="str">
            <v/>
          </cell>
          <cell r="Q1458" t="str">
            <v/>
          </cell>
          <cell r="R1458" t="str">
            <v/>
          </cell>
          <cell r="S1458" t="str">
            <v/>
          </cell>
          <cell r="T1458" t="str">
            <v/>
          </cell>
          <cell r="U1458" t="str">
            <v/>
          </cell>
          <cell r="V1458" t="str">
            <v>N52</v>
          </cell>
          <cell r="W1458" t="str">
            <v/>
          </cell>
          <cell r="X1458" t="str">
            <v/>
          </cell>
          <cell r="Y1458" t="str">
            <v/>
          </cell>
          <cell r="Z1458" t="str">
            <v/>
          </cell>
          <cell r="AA1458" t="str">
            <v/>
          </cell>
          <cell r="AB1458" t="str">
            <v>PA_4530548-UA.7005-4</v>
          </cell>
          <cell r="AC1458">
            <v>1</v>
          </cell>
          <cell r="AD1458" t="str">
            <v/>
          </cell>
          <cell r="AE1458">
            <v>0</v>
          </cell>
          <cell r="AF1458" t="str">
            <v/>
          </cell>
          <cell r="AG1458" t="str">
            <v>12560569</v>
          </cell>
          <cell r="AH1458">
            <v>44951.957870370374</v>
          </cell>
          <cell r="AI1458" t="str">
            <v>N52</v>
          </cell>
          <cell r="AJ1458" t="str">
            <v>F</v>
          </cell>
          <cell r="AK1458" t="str">
            <v/>
          </cell>
        </row>
        <row r="1459">
          <cell r="A1459" t="str">
            <v>12560569829530</v>
          </cell>
          <cell r="B1459">
            <v>0</v>
          </cell>
          <cell r="C1459" t="e">
            <v>#N/A</v>
          </cell>
          <cell r="D1459" t="str">
            <v>EK65</v>
          </cell>
          <cell r="E1459" t="str">
            <v>703991</v>
          </cell>
          <cell r="F1459" t="str">
            <v>E</v>
          </cell>
          <cell r="G1459" t="str">
            <v>12560569</v>
          </cell>
          <cell r="H1459" t="str">
            <v>Platte</v>
          </cell>
          <cell r="I1459">
            <v>4</v>
          </cell>
          <cell r="J1459" t="str">
            <v>Stk</v>
          </cell>
          <cell r="K1459">
            <v>45044</v>
          </cell>
          <cell r="L1459" t="str">
            <v>829530</v>
          </cell>
          <cell r="M1459" t="str">
            <v/>
          </cell>
          <cell r="N1459" t="str">
            <v/>
          </cell>
          <cell r="O1459" t="str">
            <v/>
          </cell>
          <cell r="P1459" t="str">
            <v/>
          </cell>
          <cell r="Q1459" t="str">
            <v/>
          </cell>
          <cell r="R1459" t="str">
            <v/>
          </cell>
          <cell r="S1459" t="str">
            <v/>
          </cell>
          <cell r="T1459" t="str">
            <v/>
          </cell>
          <cell r="U1459" t="str">
            <v/>
          </cell>
          <cell r="V1459" t="str">
            <v>N52</v>
          </cell>
          <cell r="W1459" t="str">
            <v/>
          </cell>
          <cell r="X1459" t="str">
            <v/>
          </cell>
          <cell r="Y1459" t="str">
            <v/>
          </cell>
          <cell r="Z1459" t="str">
            <v/>
          </cell>
          <cell r="AA1459" t="str">
            <v/>
          </cell>
          <cell r="AB1459" t="str">
            <v>PA_4530548-UA.7005-4</v>
          </cell>
          <cell r="AC1459">
            <v>1</v>
          </cell>
          <cell r="AD1459" t="str">
            <v/>
          </cell>
          <cell r="AE1459">
            <v>0</v>
          </cell>
          <cell r="AF1459" t="str">
            <v/>
          </cell>
          <cell r="AG1459" t="str">
            <v>12560569</v>
          </cell>
          <cell r="AH1459">
            <v>44951.957870370374</v>
          </cell>
          <cell r="AI1459" t="str">
            <v>N52</v>
          </cell>
          <cell r="AJ1459" t="str">
            <v>F</v>
          </cell>
          <cell r="AK1459" t="str">
            <v/>
          </cell>
        </row>
        <row r="1460">
          <cell r="A1460" t="str">
            <v>12560615829510</v>
          </cell>
          <cell r="B1460" t="str">
            <v>Übergabe Task Force</v>
          </cell>
          <cell r="C1460" t="e">
            <v>#N/A</v>
          </cell>
          <cell r="D1460" t="str">
            <v>EK65</v>
          </cell>
          <cell r="E1460" t="str">
            <v>703997</v>
          </cell>
          <cell r="F1460" t="str">
            <v>E</v>
          </cell>
          <cell r="G1460" t="str">
            <v>12560615</v>
          </cell>
          <cell r="H1460" t="str">
            <v>Halter</v>
          </cell>
          <cell r="I1460">
            <v>12</v>
          </cell>
          <cell r="J1460" t="str">
            <v>Stk</v>
          </cell>
          <cell r="K1460">
            <v>45033</v>
          </cell>
          <cell r="L1460" t="str">
            <v>829510</v>
          </cell>
          <cell r="M1460" t="str">
            <v/>
          </cell>
          <cell r="N1460" t="str">
            <v/>
          </cell>
          <cell r="O1460" t="str">
            <v/>
          </cell>
          <cell r="P1460" t="str">
            <v/>
          </cell>
          <cell r="Q1460" t="str">
            <v/>
          </cell>
          <cell r="R1460" t="str">
            <v/>
          </cell>
          <cell r="S1460" t="str">
            <v/>
          </cell>
          <cell r="T1460" t="str">
            <v/>
          </cell>
          <cell r="U1460" t="str">
            <v/>
          </cell>
          <cell r="V1460" t="str">
            <v>N52</v>
          </cell>
          <cell r="W1460" t="str">
            <v/>
          </cell>
          <cell r="X1460" t="str">
            <v/>
          </cell>
          <cell r="Y1460" t="str">
            <v/>
          </cell>
          <cell r="Z1460" t="str">
            <v/>
          </cell>
          <cell r="AA1460" t="str">
            <v/>
          </cell>
          <cell r="AB1460" t="str">
            <v>PA_4540822-UA.7005-4</v>
          </cell>
          <cell r="AC1460">
            <v>1</v>
          </cell>
          <cell r="AD1460" t="str">
            <v/>
          </cell>
          <cell r="AE1460">
            <v>0</v>
          </cell>
          <cell r="AF1460" t="str">
            <v/>
          </cell>
          <cell r="AG1460" t="str">
            <v>12560615</v>
          </cell>
          <cell r="AH1460">
            <v>44951.95789351852</v>
          </cell>
          <cell r="AI1460" t="str">
            <v>N52</v>
          </cell>
          <cell r="AJ1460" t="str">
            <v>F</v>
          </cell>
          <cell r="AK1460" t="str">
            <v/>
          </cell>
        </row>
        <row r="1461">
          <cell r="A1461" t="str">
            <v>12560615829530</v>
          </cell>
          <cell r="B1461">
            <v>0</v>
          </cell>
          <cell r="C1461" t="e">
            <v>#N/A</v>
          </cell>
          <cell r="D1461" t="str">
            <v>EK65</v>
          </cell>
          <cell r="E1461" t="str">
            <v>703998</v>
          </cell>
          <cell r="F1461" t="str">
            <v>E</v>
          </cell>
          <cell r="G1461" t="str">
            <v>12560615</v>
          </cell>
          <cell r="H1461" t="str">
            <v>Halter</v>
          </cell>
          <cell r="I1461">
            <v>2</v>
          </cell>
          <cell r="J1461" t="str">
            <v>Stk</v>
          </cell>
          <cell r="K1461">
            <v>45044</v>
          </cell>
          <cell r="L1461" t="str">
            <v>829530</v>
          </cell>
          <cell r="M1461" t="str">
            <v/>
          </cell>
          <cell r="N1461" t="str">
            <v/>
          </cell>
          <cell r="O1461" t="str">
            <v/>
          </cell>
          <cell r="P1461" t="str">
            <v/>
          </cell>
          <cell r="Q1461" t="str">
            <v/>
          </cell>
          <cell r="R1461" t="str">
            <v/>
          </cell>
          <cell r="S1461" t="str">
            <v/>
          </cell>
          <cell r="T1461" t="str">
            <v/>
          </cell>
          <cell r="U1461" t="str">
            <v/>
          </cell>
          <cell r="V1461" t="str">
            <v>N52</v>
          </cell>
          <cell r="W1461" t="str">
            <v/>
          </cell>
          <cell r="X1461" t="str">
            <v/>
          </cell>
          <cell r="Y1461" t="str">
            <v/>
          </cell>
          <cell r="Z1461" t="str">
            <v/>
          </cell>
          <cell r="AA1461" t="str">
            <v/>
          </cell>
          <cell r="AB1461" t="str">
            <v>PA_4540822-UA.7005-4</v>
          </cell>
          <cell r="AC1461">
            <v>1</v>
          </cell>
          <cell r="AD1461" t="str">
            <v/>
          </cell>
          <cell r="AE1461">
            <v>0</v>
          </cell>
          <cell r="AF1461" t="str">
            <v/>
          </cell>
          <cell r="AG1461" t="str">
            <v>12560615</v>
          </cell>
          <cell r="AH1461">
            <v>44951.95789351852</v>
          </cell>
          <cell r="AI1461" t="str">
            <v>N52</v>
          </cell>
          <cell r="AJ1461" t="str">
            <v>F</v>
          </cell>
          <cell r="AK1461" t="str">
            <v/>
          </cell>
        </row>
        <row r="1462">
          <cell r="A1462" t="str">
            <v>12560628829520</v>
          </cell>
          <cell r="B1462" t="str">
            <v>Übergabe Task Force</v>
          </cell>
          <cell r="C1462" t="e">
            <v>#N/A</v>
          </cell>
          <cell r="D1462" t="str">
            <v>EK65</v>
          </cell>
          <cell r="E1462" t="str">
            <v>704000</v>
          </cell>
          <cell r="F1462" t="str">
            <v>E</v>
          </cell>
          <cell r="G1462" t="str">
            <v>12560628</v>
          </cell>
          <cell r="H1462" t="str">
            <v>Huelse</v>
          </cell>
          <cell r="I1462">
            <v>109</v>
          </cell>
          <cell r="J1462" t="str">
            <v>Stk</v>
          </cell>
          <cell r="K1462">
            <v>45033</v>
          </cell>
          <cell r="L1462" t="str">
            <v>829520</v>
          </cell>
          <cell r="M1462" t="str">
            <v/>
          </cell>
          <cell r="N1462" t="str">
            <v/>
          </cell>
          <cell r="O1462" t="str">
            <v/>
          </cell>
          <cell r="P1462" t="str">
            <v/>
          </cell>
          <cell r="Q1462" t="str">
            <v/>
          </cell>
          <cell r="R1462" t="str">
            <v/>
          </cell>
          <cell r="S1462" t="str">
            <v/>
          </cell>
          <cell r="T1462" t="str">
            <v/>
          </cell>
          <cell r="U1462" t="str">
            <v/>
          </cell>
          <cell r="V1462" t="str">
            <v>N37</v>
          </cell>
          <cell r="W1462" t="str">
            <v/>
          </cell>
          <cell r="X1462" t="str">
            <v/>
          </cell>
          <cell r="Y1462" t="str">
            <v/>
          </cell>
          <cell r="Z1462" t="str">
            <v/>
          </cell>
          <cell r="AA1462" t="str">
            <v/>
          </cell>
          <cell r="AB1462" t="str">
            <v>PA_2313808-UA.7005-4</v>
          </cell>
          <cell r="AC1462">
            <v>1</v>
          </cell>
          <cell r="AD1462" t="str">
            <v/>
          </cell>
          <cell r="AE1462">
            <v>0</v>
          </cell>
          <cell r="AF1462" t="str">
            <v/>
          </cell>
          <cell r="AG1462" t="str">
            <v>12560628</v>
          </cell>
          <cell r="AH1462">
            <v>44951.957905092589</v>
          </cell>
          <cell r="AI1462" t="str">
            <v>N37</v>
          </cell>
          <cell r="AJ1462" t="str">
            <v>F</v>
          </cell>
          <cell r="AK1462" t="str">
            <v/>
          </cell>
        </row>
        <row r="1463">
          <cell r="A1463" t="str">
            <v>12560628829510</v>
          </cell>
          <cell r="B1463" t="str">
            <v>Übergabe Task Force</v>
          </cell>
          <cell r="C1463" t="e">
            <v>#N/A</v>
          </cell>
          <cell r="D1463" t="str">
            <v>EK65</v>
          </cell>
          <cell r="E1463" t="str">
            <v>704001</v>
          </cell>
          <cell r="F1463" t="str">
            <v>E</v>
          </cell>
          <cell r="G1463" t="str">
            <v>12560628</v>
          </cell>
          <cell r="H1463" t="str">
            <v>Huelse</v>
          </cell>
          <cell r="I1463">
            <v>95</v>
          </cell>
          <cell r="J1463" t="str">
            <v>Stk</v>
          </cell>
          <cell r="K1463">
            <v>45033</v>
          </cell>
          <cell r="L1463" t="str">
            <v>829510</v>
          </cell>
          <cell r="M1463" t="str">
            <v/>
          </cell>
          <cell r="N1463" t="str">
            <v/>
          </cell>
          <cell r="O1463" t="str">
            <v/>
          </cell>
          <cell r="P1463" t="str">
            <v/>
          </cell>
          <cell r="Q1463" t="str">
            <v/>
          </cell>
          <cell r="R1463" t="str">
            <v/>
          </cell>
          <cell r="S1463" t="str">
            <v/>
          </cell>
          <cell r="T1463" t="str">
            <v/>
          </cell>
          <cell r="U1463" t="str">
            <v/>
          </cell>
          <cell r="V1463" t="str">
            <v>N37</v>
          </cell>
          <cell r="W1463" t="str">
            <v/>
          </cell>
          <cell r="X1463" t="str">
            <v/>
          </cell>
          <cell r="Y1463" t="str">
            <v/>
          </cell>
          <cell r="Z1463" t="str">
            <v/>
          </cell>
          <cell r="AA1463" t="str">
            <v/>
          </cell>
          <cell r="AB1463" t="str">
            <v>PA_2313808-UA.7005-4</v>
          </cell>
          <cell r="AC1463">
            <v>1</v>
          </cell>
          <cell r="AD1463" t="str">
            <v/>
          </cell>
          <cell r="AE1463">
            <v>0</v>
          </cell>
          <cell r="AF1463" t="str">
            <v/>
          </cell>
          <cell r="AG1463" t="str">
            <v>12560628</v>
          </cell>
          <cell r="AH1463">
            <v>44951.957905092589</v>
          </cell>
          <cell r="AI1463" t="str">
            <v>N37</v>
          </cell>
          <cell r="AJ1463" t="str">
            <v>F</v>
          </cell>
          <cell r="AK1463" t="str">
            <v/>
          </cell>
        </row>
        <row r="1464">
          <cell r="A1464" t="str">
            <v>12560628829540</v>
          </cell>
          <cell r="B1464">
            <v>0</v>
          </cell>
          <cell r="C1464" t="e">
            <v>#N/A</v>
          </cell>
          <cell r="D1464" t="str">
            <v>EK65</v>
          </cell>
          <cell r="E1464" t="str">
            <v>704002</v>
          </cell>
          <cell r="F1464" t="str">
            <v>E</v>
          </cell>
          <cell r="G1464" t="str">
            <v>12560628</v>
          </cell>
          <cell r="H1464" t="str">
            <v>Huelse</v>
          </cell>
          <cell r="I1464">
            <v>91</v>
          </cell>
          <cell r="J1464" t="str">
            <v>Stk</v>
          </cell>
          <cell r="K1464">
            <v>44974</v>
          </cell>
          <cell r="L1464" t="str">
            <v>829540</v>
          </cell>
          <cell r="M1464" t="str">
            <v/>
          </cell>
          <cell r="N1464" t="str">
            <v/>
          </cell>
          <cell r="O1464" t="str">
            <v/>
          </cell>
          <cell r="P1464" t="str">
            <v/>
          </cell>
          <cell r="Q1464" t="str">
            <v/>
          </cell>
          <cell r="R1464" t="str">
            <v/>
          </cell>
          <cell r="S1464" t="str">
            <v/>
          </cell>
          <cell r="T1464" t="str">
            <v/>
          </cell>
          <cell r="U1464" t="str">
            <v/>
          </cell>
          <cell r="V1464" t="str">
            <v>N37</v>
          </cell>
          <cell r="W1464" t="str">
            <v/>
          </cell>
          <cell r="X1464" t="str">
            <v/>
          </cell>
          <cell r="Y1464" t="str">
            <v/>
          </cell>
          <cell r="Z1464" t="str">
            <v/>
          </cell>
          <cell r="AA1464" t="str">
            <v/>
          </cell>
          <cell r="AB1464" t="str">
            <v>PA_2313808-UA.7005-4</v>
          </cell>
          <cell r="AC1464">
            <v>1</v>
          </cell>
          <cell r="AD1464" t="str">
            <v/>
          </cell>
          <cell r="AE1464">
            <v>0</v>
          </cell>
          <cell r="AF1464" t="str">
            <v/>
          </cell>
          <cell r="AG1464" t="str">
            <v>12560628</v>
          </cell>
          <cell r="AH1464">
            <v>44951.957905092589</v>
          </cell>
          <cell r="AI1464" t="str">
            <v>N37</v>
          </cell>
          <cell r="AJ1464" t="str">
            <v>F</v>
          </cell>
          <cell r="AK1464" t="str">
            <v/>
          </cell>
        </row>
        <row r="1465">
          <cell r="A1465" t="str">
            <v>12560628829530</v>
          </cell>
          <cell r="B1465">
            <v>0</v>
          </cell>
          <cell r="C1465" t="e">
            <v>#N/A</v>
          </cell>
          <cell r="D1465" t="str">
            <v>EK65</v>
          </cell>
          <cell r="E1465" t="str">
            <v>704003</v>
          </cell>
          <cell r="F1465" t="str">
            <v>E</v>
          </cell>
          <cell r="G1465" t="str">
            <v>12560628</v>
          </cell>
          <cell r="H1465" t="str">
            <v>Huelse</v>
          </cell>
          <cell r="I1465">
            <v>14</v>
          </cell>
          <cell r="J1465" t="str">
            <v>Stk</v>
          </cell>
          <cell r="K1465">
            <v>45044</v>
          </cell>
          <cell r="L1465" t="str">
            <v>829530</v>
          </cell>
          <cell r="M1465" t="str">
            <v/>
          </cell>
          <cell r="N1465" t="str">
            <v/>
          </cell>
          <cell r="O1465" t="str">
            <v/>
          </cell>
          <cell r="P1465" t="str">
            <v/>
          </cell>
          <cell r="Q1465" t="str">
            <v/>
          </cell>
          <cell r="R1465" t="str">
            <v/>
          </cell>
          <cell r="S1465" t="str">
            <v/>
          </cell>
          <cell r="T1465" t="str">
            <v/>
          </cell>
          <cell r="U1465" t="str">
            <v/>
          </cell>
          <cell r="V1465" t="str">
            <v>N37</v>
          </cell>
          <cell r="W1465" t="str">
            <v/>
          </cell>
          <cell r="X1465" t="str">
            <v/>
          </cell>
          <cell r="Y1465" t="str">
            <v/>
          </cell>
          <cell r="Z1465" t="str">
            <v/>
          </cell>
          <cell r="AA1465" t="str">
            <v/>
          </cell>
          <cell r="AB1465" t="str">
            <v>PA_2313808-UA.7005-4</v>
          </cell>
          <cell r="AC1465">
            <v>1</v>
          </cell>
          <cell r="AD1465" t="str">
            <v/>
          </cell>
          <cell r="AE1465">
            <v>0</v>
          </cell>
          <cell r="AF1465" t="str">
            <v/>
          </cell>
          <cell r="AG1465" t="str">
            <v>12560628</v>
          </cell>
          <cell r="AH1465">
            <v>44951.957905092589</v>
          </cell>
          <cell r="AI1465" t="str">
            <v>N37</v>
          </cell>
          <cell r="AJ1465" t="str">
            <v>F</v>
          </cell>
          <cell r="AK1465" t="str">
            <v/>
          </cell>
        </row>
        <row r="1466">
          <cell r="A1466" t="str">
            <v>12560959829520</v>
          </cell>
          <cell r="B1466">
            <v>0</v>
          </cell>
          <cell r="C1466" t="e">
            <v>#N/A</v>
          </cell>
          <cell r="D1466" t="str">
            <v>EK65</v>
          </cell>
          <cell r="E1466" t="str">
            <v>704006</v>
          </cell>
          <cell r="F1466" t="str">
            <v>E</v>
          </cell>
          <cell r="G1466" t="str">
            <v>12560959</v>
          </cell>
          <cell r="H1466" t="str">
            <v>Huelse</v>
          </cell>
          <cell r="I1466">
            <v>87</v>
          </cell>
          <cell r="J1466" t="str">
            <v>Stk</v>
          </cell>
          <cell r="K1466">
            <v>44875</v>
          </cell>
          <cell r="L1466" t="str">
            <v>829520</v>
          </cell>
          <cell r="M1466" t="str">
            <v/>
          </cell>
          <cell r="N1466" t="str">
            <v/>
          </cell>
          <cell r="O1466" t="str">
            <v/>
          </cell>
          <cell r="P1466" t="str">
            <v/>
          </cell>
          <cell r="Q1466" t="str">
            <v/>
          </cell>
          <cell r="R1466" t="str">
            <v/>
          </cell>
          <cell r="S1466" t="str">
            <v/>
          </cell>
          <cell r="T1466" t="str">
            <v/>
          </cell>
          <cell r="U1466" t="str">
            <v/>
          </cell>
          <cell r="V1466" t="str">
            <v>N37</v>
          </cell>
          <cell r="W1466" t="str">
            <v/>
          </cell>
          <cell r="X1466" t="str">
            <v/>
          </cell>
          <cell r="Y1466" t="str">
            <v/>
          </cell>
          <cell r="Z1466" t="str">
            <v/>
          </cell>
          <cell r="AA1466" t="str">
            <v/>
          </cell>
          <cell r="AB1466" t="str">
            <v>PA_4540386-UA.7005-4</v>
          </cell>
          <cell r="AC1466">
            <v>1</v>
          </cell>
          <cell r="AD1466" t="str">
            <v/>
          </cell>
          <cell r="AE1466">
            <v>0</v>
          </cell>
          <cell r="AF1466" t="str">
            <v/>
          </cell>
          <cell r="AG1466" t="str">
            <v>12560959</v>
          </cell>
          <cell r="AH1466">
            <v>44951.957916666666</v>
          </cell>
          <cell r="AI1466" t="str">
            <v>N37</v>
          </cell>
          <cell r="AJ1466" t="str">
            <v>F</v>
          </cell>
          <cell r="AK1466" t="str">
            <v/>
          </cell>
        </row>
        <row r="1467">
          <cell r="A1467" t="str">
            <v>12560959829540</v>
          </cell>
          <cell r="B1467">
            <v>0</v>
          </cell>
          <cell r="C1467" t="e">
            <v>#N/A</v>
          </cell>
          <cell r="D1467" t="str">
            <v>EK65</v>
          </cell>
          <cell r="E1467" t="str">
            <v>704007</v>
          </cell>
          <cell r="F1467" t="str">
            <v>E</v>
          </cell>
          <cell r="G1467" t="str">
            <v>12560959</v>
          </cell>
          <cell r="H1467" t="str">
            <v>Huelse</v>
          </cell>
          <cell r="I1467">
            <v>72</v>
          </cell>
          <cell r="J1467" t="str">
            <v>Stk</v>
          </cell>
          <cell r="K1467">
            <v>44974</v>
          </cell>
          <cell r="L1467" t="str">
            <v>829540</v>
          </cell>
          <cell r="M1467" t="str">
            <v/>
          </cell>
          <cell r="N1467" t="str">
            <v/>
          </cell>
          <cell r="O1467" t="str">
            <v/>
          </cell>
          <cell r="P1467" t="str">
            <v/>
          </cell>
          <cell r="Q1467" t="str">
            <v/>
          </cell>
          <cell r="R1467" t="str">
            <v/>
          </cell>
          <cell r="S1467" t="str">
            <v/>
          </cell>
          <cell r="T1467" t="str">
            <v/>
          </cell>
          <cell r="U1467" t="str">
            <v/>
          </cell>
          <cell r="V1467" t="str">
            <v>N37</v>
          </cell>
          <cell r="W1467" t="str">
            <v/>
          </cell>
          <cell r="X1467" t="str">
            <v/>
          </cell>
          <cell r="Y1467" t="str">
            <v/>
          </cell>
          <cell r="Z1467" t="str">
            <v/>
          </cell>
          <cell r="AA1467" t="str">
            <v/>
          </cell>
          <cell r="AB1467" t="str">
            <v>PA_4540386-UA.7005-4</v>
          </cell>
          <cell r="AC1467">
            <v>1</v>
          </cell>
          <cell r="AD1467" t="str">
            <v/>
          </cell>
          <cell r="AE1467">
            <v>0</v>
          </cell>
          <cell r="AF1467" t="str">
            <v/>
          </cell>
          <cell r="AG1467" t="str">
            <v>12560959</v>
          </cell>
          <cell r="AH1467">
            <v>44951.957916666666</v>
          </cell>
          <cell r="AI1467" t="str">
            <v>N37</v>
          </cell>
          <cell r="AJ1467" t="str">
            <v>F</v>
          </cell>
          <cell r="AK1467" t="str">
            <v/>
          </cell>
        </row>
        <row r="1468">
          <cell r="A1468" t="str">
            <v>12560959829530</v>
          </cell>
          <cell r="B1468">
            <v>0</v>
          </cell>
          <cell r="C1468" t="e">
            <v>#N/A</v>
          </cell>
          <cell r="D1468" t="str">
            <v>EK65</v>
          </cell>
          <cell r="E1468" t="str">
            <v>704009</v>
          </cell>
          <cell r="F1468" t="str">
            <v>E</v>
          </cell>
          <cell r="G1468" t="str">
            <v>12560959</v>
          </cell>
          <cell r="H1468" t="str">
            <v>Huelse</v>
          </cell>
          <cell r="I1468">
            <v>18</v>
          </cell>
          <cell r="J1468" t="str">
            <v>Stk</v>
          </cell>
          <cell r="K1468">
            <v>45044</v>
          </cell>
          <cell r="L1468" t="str">
            <v>829530</v>
          </cell>
          <cell r="M1468" t="str">
            <v/>
          </cell>
          <cell r="N1468" t="str">
            <v/>
          </cell>
          <cell r="O1468" t="str">
            <v/>
          </cell>
          <cell r="P1468" t="str">
            <v/>
          </cell>
          <cell r="Q1468" t="str">
            <v/>
          </cell>
          <cell r="R1468" t="str">
            <v/>
          </cell>
          <cell r="S1468" t="str">
            <v/>
          </cell>
          <cell r="T1468" t="str">
            <v/>
          </cell>
          <cell r="U1468" t="str">
            <v/>
          </cell>
          <cell r="V1468" t="str">
            <v>N37</v>
          </cell>
          <cell r="W1468" t="str">
            <v/>
          </cell>
          <cell r="X1468" t="str">
            <v/>
          </cell>
          <cell r="Y1468" t="str">
            <v/>
          </cell>
          <cell r="Z1468" t="str">
            <v/>
          </cell>
          <cell r="AA1468" t="str">
            <v/>
          </cell>
          <cell r="AB1468" t="str">
            <v>PA_4540386-UA.7005-4</v>
          </cell>
          <cell r="AC1468">
            <v>1</v>
          </cell>
          <cell r="AD1468" t="str">
            <v/>
          </cell>
          <cell r="AE1468">
            <v>0</v>
          </cell>
          <cell r="AF1468" t="str">
            <v/>
          </cell>
          <cell r="AG1468" t="str">
            <v>12560959</v>
          </cell>
          <cell r="AH1468">
            <v>44951.957916666666</v>
          </cell>
          <cell r="AI1468" t="str">
            <v>N37</v>
          </cell>
          <cell r="AJ1468" t="str">
            <v>F</v>
          </cell>
          <cell r="AK1468" t="str">
            <v/>
          </cell>
        </row>
        <row r="1469">
          <cell r="A1469" t="str">
            <v>12562735829560</v>
          </cell>
          <cell r="B1469" t="str">
            <v>Übergabe Task Force</v>
          </cell>
          <cell r="C1469" t="e">
            <v>#N/A</v>
          </cell>
          <cell r="D1469" t="str">
            <v>EK65</v>
          </cell>
          <cell r="E1469" t="str">
            <v>704025</v>
          </cell>
          <cell r="F1469" t="str">
            <v>E</v>
          </cell>
          <cell r="G1469" t="str">
            <v>12562735</v>
          </cell>
          <cell r="H1469" t="str">
            <v>Deckel</v>
          </cell>
          <cell r="I1469">
            <v>4</v>
          </cell>
          <cell r="J1469" t="str">
            <v>Stk</v>
          </cell>
          <cell r="K1469">
            <v>45028</v>
          </cell>
          <cell r="L1469" t="str">
            <v>829560</v>
          </cell>
          <cell r="M1469" t="str">
            <v/>
          </cell>
          <cell r="N1469" t="str">
            <v/>
          </cell>
          <cell r="O1469" t="str">
            <v/>
          </cell>
          <cell r="P1469" t="str">
            <v/>
          </cell>
          <cell r="Q1469" t="str">
            <v/>
          </cell>
          <cell r="R1469" t="str">
            <v/>
          </cell>
          <cell r="S1469" t="str">
            <v/>
          </cell>
          <cell r="T1469" t="str">
            <v/>
          </cell>
          <cell r="U1469" t="str">
            <v/>
          </cell>
          <cell r="V1469" t="str">
            <v>N52</v>
          </cell>
          <cell r="W1469" t="str">
            <v/>
          </cell>
          <cell r="X1469" t="str">
            <v/>
          </cell>
          <cell r="Y1469" t="str">
            <v/>
          </cell>
          <cell r="Z1469" t="str">
            <v/>
          </cell>
          <cell r="AA1469" t="str">
            <v/>
          </cell>
          <cell r="AB1469" t="str">
            <v>PA_4588157-MB.7005-4</v>
          </cell>
          <cell r="AC1469">
            <v>1</v>
          </cell>
          <cell r="AD1469" t="str">
            <v/>
          </cell>
          <cell r="AE1469">
            <v>0</v>
          </cell>
          <cell r="AF1469" t="str">
            <v/>
          </cell>
          <cell r="AG1469" t="str">
            <v>12562735</v>
          </cell>
          <cell r="AH1469">
            <v>44951.958009259259</v>
          </cell>
          <cell r="AI1469" t="str">
            <v>N52</v>
          </cell>
          <cell r="AJ1469" t="str">
            <v>F</v>
          </cell>
          <cell r="AK1469" t="str">
            <v/>
          </cell>
        </row>
        <row r="1470">
          <cell r="A1470" t="str">
            <v>12562735829510</v>
          </cell>
          <cell r="B1470" t="str">
            <v>Übergabe Task Force</v>
          </cell>
          <cell r="C1470" t="e">
            <v>#N/A</v>
          </cell>
          <cell r="D1470" t="str">
            <v>EK65</v>
          </cell>
          <cell r="E1470" t="str">
            <v>704026</v>
          </cell>
          <cell r="F1470" t="str">
            <v>E</v>
          </cell>
          <cell r="G1470" t="str">
            <v>12562735</v>
          </cell>
          <cell r="H1470" t="str">
            <v>Deckel</v>
          </cell>
          <cell r="I1470">
            <v>24</v>
          </cell>
          <cell r="J1470" t="str">
            <v>Stk</v>
          </cell>
          <cell r="K1470">
            <v>45048</v>
          </cell>
          <cell r="L1470" t="str">
            <v>829510</v>
          </cell>
          <cell r="M1470" t="str">
            <v/>
          </cell>
          <cell r="N1470" t="str">
            <v/>
          </cell>
          <cell r="O1470" t="str">
            <v/>
          </cell>
          <cell r="P1470" t="str">
            <v/>
          </cell>
          <cell r="Q1470" t="str">
            <v/>
          </cell>
          <cell r="R1470" t="str">
            <v/>
          </cell>
          <cell r="S1470" t="str">
            <v/>
          </cell>
          <cell r="T1470" t="str">
            <v/>
          </cell>
          <cell r="U1470" t="str">
            <v/>
          </cell>
          <cell r="V1470" t="str">
            <v>N52</v>
          </cell>
          <cell r="W1470" t="str">
            <v/>
          </cell>
          <cell r="X1470" t="str">
            <v/>
          </cell>
          <cell r="Y1470" t="str">
            <v/>
          </cell>
          <cell r="Z1470" t="str">
            <v/>
          </cell>
          <cell r="AA1470" t="str">
            <v/>
          </cell>
          <cell r="AB1470" t="str">
            <v>PA_4588157-MB.7005-4</v>
          </cell>
          <cell r="AC1470">
            <v>1</v>
          </cell>
          <cell r="AD1470" t="str">
            <v/>
          </cell>
          <cell r="AE1470">
            <v>0</v>
          </cell>
          <cell r="AF1470" t="str">
            <v/>
          </cell>
          <cell r="AG1470" t="str">
            <v>12562735</v>
          </cell>
          <cell r="AH1470">
            <v>44951.958009259259</v>
          </cell>
          <cell r="AI1470" t="str">
            <v>N52</v>
          </cell>
          <cell r="AJ1470" t="str">
            <v>F</v>
          </cell>
          <cell r="AK1470" t="str">
            <v/>
          </cell>
        </row>
        <row r="1471">
          <cell r="A1471" t="str">
            <v>12562735829520</v>
          </cell>
          <cell r="B1471" t="str">
            <v>Übergabe Task Force</v>
          </cell>
          <cell r="C1471" t="e">
            <v>#N/A</v>
          </cell>
          <cell r="D1471" t="str">
            <v>EK65</v>
          </cell>
          <cell r="E1471" t="str">
            <v>704027</v>
          </cell>
          <cell r="F1471" t="str">
            <v>E</v>
          </cell>
          <cell r="G1471" t="str">
            <v>12562735</v>
          </cell>
          <cell r="H1471" t="str">
            <v>Deckel</v>
          </cell>
          <cell r="I1471">
            <v>26</v>
          </cell>
          <cell r="J1471" t="str">
            <v>Stk</v>
          </cell>
          <cell r="K1471">
            <v>45049</v>
          </cell>
          <cell r="L1471" t="str">
            <v>829520</v>
          </cell>
          <cell r="M1471" t="str">
            <v/>
          </cell>
          <cell r="N1471" t="str">
            <v/>
          </cell>
          <cell r="O1471" t="str">
            <v/>
          </cell>
          <cell r="P1471" t="str">
            <v/>
          </cell>
          <cell r="Q1471" t="str">
            <v/>
          </cell>
          <cell r="R1471" t="str">
            <v/>
          </cell>
          <cell r="S1471" t="str">
            <v/>
          </cell>
          <cell r="T1471" t="str">
            <v/>
          </cell>
          <cell r="U1471" t="str">
            <v/>
          </cell>
          <cell r="V1471" t="str">
            <v>N52</v>
          </cell>
          <cell r="W1471" t="str">
            <v/>
          </cell>
          <cell r="X1471" t="str">
            <v/>
          </cell>
          <cell r="Y1471" t="str">
            <v/>
          </cell>
          <cell r="Z1471" t="str">
            <v/>
          </cell>
          <cell r="AA1471" t="str">
            <v/>
          </cell>
          <cell r="AB1471" t="str">
            <v>PA_4588157-MB.7005-4</v>
          </cell>
          <cell r="AC1471">
            <v>1</v>
          </cell>
          <cell r="AD1471" t="str">
            <v/>
          </cell>
          <cell r="AE1471">
            <v>0</v>
          </cell>
          <cell r="AF1471" t="str">
            <v/>
          </cell>
          <cell r="AG1471" t="str">
            <v>12562735</v>
          </cell>
          <cell r="AH1471">
            <v>44951.958009259259</v>
          </cell>
          <cell r="AI1471" t="str">
            <v>N52</v>
          </cell>
          <cell r="AJ1471" t="str">
            <v>F</v>
          </cell>
          <cell r="AK1471" t="str">
            <v/>
          </cell>
        </row>
        <row r="1472">
          <cell r="A1472" t="str">
            <v>12562735829530</v>
          </cell>
          <cell r="B1472" t="str">
            <v>Angefragt 22.03.2023</v>
          </cell>
          <cell r="C1472" t="e">
            <v>#N/A</v>
          </cell>
          <cell r="D1472" t="str">
            <v>EK65</v>
          </cell>
          <cell r="E1472" t="str">
            <v>704028</v>
          </cell>
          <cell r="F1472" t="str">
            <v>E</v>
          </cell>
          <cell r="G1472" t="str">
            <v>12562735</v>
          </cell>
          <cell r="H1472" t="str">
            <v>Deckel</v>
          </cell>
          <cell r="I1472">
            <v>2</v>
          </cell>
          <cell r="J1472" t="str">
            <v>Stk</v>
          </cell>
          <cell r="K1472">
            <v>45062</v>
          </cell>
          <cell r="L1472" t="str">
            <v>829530</v>
          </cell>
          <cell r="M1472" t="str">
            <v/>
          </cell>
          <cell r="N1472" t="str">
            <v/>
          </cell>
          <cell r="O1472" t="str">
            <v/>
          </cell>
          <cell r="P1472" t="str">
            <v/>
          </cell>
          <cell r="Q1472" t="str">
            <v/>
          </cell>
          <cell r="R1472" t="str">
            <v/>
          </cell>
          <cell r="S1472" t="str">
            <v/>
          </cell>
          <cell r="T1472" t="str">
            <v/>
          </cell>
          <cell r="U1472" t="str">
            <v/>
          </cell>
          <cell r="V1472" t="str">
            <v>N52</v>
          </cell>
          <cell r="W1472" t="str">
            <v/>
          </cell>
          <cell r="X1472" t="str">
            <v/>
          </cell>
          <cell r="Y1472" t="str">
            <v/>
          </cell>
          <cell r="Z1472" t="str">
            <v/>
          </cell>
          <cell r="AA1472" t="str">
            <v/>
          </cell>
          <cell r="AB1472" t="str">
            <v>PA_4588157-MB.7005-4</v>
          </cell>
          <cell r="AC1472">
            <v>1</v>
          </cell>
          <cell r="AD1472" t="str">
            <v/>
          </cell>
          <cell r="AE1472">
            <v>0</v>
          </cell>
          <cell r="AF1472" t="str">
            <v/>
          </cell>
          <cell r="AG1472" t="str">
            <v>12562735</v>
          </cell>
          <cell r="AH1472">
            <v>44951.958009259259</v>
          </cell>
          <cell r="AI1472" t="str">
            <v>N52</v>
          </cell>
          <cell r="AJ1472" t="str">
            <v>F</v>
          </cell>
          <cell r="AK1472" t="str">
            <v/>
          </cell>
        </row>
        <row r="1473">
          <cell r="A1473" t="str">
            <v>12566007829052</v>
          </cell>
          <cell r="B1473" t="str">
            <v>Übergabe Task Force</v>
          </cell>
          <cell r="C1473">
            <v>8</v>
          </cell>
          <cell r="D1473" t="str">
            <v>EK65</v>
          </cell>
          <cell r="E1473" t="str">
            <v>704055</v>
          </cell>
          <cell r="F1473" t="str">
            <v>E</v>
          </cell>
          <cell r="G1473" t="str">
            <v>12566007</v>
          </cell>
          <cell r="H1473" t="str">
            <v>SMSE WSH U1MT eingekuerzt*</v>
          </cell>
          <cell r="I1473">
            <v>61</v>
          </cell>
          <cell r="J1473" t="str">
            <v>Stk</v>
          </cell>
          <cell r="K1473">
            <v>45240</v>
          </cell>
          <cell r="L1473" t="str">
            <v>829052</v>
          </cell>
          <cell r="M1473" t="str">
            <v/>
          </cell>
          <cell r="N1473" t="str">
            <v/>
          </cell>
          <cell r="O1473" t="str">
            <v/>
          </cell>
          <cell r="P1473" t="str">
            <v/>
          </cell>
          <cell r="Q1473" t="str">
            <v/>
          </cell>
          <cell r="R1473" t="str">
            <v/>
          </cell>
          <cell r="S1473" t="str">
            <v/>
          </cell>
          <cell r="T1473" t="str">
            <v/>
          </cell>
          <cell r="U1473" t="str">
            <v/>
          </cell>
          <cell r="V1473" t="str">
            <v>N52</v>
          </cell>
          <cell r="W1473" t="str">
            <v/>
          </cell>
          <cell r="X1473" t="str">
            <v/>
          </cell>
          <cell r="Y1473" t="str">
            <v/>
          </cell>
          <cell r="Z1473" t="str">
            <v/>
          </cell>
          <cell r="AA1473" t="str">
            <v/>
          </cell>
          <cell r="AB1473" t="str">
            <v>PA_4769044-UA.7004-4</v>
          </cell>
          <cell r="AC1473">
            <v>1</v>
          </cell>
          <cell r="AD1473" t="str">
            <v/>
          </cell>
          <cell r="AE1473">
            <v>0</v>
          </cell>
          <cell r="AF1473" t="str">
            <v/>
          </cell>
          <cell r="AG1473" t="str">
            <v>12566007</v>
          </cell>
          <cell r="AH1473">
            <v>44951.95820601852</v>
          </cell>
          <cell r="AI1473" t="str">
            <v>N52</v>
          </cell>
          <cell r="AJ1473" t="str">
            <v>F</v>
          </cell>
          <cell r="AK1473" t="str">
            <v/>
          </cell>
        </row>
        <row r="1474">
          <cell r="A1474" t="str">
            <v>12566665829510</v>
          </cell>
          <cell r="B1474">
            <v>0</v>
          </cell>
          <cell r="C1474" t="e">
            <v>#N/A</v>
          </cell>
          <cell r="D1474" t="str">
            <v>EK65</v>
          </cell>
          <cell r="E1474" t="str">
            <v>704062</v>
          </cell>
          <cell r="F1474" t="str">
            <v>E</v>
          </cell>
          <cell r="G1474" t="str">
            <v>12566665</v>
          </cell>
          <cell r="H1474" t="str">
            <v>Druckstueck</v>
          </cell>
          <cell r="I1474">
            <v>49</v>
          </cell>
          <cell r="J1474" t="str">
            <v>Stk</v>
          </cell>
          <cell r="K1474">
            <v>44883</v>
          </cell>
          <cell r="L1474" t="str">
            <v>829510</v>
          </cell>
          <cell r="M1474" t="str">
            <v/>
          </cell>
          <cell r="N1474" t="str">
            <v/>
          </cell>
          <cell r="O1474" t="str">
            <v/>
          </cell>
          <cell r="P1474" t="str">
            <v/>
          </cell>
          <cell r="Q1474" t="str">
            <v/>
          </cell>
          <cell r="R1474" t="str">
            <v/>
          </cell>
          <cell r="S1474" t="str">
            <v/>
          </cell>
          <cell r="T1474" t="str">
            <v/>
          </cell>
          <cell r="U1474" t="str">
            <v/>
          </cell>
          <cell r="V1474" t="str">
            <v>N52</v>
          </cell>
          <cell r="W1474" t="str">
            <v/>
          </cell>
          <cell r="X1474" t="str">
            <v/>
          </cell>
          <cell r="Y1474" t="str">
            <v/>
          </cell>
          <cell r="Z1474" t="str">
            <v/>
          </cell>
          <cell r="AA1474" t="str">
            <v/>
          </cell>
          <cell r="AB1474" t="str">
            <v>PA_4714800-JD.7005-4</v>
          </cell>
          <cell r="AC1474">
            <v>1</v>
          </cell>
          <cell r="AD1474" t="str">
            <v/>
          </cell>
          <cell r="AE1474">
            <v>0</v>
          </cell>
          <cell r="AF1474" t="str">
            <v/>
          </cell>
          <cell r="AG1474" t="str">
            <v>12566665</v>
          </cell>
          <cell r="AH1474">
            <v>44951.958240740743</v>
          </cell>
          <cell r="AI1474" t="str">
            <v>N52</v>
          </cell>
          <cell r="AJ1474" t="str">
            <v>F</v>
          </cell>
          <cell r="AK1474" t="str">
            <v/>
          </cell>
        </row>
        <row r="1475">
          <cell r="A1475" t="str">
            <v>12567889829560</v>
          </cell>
          <cell r="B1475" t="str">
            <v>Übergabe Task Force</v>
          </cell>
          <cell r="C1475" t="e">
            <v>#N/A</v>
          </cell>
          <cell r="D1475" t="str">
            <v>EK65</v>
          </cell>
          <cell r="E1475" t="str">
            <v>704064</v>
          </cell>
          <cell r="F1475" t="str">
            <v>E</v>
          </cell>
          <cell r="G1475" t="str">
            <v>12567889</v>
          </cell>
          <cell r="H1475" t="str">
            <v>Beilage</v>
          </cell>
          <cell r="I1475">
            <v>8</v>
          </cell>
          <cell r="J1475" t="str">
            <v>Stk</v>
          </cell>
          <cell r="K1475">
            <v>45028</v>
          </cell>
          <cell r="L1475" t="str">
            <v>829560</v>
          </cell>
          <cell r="M1475" t="str">
            <v/>
          </cell>
          <cell r="N1475" t="str">
            <v/>
          </cell>
          <cell r="O1475" t="str">
            <v/>
          </cell>
          <cell r="P1475" t="str">
            <v/>
          </cell>
          <cell r="Q1475" t="str">
            <v/>
          </cell>
          <cell r="R1475" t="str">
            <v/>
          </cell>
          <cell r="S1475" t="str">
            <v/>
          </cell>
          <cell r="T1475" t="str">
            <v/>
          </cell>
          <cell r="U1475" t="str">
            <v/>
          </cell>
          <cell r="V1475" t="str">
            <v>N52</v>
          </cell>
          <cell r="W1475" t="str">
            <v/>
          </cell>
          <cell r="X1475" t="str">
            <v/>
          </cell>
          <cell r="Y1475" t="str">
            <v/>
          </cell>
          <cell r="Z1475" t="str">
            <v/>
          </cell>
          <cell r="AA1475" t="str">
            <v/>
          </cell>
          <cell r="AB1475" t="str">
            <v>PA_4779572-ED.7005-4</v>
          </cell>
          <cell r="AC1475">
            <v>1</v>
          </cell>
          <cell r="AD1475" t="str">
            <v/>
          </cell>
          <cell r="AE1475">
            <v>0</v>
          </cell>
          <cell r="AF1475" t="str">
            <v/>
          </cell>
          <cell r="AG1475" t="str">
            <v>12567889</v>
          </cell>
          <cell r="AH1475">
            <v>44951.958252314813</v>
          </cell>
          <cell r="AI1475" t="str">
            <v>N52</v>
          </cell>
          <cell r="AJ1475" t="str">
            <v>F</v>
          </cell>
          <cell r="AK1475" t="str">
            <v/>
          </cell>
        </row>
        <row r="1476">
          <cell r="A1476" t="str">
            <v>12567889829510</v>
          </cell>
          <cell r="B1476" t="str">
            <v>Übergabe Task Force</v>
          </cell>
          <cell r="C1476" t="e">
            <v>#N/A</v>
          </cell>
          <cell r="D1476" t="str">
            <v>EK65</v>
          </cell>
          <cell r="E1476" t="str">
            <v>704065</v>
          </cell>
          <cell r="F1476" t="str">
            <v>E</v>
          </cell>
          <cell r="G1476" t="str">
            <v>12567889</v>
          </cell>
          <cell r="H1476" t="str">
            <v>Beilage</v>
          </cell>
          <cell r="I1476">
            <v>45</v>
          </cell>
          <cell r="J1476" t="str">
            <v>Stk</v>
          </cell>
          <cell r="K1476">
            <v>45048</v>
          </cell>
          <cell r="L1476" t="str">
            <v>829510</v>
          </cell>
          <cell r="M1476" t="str">
            <v/>
          </cell>
          <cell r="N1476" t="str">
            <v/>
          </cell>
          <cell r="O1476" t="str">
            <v/>
          </cell>
          <cell r="P1476" t="str">
            <v/>
          </cell>
          <cell r="Q1476" t="str">
            <v/>
          </cell>
          <cell r="R1476" t="str">
            <v/>
          </cell>
          <cell r="S1476" t="str">
            <v/>
          </cell>
          <cell r="T1476" t="str">
            <v/>
          </cell>
          <cell r="U1476" t="str">
            <v/>
          </cell>
          <cell r="V1476" t="str">
            <v>N52</v>
          </cell>
          <cell r="W1476" t="str">
            <v/>
          </cell>
          <cell r="X1476" t="str">
            <v/>
          </cell>
          <cell r="Y1476" t="str">
            <v/>
          </cell>
          <cell r="Z1476" t="str">
            <v/>
          </cell>
          <cell r="AA1476" t="str">
            <v/>
          </cell>
          <cell r="AB1476" t="str">
            <v>PA_4779572-ED.7005-4</v>
          </cell>
          <cell r="AC1476">
            <v>1</v>
          </cell>
          <cell r="AD1476" t="str">
            <v/>
          </cell>
          <cell r="AE1476">
            <v>0</v>
          </cell>
          <cell r="AF1476" t="str">
            <v/>
          </cell>
          <cell r="AG1476" t="str">
            <v>12567889</v>
          </cell>
          <cell r="AH1476">
            <v>44951.958252314813</v>
          </cell>
          <cell r="AI1476" t="str">
            <v>N52</v>
          </cell>
          <cell r="AJ1476" t="str">
            <v>F</v>
          </cell>
          <cell r="AK1476" t="str">
            <v/>
          </cell>
        </row>
        <row r="1477">
          <cell r="A1477" t="str">
            <v>12567889829520</v>
          </cell>
          <cell r="B1477" t="str">
            <v>Übergabe Task Force</v>
          </cell>
          <cell r="C1477" t="e">
            <v>#N/A</v>
          </cell>
          <cell r="D1477" t="str">
            <v>EK65</v>
          </cell>
          <cell r="E1477" t="str">
            <v>704066</v>
          </cell>
          <cell r="F1477" t="str">
            <v>E</v>
          </cell>
          <cell r="G1477" t="str">
            <v>12567889</v>
          </cell>
          <cell r="H1477" t="str">
            <v>Beilage</v>
          </cell>
          <cell r="I1477">
            <v>56</v>
          </cell>
          <cell r="J1477" t="str">
            <v>Stk</v>
          </cell>
          <cell r="K1477">
            <v>45048</v>
          </cell>
          <cell r="L1477" t="str">
            <v>829520</v>
          </cell>
          <cell r="M1477" t="str">
            <v/>
          </cell>
          <cell r="N1477" t="str">
            <v/>
          </cell>
          <cell r="O1477" t="str">
            <v/>
          </cell>
          <cell r="P1477" t="str">
            <v/>
          </cell>
          <cell r="Q1477" t="str">
            <v/>
          </cell>
          <cell r="R1477" t="str">
            <v/>
          </cell>
          <cell r="S1477" t="str">
            <v/>
          </cell>
          <cell r="T1477" t="str">
            <v/>
          </cell>
          <cell r="U1477" t="str">
            <v/>
          </cell>
          <cell r="V1477" t="str">
            <v>N52</v>
          </cell>
          <cell r="W1477" t="str">
            <v/>
          </cell>
          <cell r="X1477" t="str">
            <v/>
          </cell>
          <cell r="Y1477" t="str">
            <v/>
          </cell>
          <cell r="Z1477" t="str">
            <v/>
          </cell>
          <cell r="AA1477" t="str">
            <v/>
          </cell>
          <cell r="AB1477" t="str">
            <v>PA_4779572-ED.7005-4</v>
          </cell>
          <cell r="AC1477">
            <v>1</v>
          </cell>
          <cell r="AD1477" t="str">
            <v/>
          </cell>
          <cell r="AE1477">
            <v>0</v>
          </cell>
          <cell r="AF1477" t="str">
            <v/>
          </cell>
          <cell r="AG1477" t="str">
            <v>12567889</v>
          </cell>
          <cell r="AH1477">
            <v>44951.958252314813</v>
          </cell>
          <cell r="AI1477" t="str">
            <v>N52</v>
          </cell>
          <cell r="AJ1477" t="str">
            <v>F</v>
          </cell>
          <cell r="AK1477" t="str">
            <v/>
          </cell>
        </row>
        <row r="1478">
          <cell r="A1478" t="str">
            <v>12567889829530</v>
          </cell>
          <cell r="B1478" t="str">
            <v>Angefragt 22.03.2023</v>
          </cell>
          <cell r="C1478" t="e">
            <v>#N/A</v>
          </cell>
          <cell r="D1478" t="str">
            <v>EK65</v>
          </cell>
          <cell r="E1478" t="str">
            <v>704067</v>
          </cell>
          <cell r="F1478" t="str">
            <v>E</v>
          </cell>
          <cell r="G1478" t="str">
            <v>12567889</v>
          </cell>
          <cell r="H1478" t="str">
            <v>Beilage</v>
          </cell>
          <cell r="I1478">
            <v>7</v>
          </cell>
          <cell r="J1478" t="str">
            <v>Stk</v>
          </cell>
          <cell r="K1478">
            <v>45061</v>
          </cell>
          <cell r="L1478" t="str">
            <v>829530</v>
          </cell>
          <cell r="M1478" t="str">
            <v/>
          </cell>
          <cell r="N1478" t="str">
            <v/>
          </cell>
          <cell r="O1478" t="str">
            <v/>
          </cell>
          <cell r="P1478" t="str">
            <v/>
          </cell>
          <cell r="Q1478" t="str">
            <v/>
          </cell>
          <cell r="R1478" t="str">
            <v/>
          </cell>
          <cell r="S1478" t="str">
            <v/>
          </cell>
          <cell r="T1478" t="str">
            <v/>
          </cell>
          <cell r="U1478" t="str">
            <v/>
          </cell>
          <cell r="V1478" t="str">
            <v>N52</v>
          </cell>
          <cell r="W1478" t="str">
            <v/>
          </cell>
          <cell r="X1478" t="str">
            <v/>
          </cell>
          <cell r="Y1478" t="str">
            <v/>
          </cell>
          <cell r="Z1478" t="str">
            <v/>
          </cell>
          <cell r="AA1478" t="str">
            <v/>
          </cell>
          <cell r="AB1478" t="str">
            <v>PA_4779572-ED.7005-4</v>
          </cell>
          <cell r="AC1478">
            <v>1</v>
          </cell>
          <cell r="AD1478" t="str">
            <v/>
          </cell>
          <cell r="AE1478">
            <v>0</v>
          </cell>
          <cell r="AF1478" t="str">
            <v/>
          </cell>
          <cell r="AG1478" t="str">
            <v>12567889</v>
          </cell>
          <cell r="AH1478">
            <v>44951.958252314813</v>
          </cell>
          <cell r="AI1478" t="str">
            <v>N52</v>
          </cell>
          <cell r="AJ1478" t="str">
            <v>F</v>
          </cell>
          <cell r="AK1478" t="str">
            <v/>
          </cell>
        </row>
        <row r="1479">
          <cell r="A1479" t="str">
            <v>12567899829560</v>
          </cell>
          <cell r="B1479" t="str">
            <v>Übergabe Task Force</v>
          </cell>
          <cell r="C1479" t="e">
            <v>#N/A</v>
          </cell>
          <cell r="D1479" t="str">
            <v>EK65</v>
          </cell>
          <cell r="E1479" t="str">
            <v>704070</v>
          </cell>
          <cell r="F1479" t="str">
            <v>E</v>
          </cell>
          <cell r="G1479" t="str">
            <v>12567899</v>
          </cell>
          <cell r="H1479" t="str">
            <v>Beilage</v>
          </cell>
          <cell r="I1479">
            <v>8</v>
          </cell>
          <cell r="J1479" t="str">
            <v>Stk</v>
          </cell>
          <cell r="K1479">
            <v>45028</v>
          </cell>
          <cell r="L1479" t="str">
            <v>829560</v>
          </cell>
          <cell r="M1479" t="str">
            <v/>
          </cell>
          <cell r="N1479" t="str">
            <v/>
          </cell>
          <cell r="O1479" t="str">
            <v/>
          </cell>
          <cell r="P1479" t="str">
            <v/>
          </cell>
          <cell r="Q1479" t="str">
            <v/>
          </cell>
          <cell r="R1479" t="str">
            <v/>
          </cell>
          <cell r="S1479" t="str">
            <v/>
          </cell>
          <cell r="T1479" t="str">
            <v/>
          </cell>
          <cell r="U1479" t="str">
            <v/>
          </cell>
          <cell r="V1479" t="str">
            <v>N52</v>
          </cell>
          <cell r="W1479" t="str">
            <v/>
          </cell>
          <cell r="X1479" t="str">
            <v/>
          </cell>
          <cell r="Y1479" t="str">
            <v/>
          </cell>
          <cell r="Z1479" t="str">
            <v/>
          </cell>
          <cell r="AA1479" t="str">
            <v/>
          </cell>
          <cell r="AB1479" t="str">
            <v>PA_4779621-ED.7005-4</v>
          </cell>
          <cell r="AC1479">
            <v>1</v>
          </cell>
          <cell r="AD1479" t="str">
            <v/>
          </cell>
          <cell r="AE1479">
            <v>0</v>
          </cell>
          <cell r="AF1479" t="str">
            <v/>
          </cell>
          <cell r="AG1479" t="str">
            <v>12567899</v>
          </cell>
          <cell r="AH1479">
            <v>44951.95826388889</v>
          </cell>
          <cell r="AI1479" t="str">
            <v>N52</v>
          </cell>
          <cell r="AJ1479" t="str">
            <v>F</v>
          </cell>
          <cell r="AK1479" t="str">
            <v/>
          </cell>
        </row>
        <row r="1480">
          <cell r="A1480" t="str">
            <v>12567899829510</v>
          </cell>
          <cell r="B1480" t="str">
            <v>Übergabe Task Force</v>
          </cell>
          <cell r="C1480" t="e">
            <v>#N/A</v>
          </cell>
          <cell r="D1480" t="str">
            <v>EK65</v>
          </cell>
          <cell r="E1480" t="str">
            <v>704071</v>
          </cell>
          <cell r="F1480" t="str">
            <v>E</v>
          </cell>
          <cell r="G1480" t="str">
            <v>12567899</v>
          </cell>
          <cell r="H1480" t="str">
            <v>Beilage</v>
          </cell>
          <cell r="I1480">
            <v>45</v>
          </cell>
          <cell r="J1480" t="str">
            <v>Stk</v>
          </cell>
          <cell r="K1480">
            <v>45048</v>
          </cell>
          <cell r="L1480" t="str">
            <v>829510</v>
          </cell>
          <cell r="M1480" t="str">
            <v/>
          </cell>
          <cell r="N1480" t="str">
            <v/>
          </cell>
          <cell r="O1480" t="str">
            <v/>
          </cell>
          <cell r="P1480" t="str">
            <v/>
          </cell>
          <cell r="Q1480" t="str">
            <v/>
          </cell>
          <cell r="R1480" t="str">
            <v/>
          </cell>
          <cell r="S1480" t="str">
            <v/>
          </cell>
          <cell r="T1480" t="str">
            <v/>
          </cell>
          <cell r="U1480" t="str">
            <v/>
          </cell>
          <cell r="V1480" t="str">
            <v>N52</v>
          </cell>
          <cell r="W1480" t="str">
            <v/>
          </cell>
          <cell r="X1480" t="str">
            <v/>
          </cell>
          <cell r="Y1480" t="str">
            <v/>
          </cell>
          <cell r="Z1480" t="str">
            <v/>
          </cell>
          <cell r="AA1480" t="str">
            <v/>
          </cell>
          <cell r="AB1480" t="str">
            <v>PA_4779621-ED.7005-4</v>
          </cell>
          <cell r="AC1480">
            <v>1</v>
          </cell>
          <cell r="AD1480" t="str">
            <v/>
          </cell>
          <cell r="AE1480">
            <v>0</v>
          </cell>
          <cell r="AF1480" t="str">
            <v/>
          </cell>
          <cell r="AG1480" t="str">
            <v>12567899</v>
          </cell>
          <cell r="AH1480">
            <v>44951.95826388889</v>
          </cell>
          <cell r="AI1480" t="str">
            <v>N52</v>
          </cell>
          <cell r="AJ1480" t="str">
            <v>F</v>
          </cell>
          <cell r="AK1480" t="str">
            <v/>
          </cell>
        </row>
        <row r="1481">
          <cell r="A1481" t="str">
            <v>12567899829520</v>
          </cell>
          <cell r="B1481" t="str">
            <v>Übergabe Task Force</v>
          </cell>
          <cell r="C1481" t="e">
            <v>#N/A</v>
          </cell>
          <cell r="D1481" t="str">
            <v>EK65</v>
          </cell>
          <cell r="E1481" t="str">
            <v>704072</v>
          </cell>
          <cell r="F1481" t="str">
            <v>E</v>
          </cell>
          <cell r="G1481" t="str">
            <v>12567899</v>
          </cell>
          <cell r="H1481" t="str">
            <v>Beilage</v>
          </cell>
          <cell r="I1481">
            <v>56</v>
          </cell>
          <cell r="J1481" t="str">
            <v>Stk</v>
          </cell>
          <cell r="K1481">
            <v>45048</v>
          </cell>
          <cell r="L1481" t="str">
            <v>829520</v>
          </cell>
          <cell r="M1481" t="str">
            <v/>
          </cell>
          <cell r="N1481" t="str">
            <v/>
          </cell>
          <cell r="O1481" t="str">
            <v/>
          </cell>
          <cell r="P1481" t="str">
            <v/>
          </cell>
          <cell r="Q1481" t="str">
            <v/>
          </cell>
          <cell r="R1481" t="str">
            <v/>
          </cell>
          <cell r="S1481" t="str">
            <v/>
          </cell>
          <cell r="T1481" t="str">
            <v/>
          </cell>
          <cell r="U1481" t="str">
            <v/>
          </cell>
          <cell r="V1481" t="str">
            <v>N52</v>
          </cell>
          <cell r="W1481" t="str">
            <v/>
          </cell>
          <cell r="X1481" t="str">
            <v/>
          </cell>
          <cell r="Y1481" t="str">
            <v/>
          </cell>
          <cell r="Z1481" t="str">
            <v/>
          </cell>
          <cell r="AA1481" t="str">
            <v/>
          </cell>
          <cell r="AB1481" t="str">
            <v>PA_4779621-ED.7005-4</v>
          </cell>
          <cell r="AC1481">
            <v>1</v>
          </cell>
          <cell r="AD1481" t="str">
            <v/>
          </cell>
          <cell r="AE1481">
            <v>0</v>
          </cell>
          <cell r="AF1481" t="str">
            <v/>
          </cell>
          <cell r="AG1481" t="str">
            <v>12567899</v>
          </cell>
          <cell r="AH1481">
            <v>44951.95826388889</v>
          </cell>
          <cell r="AI1481" t="str">
            <v>N52</v>
          </cell>
          <cell r="AJ1481" t="str">
            <v>F</v>
          </cell>
          <cell r="AK1481" t="str">
            <v/>
          </cell>
        </row>
        <row r="1482">
          <cell r="A1482" t="str">
            <v>12567899829530</v>
          </cell>
          <cell r="B1482" t="str">
            <v>Angefragt 22.03.2023</v>
          </cell>
          <cell r="C1482" t="e">
            <v>#N/A</v>
          </cell>
          <cell r="D1482" t="str">
            <v>EK65</v>
          </cell>
          <cell r="E1482" t="str">
            <v>704073</v>
          </cell>
          <cell r="F1482" t="str">
            <v>E</v>
          </cell>
          <cell r="G1482" t="str">
            <v>12567899</v>
          </cell>
          <cell r="H1482" t="str">
            <v>Beilage</v>
          </cell>
          <cell r="I1482">
            <v>7</v>
          </cell>
          <cell r="J1482" t="str">
            <v>Stk</v>
          </cell>
          <cell r="K1482">
            <v>45061</v>
          </cell>
          <cell r="L1482" t="str">
            <v>829530</v>
          </cell>
          <cell r="M1482" t="str">
            <v/>
          </cell>
          <cell r="N1482" t="str">
            <v/>
          </cell>
          <cell r="O1482" t="str">
            <v/>
          </cell>
          <cell r="P1482" t="str">
            <v/>
          </cell>
          <cell r="Q1482" t="str">
            <v/>
          </cell>
          <cell r="R1482" t="str">
            <v/>
          </cell>
          <cell r="S1482" t="str">
            <v/>
          </cell>
          <cell r="T1482" t="str">
            <v/>
          </cell>
          <cell r="U1482" t="str">
            <v/>
          </cell>
          <cell r="V1482" t="str">
            <v>N52</v>
          </cell>
          <cell r="W1482" t="str">
            <v/>
          </cell>
          <cell r="X1482" t="str">
            <v/>
          </cell>
          <cell r="Y1482" t="str">
            <v/>
          </cell>
          <cell r="Z1482" t="str">
            <v/>
          </cell>
          <cell r="AA1482" t="str">
            <v/>
          </cell>
          <cell r="AB1482" t="str">
            <v>PA_4779621-ED.7005-4</v>
          </cell>
          <cell r="AC1482">
            <v>1</v>
          </cell>
          <cell r="AD1482" t="str">
            <v/>
          </cell>
          <cell r="AE1482">
            <v>0</v>
          </cell>
          <cell r="AF1482" t="str">
            <v/>
          </cell>
          <cell r="AG1482" t="str">
            <v>12567899</v>
          </cell>
          <cell r="AH1482">
            <v>44951.95826388889</v>
          </cell>
          <cell r="AI1482" t="str">
            <v>N52</v>
          </cell>
          <cell r="AJ1482" t="str">
            <v>F</v>
          </cell>
          <cell r="AK1482" t="str">
            <v/>
          </cell>
        </row>
        <row r="1483">
          <cell r="A1483" t="str">
            <v>12567917829510</v>
          </cell>
          <cell r="B1483" t="str">
            <v>Übergabe Task Force</v>
          </cell>
          <cell r="C1483" t="e">
            <v>#N/A</v>
          </cell>
          <cell r="D1483" t="str">
            <v>EK65</v>
          </cell>
          <cell r="E1483" t="str">
            <v>704076</v>
          </cell>
          <cell r="F1483" t="str">
            <v>E</v>
          </cell>
          <cell r="G1483" t="str">
            <v>12567917</v>
          </cell>
          <cell r="H1483" t="str">
            <v>Beilage</v>
          </cell>
          <cell r="I1483">
            <v>20</v>
          </cell>
          <cell r="J1483" t="str">
            <v>Stk</v>
          </cell>
          <cell r="K1483">
            <v>45054</v>
          </cell>
          <cell r="L1483" t="str">
            <v>829510</v>
          </cell>
          <cell r="M1483" t="str">
            <v/>
          </cell>
          <cell r="N1483" t="str">
            <v/>
          </cell>
          <cell r="O1483" t="str">
            <v/>
          </cell>
          <cell r="P1483" t="str">
            <v/>
          </cell>
          <cell r="Q1483" t="str">
            <v/>
          </cell>
          <cell r="R1483" t="str">
            <v/>
          </cell>
          <cell r="S1483" t="str">
            <v/>
          </cell>
          <cell r="T1483" t="str">
            <v/>
          </cell>
          <cell r="U1483" t="str">
            <v/>
          </cell>
          <cell r="V1483" t="str">
            <v>N52</v>
          </cell>
          <cell r="W1483" t="str">
            <v/>
          </cell>
          <cell r="X1483" t="str">
            <v/>
          </cell>
          <cell r="Y1483" t="str">
            <v/>
          </cell>
          <cell r="Z1483" t="str">
            <v/>
          </cell>
          <cell r="AA1483" t="str">
            <v/>
          </cell>
          <cell r="AB1483" t="str">
            <v>PA_4779746-ED.7005-4</v>
          </cell>
          <cell r="AC1483">
            <v>1</v>
          </cell>
          <cell r="AD1483" t="str">
            <v/>
          </cell>
          <cell r="AE1483">
            <v>0</v>
          </cell>
          <cell r="AF1483" t="str">
            <v/>
          </cell>
          <cell r="AG1483" t="str">
            <v>12567917</v>
          </cell>
          <cell r="AH1483">
            <v>44951.958275462966</v>
          </cell>
          <cell r="AI1483" t="str">
            <v>N52</v>
          </cell>
          <cell r="AJ1483" t="str">
            <v>F</v>
          </cell>
          <cell r="AK1483" t="str">
            <v/>
          </cell>
        </row>
        <row r="1484">
          <cell r="A1484" t="str">
            <v>12567917829530</v>
          </cell>
          <cell r="B1484" t="str">
            <v>Angefragt 22.03.2023</v>
          </cell>
          <cell r="C1484" t="e">
            <v>#N/A</v>
          </cell>
          <cell r="D1484" t="str">
            <v>EK65</v>
          </cell>
          <cell r="E1484" t="str">
            <v>704077</v>
          </cell>
          <cell r="F1484" t="str">
            <v>E</v>
          </cell>
          <cell r="G1484" t="str">
            <v>12567917</v>
          </cell>
          <cell r="H1484" t="str">
            <v>Beilage</v>
          </cell>
          <cell r="I1484">
            <v>1</v>
          </cell>
          <cell r="J1484" t="str">
            <v>Stk</v>
          </cell>
          <cell r="K1484">
            <v>45062</v>
          </cell>
          <cell r="L1484" t="str">
            <v>829530</v>
          </cell>
          <cell r="M1484" t="str">
            <v/>
          </cell>
          <cell r="N1484" t="str">
            <v/>
          </cell>
          <cell r="O1484" t="str">
            <v/>
          </cell>
          <cell r="P1484" t="str">
            <v/>
          </cell>
          <cell r="Q1484" t="str">
            <v/>
          </cell>
          <cell r="R1484" t="str">
            <v/>
          </cell>
          <cell r="S1484" t="str">
            <v/>
          </cell>
          <cell r="T1484" t="str">
            <v/>
          </cell>
          <cell r="U1484" t="str">
            <v/>
          </cell>
          <cell r="V1484" t="str">
            <v>N52</v>
          </cell>
          <cell r="W1484" t="str">
            <v/>
          </cell>
          <cell r="X1484" t="str">
            <v/>
          </cell>
          <cell r="Y1484" t="str">
            <v/>
          </cell>
          <cell r="Z1484" t="str">
            <v/>
          </cell>
          <cell r="AA1484" t="str">
            <v/>
          </cell>
          <cell r="AB1484" t="str">
            <v>PA_4779746-ED.7005-4</v>
          </cell>
          <cell r="AC1484">
            <v>1</v>
          </cell>
          <cell r="AD1484" t="str">
            <v/>
          </cell>
          <cell r="AE1484">
            <v>0</v>
          </cell>
          <cell r="AF1484" t="str">
            <v/>
          </cell>
          <cell r="AG1484" t="str">
            <v>12567917</v>
          </cell>
          <cell r="AH1484">
            <v>44951.958275462966</v>
          </cell>
          <cell r="AI1484" t="str">
            <v>N52</v>
          </cell>
          <cell r="AJ1484" t="str">
            <v>F</v>
          </cell>
          <cell r="AK1484" t="str">
            <v/>
          </cell>
        </row>
        <row r="1485">
          <cell r="A1485" t="str">
            <v>12567921829560</v>
          </cell>
          <cell r="B1485" t="str">
            <v>Übergabe Task Force</v>
          </cell>
          <cell r="C1485" t="e">
            <v>#N/A</v>
          </cell>
          <cell r="D1485" t="str">
            <v>EK65</v>
          </cell>
          <cell r="E1485" t="str">
            <v>704081</v>
          </cell>
          <cell r="F1485" t="str">
            <v>E</v>
          </cell>
          <cell r="G1485" t="str">
            <v>12567921</v>
          </cell>
          <cell r="H1485" t="str">
            <v>Beilage</v>
          </cell>
          <cell r="I1485">
            <v>4</v>
          </cell>
          <cell r="J1485" t="str">
            <v>Stk</v>
          </cell>
          <cell r="K1485">
            <v>45028</v>
          </cell>
          <cell r="L1485" t="str">
            <v>829560</v>
          </cell>
          <cell r="M1485" t="str">
            <v/>
          </cell>
          <cell r="N1485" t="str">
            <v/>
          </cell>
          <cell r="O1485" t="str">
            <v/>
          </cell>
          <cell r="P1485" t="str">
            <v/>
          </cell>
          <cell r="Q1485" t="str">
            <v/>
          </cell>
          <cell r="R1485" t="str">
            <v/>
          </cell>
          <cell r="S1485" t="str">
            <v/>
          </cell>
          <cell r="T1485" t="str">
            <v/>
          </cell>
          <cell r="U1485" t="str">
            <v/>
          </cell>
          <cell r="V1485" t="str">
            <v>N52</v>
          </cell>
          <cell r="W1485" t="str">
            <v/>
          </cell>
          <cell r="X1485" t="str">
            <v/>
          </cell>
          <cell r="Y1485" t="str">
            <v/>
          </cell>
          <cell r="Z1485" t="str">
            <v/>
          </cell>
          <cell r="AA1485" t="str">
            <v/>
          </cell>
          <cell r="AB1485" t="str">
            <v>PA_4779772-ED.7005-4</v>
          </cell>
          <cell r="AC1485">
            <v>1</v>
          </cell>
          <cell r="AD1485" t="str">
            <v/>
          </cell>
          <cell r="AE1485">
            <v>0</v>
          </cell>
          <cell r="AF1485" t="str">
            <v/>
          </cell>
          <cell r="AG1485" t="str">
            <v>12567921</v>
          </cell>
          <cell r="AH1485">
            <v>44951.958287037036</v>
          </cell>
          <cell r="AI1485" t="str">
            <v>N52</v>
          </cell>
          <cell r="AJ1485" t="str">
            <v>F</v>
          </cell>
          <cell r="AK1485" t="str">
            <v/>
          </cell>
        </row>
        <row r="1486">
          <cell r="A1486" t="str">
            <v>12567921829520</v>
          </cell>
          <cell r="B1486">
            <v>0</v>
          </cell>
          <cell r="C1486" t="e">
            <v>#N/A</v>
          </cell>
          <cell r="D1486" t="str">
            <v>EK65</v>
          </cell>
          <cell r="E1486" t="str">
            <v>704082</v>
          </cell>
          <cell r="F1486" t="str">
            <v>E</v>
          </cell>
          <cell r="G1486" t="str">
            <v>12567921</v>
          </cell>
          <cell r="H1486" t="str">
            <v>Beilage</v>
          </cell>
          <cell r="I1486">
            <v>28</v>
          </cell>
          <cell r="J1486" t="str">
            <v>Stk</v>
          </cell>
          <cell r="K1486">
            <v>45048</v>
          </cell>
          <cell r="L1486" t="str">
            <v>829520</v>
          </cell>
          <cell r="M1486" t="str">
            <v/>
          </cell>
          <cell r="N1486" t="str">
            <v/>
          </cell>
          <cell r="O1486" t="str">
            <v/>
          </cell>
          <cell r="P1486" t="str">
            <v/>
          </cell>
          <cell r="Q1486" t="str">
            <v/>
          </cell>
          <cell r="R1486" t="str">
            <v/>
          </cell>
          <cell r="S1486" t="str">
            <v/>
          </cell>
          <cell r="T1486" t="str">
            <v/>
          </cell>
          <cell r="U1486" t="str">
            <v/>
          </cell>
          <cell r="V1486" t="str">
            <v>N52</v>
          </cell>
          <cell r="W1486" t="str">
            <v/>
          </cell>
          <cell r="X1486" t="str">
            <v/>
          </cell>
          <cell r="Y1486" t="str">
            <v/>
          </cell>
          <cell r="Z1486" t="str">
            <v/>
          </cell>
          <cell r="AA1486" t="str">
            <v/>
          </cell>
          <cell r="AB1486" t="str">
            <v>PA_4779772-ED.7005-4</v>
          </cell>
          <cell r="AC1486">
            <v>1</v>
          </cell>
          <cell r="AD1486" t="str">
            <v/>
          </cell>
          <cell r="AE1486">
            <v>0</v>
          </cell>
          <cell r="AF1486" t="str">
            <v/>
          </cell>
          <cell r="AG1486" t="str">
            <v>12567921</v>
          </cell>
          <cell r="AH1486">
            <v>44951.958287037036</v>
          </cell>
          <cell r="AI1486" t="str">
            <v>N52</v>
          </cell>
          <cell r="AJ1486" t="str">
            <v>F</v>
          </cell>
          <cell r="AK1486" t="str">
            <v/>
          </cell>
        </row>
        <row r="1487">
          <cell r="A1487" t="str">
            <v>12567921829510</v>
          </cell>
          <cell r="B1487" t="str">
            <v>Übergabe Task Force</v>
          </cell>
          <cell r="C1487" t="e">
            <v>#N/A</v>
          </cell>
          <cell r="D1487" t="str">
            <v>EK65</v>
          </cell>
          <cell r="E1487" t="str">
            <v>704083</v>
          </cell>
          <cell r="F1487" t="str">
            <v>E</v>
          </cell>
          <cell r="G1487" t="str">
            <v>12567921</v>
          </cell>
          <cell r="H1487" t="str">
            <v>Beilage</v>
          </cell>
          <cell r="I1487">
            <v>20</v>
          </cell>
          <cell r="J1487" t="str">
            <v>Stk</v>
          </cell>
          <cell r="K1487">
            <v>45054</v>
          </cell>
          <cell r="L1487" t="str">
            <v>829510</v>
          </cell>
          <cell r="M1487" t="str">
            <v/>
          </cell>
          <cell r="N1487" t="str">
            <v/>
          </cell>
          <cell r="O1487" t="str">
            <v/>
          </cell>
          <cell r="P1487" t="str">
            <v/>
          </cell>
          <cell r="Q1487" t="str">
            <v/>
          </cell>
          <cell r="R1487" t="str">
            <v/>
          </cell>
          <cell r="S1487" t="str">
            <v/>
          </cell>
          <cell r="T1487" t="str">
            <v/>
          </cell>
          <cell r="U1487" t="str">
            <v/>
          </cell>
          <cell r="V1487" t="str">
            <v>N52</v>
          </cell>
          <cell r="W1487" t="str">
            <v/>
          </cell>
          <cell r="X1487" t="str">
            <v/>
          </cell>
          <cell r="Y1487" t="str">
            <v/>
          </cell>
          <cell r="Z1487" t="str">
            <v/>
          </cell>
          <cell r="AA1487" t="str">
            <v/>
          </cell>
          <cell r="AB1487" t="str">
            <v>PA_4779772-ED.7005-4</v>
          </cell>
          <cell r="AC1487">
            <v>1</v>
          </cell>
          <cell r="AD1487" t="str">
            <v/>
          </cell>
          <cell r="AE1487">
            <v>0</v>
          </cell>
          <cell r="AF1487" t="str">
            <v/>
          </cell>
          <cell r="AG1487" t="str">
            <v>12567921</v>
          </cell>
          <cell r="AH1487">
            <v>44951.958287037036</v>
          </cell>
          <cell r="AI1487" t="str">
            <v>N52</v>
          </cell>
          <cell r="AJ1487" t="str">
            <v>F</v>
          </cell>
          <cell r="AK1487" t="str">
            <v/>
          </cell>
        </row>
        <row r="1488">
          <cell r="A1488" t="str">
            <v>12567921829530</v>
          </cell>
          <cell r="B1488" t="str">
            <v>Angefragt 22.03.2023</v>
          </cell>
          <cell r="C1488" t="e">
            <v>#N/A</v>
          </cell>
          <cell r="D1488" t="str">
            <v>EK65</v>
          </cell>
          <cell r="E1488" t="str">
            <v>704084</v>
          </cell>
          <cell r="F1488" t="str">
            <v>E</v>
          </cell>
          <cell r="G1488" t="str">
            <v>12567921</v>
          </cell>
          <cell r="H1488" t="str">
            <v>Beilage</v>
          </cell>
          <cell r="I1488">
            <v>1</v>
          </cell>
          <cell r="J1488" t="str">
            <v>Stk</v>
          </cell>
          <cell r="K1488">
            <v>45062</v>
          </cell>
          <cell r="L1488" t="str">
            <v>829530</v>
          </cell>
          <cell r="M1488" t="str">
            <v/>
          </cell>
          <cell r="N1488" t="str">
            <v/>
          </cell>
          <cell r="O1488" t="str">
            <v/>
          </cell>
          <cell r="P1488" t="str">
            <v/>
          </cell>
          <cell r="Q1488" t="str">
            <v/>
          </cell>
          <cell r="R1488" t="str">
            <v/>
          </cell>
          <cell r="S1488" t="str">
            <v/>
          </cell>
          <cell r="T1488" t="str">
            <v/>
          </cell>
          <cell r="U1488" t="str">
            <v/>
          </cell>
          <cell r="V1488" t="str">
            <v>N52</v>
          </cell>
          <cell r="W1488" t="str">
            <v/>
          </cell>
          <cell r="X1488" t="str">
            <v/>
          </cell>
          <cell r="Y1488" t="str">
            <v/>
          </cell>
          <cell r="Z1488" t="str">
            <v/>
          </cell>
          <cell r="AA1488" t="str">
            <v/>
          </cell>
          <cell r="AB1488" t="str">
            <v>PA_4779772-ED.7005-4</v>
          </cell>
          <cell r="AC1488">
            <v>1</v>
          </cell>
          <cell r="AD1488" t="str">
            <v/>
          </cell>
          <cell r="AE1488">
            <v>0</v>
          </cell>
          <cell r="AF1488" t="str">
            <v/>
          </cell>
          <cell r="AG1488" t="str">
            <v>12567921</v>
          </cell>
          <cell r="AH1488">
            <v>44951.958287037036</v>
          </cell>
          <cell r="AI1488" t="str">
            <v>N52</v>
          </cell>
          <cell r="AJ1488" t="str">
            <v>F</v>
          </cell>
          <cell r="AK1488" t="str">
            <v/>
          </cell>
        </row>
        <row r="1489">
          <cell r="A1489" t="str">
            <v>12568016829510</v>
          </cell>
          <cell r="B1489">
            <v>0</v>
          </cell>
          <cell r="C1489" t="e">
            <v>#N/A</v>
          </cell>
          <cell r="D1489" t="str">
            <v>EK65</v>
          </cell>
          <cell r="E1489" t="str">
            <v>704087</v>
          </cell>
          <cell r="F1489" t="str">
            <v>E</v>
          </cell>
          <cell r="G1489" t="str">
            <v>12568016</v>
          </cell>
          <cell r="H1489" t="str">
            <v>Beilage</v>
          </cell>
          <cell r="I1489">
            <v>24</v>
          </cell>
          <cell r="J1489" t="str">
            <v>Stk</v>
          </cell>
          <cell r="K1489">
            <v>45048</v>
          </cell>
          <cell r="L1489" t="str">
            <v>829510</v>
          </cell>
          <cell r="M1489" t="str">
            <v/>
          </cell>
          <cell r="N1489" t="str">
            <v/>
          </cell>
          <cell r="O1489" t="str">
            <v/>
          </cell>
          <cell r="P1489" t="str">
            <v/>
          </cell>
          <cell r="Q1489" t="str">
            <v/>
          </cell>
          <cell r="R1489" t="str">
            <v/>
          </cell>
          <cell r="S1489" t="str">
            <v/>
          </cell>
          <cell r="T1489" t="str">
            <v/>
          </cell>
          <cell r="U1489" t="str">
            <v/>
          </cell>
          <cell r="V1489" t="str">
            <v>N52</v>
          </cell>
          <cell r="W1489" t="str">
            <v/>
          </cell>
          <cell r="X1489" t="str">
            <v/>
          </cell>
          <cell r="Y1489" t="str">
            <v/>
          </cell>
          <cell r="Z1489" t="str">
            <v/>
          </cell>
          <cell r="AA1489" t="str">
            <v/>
          </cell>
          <cell r="AB1489" t="str">
            <v>PA_4780529-ED.7005-4</v>
          </cell>
          <cell r="AC1489">
            <v>1</v>
          </cell>
          <cell r="AD1489" t="str">
            <v/>
          </cell>
          <cell r="AE1489">
            <v>0</v>
          </cell>
          <cell r="AF1489" t="str">
            <v/>
          </cell>
          <cell r="AG1489" t="str">
            <v>12568016</v>
          </cell>
          <cell r="AH1489">
            <v>44951.958298611113</v>
          </cell>
          <cell r="AI1489" t="str">
            <v>N52</v>
          </cell>
          <cell r="AJ1489" t="str">
            <v>F</v>
          </cell>
          <cell r="AK1489" t="str">
            <v/>
          </cell>
        </row>
        <row r="1490">
          <cell r="A1490" t="str">
            <v>12568016829520</v>
          </cell>
          <cell r="B1490">
            <v>0</v>
          </cell>
          <cell r="C1490" t="e">
            <v>#N/A</v>
          </cell>
          <cell r="D1490" t="str">
            <v>EK65</v>
          </cell>
          <cell r="E1490" t="str">
            <v>704088</v>
          </cell>
          <cell r="F1490" t="str">
            <v>E</v>
          </cell>
          <cell r="G1490" t="str">
            <v>12568016</v>
          </cell>
          <cell r="H1490" t="str">
            <v>Beilage</v>
          </cell>
          <cell r="I1490">
            <v>28</v>
          </cell>
          <cell r="J1490" t="str">
            <v>Stk</v>
          </cell>
          <cell r="K1490">
            <v>45048</v>
          </cell>
          <cell r="L1490" t="str">
            <v>829520</v>
          </cell>
          <cell r="M1490" t="str">
            <v/>
          </cell>
          <cell r="N1490" t="str">
            <v/>
          </cell>
          <cell r="O1490" t="str">
            <v/>
          </cell>
          <cell r="P1490" t="str">
            <v/>
          </cell>
          <cell r="Q1490" t="str">
            <v/>
          </cell>
          <cell r="R1490" t="str">
            <v/>
          </cell>
          <cell r="S1490" t="str">
            <v/>
          </cell>
          <cell r="T1490" t="str">
            <v/>
          </cell>
          <cell r="U1490" t="str">
            <v/>
          </cell>
          <cell r="V1490" t="str">
            <v>N52</v>
          </cell>
          <cell r="W1490" t="str">
            <v/>
          </cell>
          <cell r="X1490" t="str">
            <v/>
          </cell>
          <cell r="Y1490" t="str">
            <v/>
          </cell>
          <cell r="Z1490" t="str">
            <v/>
          </cell>
          <cell r="AA1490" t="str">
            <v/>
          </cell>
          <cell r="AB1490" t="str">
            <v>PA_4780529-ED.7005-4</v>
          </cell>
          <cell r="AC1490">
            <v>1</v>
          </cell>
          <cell r="AD1490" t="str">
            <v/>
          </cell>
          <cell r="AE1490">
            <v>0</v>
          </cell>
          <cell r="AF1490" t="str">
            <v/>
          </cell>
          <cell r="AG1490" t="str">
            <v>12568016</v>
          </cell>
          <cell r="AH1490">
            <v>44951.958298611113</v>
          </cell>
          <cell r="AI1490" t="str">
            <v>N52</v>
          </cell>
          <cell r="AJ1490" t="str">
            <v>F</v>
          </cell>
          <cell r="AK1490" t="str">
            <v/>
          </cell>
        </row>
        <row r="1491">
          <cell r="A1491" t="str">
            <v>12568016829530</v>
          </cell>
          <cell r="B1491" t="str">
            <v>Angefragt 22.03.2023</v>
          </cell>
          <cell r="C1491" t="e">
            <v>#N/A</v>
          </cell>
          <cell r="D1491" t="str">
            <v>EK65</v>
          </cell>
          <cell r="E1491" t="str">
            <v>704089</v>
          </cell>
          <cell r="F1491" t="str">
            <v>E</v>
          </cell>
          <cell r="G1491" t="str">
            <v>12568016</v>
          </cell>
          <cell r="H1491" t="str">
            <v>Beilage</v>
          </cell>
          <cell r="I1491">
            <v>4</v>
          </cell>
          <cell r="J1491" t="str">
            <v>Stk</v>
          </cell>
          <cell r="K1491">
            <v>45061</v>
          </cell>
          <cell r="L1491" t="str">
            <v>829530</v>
          </cell>
          <cell r="M1491" t="str">
            <v/>
          </cell>
          <cell r="N1491" t="str">
            <v/>
          </cell>
          <cell r="O1491" t="str">
            <v/>
          </cell>
          <cell r="P1491" t="str">
            <v/>
          </cell>
          <cell r="Q1491" t="str">
            <v/>
          </cell>
          <cell r="R1491" t="str">
            <v/>
          </cell>
          <cell r="S1491" t="str">
            <v/>
          </cell>
          <cell r="T1491" t="str">
            <v/>
          </cell>
          <cell r="U1491" t="str">
            <v/>
          </cell>
          <cell r="V1491" t="str">
            <v>N52</v>
          </cell>
          <cell r="W1491" t="str">
            <v/>
          </cell>
          <cell r="X1491" t="str">
            <v/>
          </cell>
          <cell r="Y1491" t="str">
            <v/>
          </cell>
          <cell r="Z1491" t="str">
            <v/>
          </cell>
          <cell r="AA1491" t="str">
            <v/>
          </cell>
          <cell r="AB1491" t="str">
            <v>PA_4780529-ED.7005-4</v>
          </cell>
          <cell r="AC1491">
            <v>1</v>
          </cell>
          <cell r="AD1491" t="str">
            <v/>
          </cell>
          <cell r="AE1491">
            <v>0</v>
          </cell>
          <cell r="AF1491" t="str">
            <v/>
          </cell>
          <cell r="AG1491" t="str">
            <v>12568016</v>
          </cell>
          <cell r="AH1491">
            <v>44951.958298611113</v>
          </cell>
          <cell r="AI1491" t="str">
            <v>N52</v>
          </cell>
          <cell r="AJ1491" t="str">
            <v>F</v>
          </cell>
          <cell r="AK1491" t="str">
            <v/>
          </cell>
        </row>
        <row r="1492">
          <cell r="A1492" t="str">
            <v>12568157829052</v>
          </cell>
          <cell r="B1492" t="str">
            <v>Übergabe Task Force</v>
          </cell>
          <cell r="C1492" t="e">
            <v>#N/A</v>
          </cell>
          <cell r="D1492" t="str">
            <v>EK65</v>
          </cell>
          <cell r="E1492" t="str">
            <v>704093</v>
          </cell>
          <cell r="F1492" t="str">
            <v>E</v>
          </cell>
          <cell r="G1492" t="str">
            <v>12568157</v>
          </cell>
          <cell r="H1492" t="str">
            <v>Abdeckung Automaten</v>
          </cell>
          <cell r="I1492">
            <v>2</v>
          </cell>
          <cell r="J1492" t="str">
            <v>Stk</v>
          </cell>
          <cell r="K1492">
            <v>45443</v>
          </cell>
          <cell r="L1492" t="str">
            <v>829052</v>
          </cell>
          <cell r="M1492" t="str">
            <v/>
          </cell>
          <cell r="N1492" t="str">
            <v/>
          </cell>
          <cell r="O1492" t="str">
            <v/>
          </cell>
          <cell r="P1492" t="str">
            <v/>
          </cell>
          <cell r="Q1492" t="str">
            <v/>
          </cell>
          <cell r="R1492" t="str">
            <v/>
          </cell>
          <cell r="S1492" t="str">
            <v/>
          </cell>
          <cell r="T1492" t="str">
            <v/>
          </cell>
          <cell r="U1492" t="str">
            <v/>
          </cell>
          <cell r="V1492" t="str">
            <v>N52</v>
          </cell>
          <cell r="W1492" t="str">
            <v/>
          </cell>
          <cell r="X1492" t="str">
            <v/>
          </cell>
          <cell r="Y1492" t="str">
            <v/>
          </cell>
          <cell r="Z1492" t="str">
            <v/>
          </cell>
          <cell r="AA1492" t="str">
            <v/>
          </cell>
          <cell r="AB1492" t="str">
            <v>PA_4782588-UA.7004-3</v>
          </cell>
          <cell r="AC1492">
            <v>1</v>
          </cell>
          <cell r="AD1492" t="str">
            <v/>
          </cell>
          <cell r="AE1492">
            <v>0</v>
          </cell>
          <cell r="AF1492" t="str">
            <v/>
          </cell>
          <cell r="AG1492" t="str">
            <v>12568157</v>
          </cell>
          <cell r="AH1492">
            <v>44951.958310185182</v>
          </cell>
          <cell r="AI1492" t="str">
            <v>N52</v>
          </cell>
          <cell r="AJ1492" t="str">
            <v>F</v>
          </cell>
          <cell r="AK1492" t="str">
            <v>A</v>
          </cell>
        </row>
        <row r="1493">
          <cell r="A1493" t="str">
            <v>12568729829052</v>
          </cell>
          <cell r="B1493" t="str">
            <v>Übergabe Task Force</v>
          </cell>
          <cell r="C1493">
            <v>3</v>
          </cell>
          <cell r="D1493" t="str">
            <v>EK65</v>
          </cell>
          <cell r="E1493" t="str">
            <v>704094</v>
          </cell>
          <cell r="F1493" t="str">
            <v>E</v>
          </cell>
          <cell r="G1493" t="str">
            <v>12568729</v>
          </cell>
          <cell r="H1493" t="str">
            <v>Halter vollst.</v>
          </cell>
          <cell r="I1493">
            <v>29</v>
          </cell>
          <cell r="J1493" t="str">
            <v>Stk</v>
          </cell>
          <cell r="K1493">
            <v>45253</v>
          </cell>
          <cell r="L1493" t="str">
            <v>829052</v>
          </cell>
          <cell r="M1493" t="str">
            <v/>
          </cell>
          <cell r="N1493" t="str">
            <v/>
          </cell>
          <cell r="O1493" t="str">
            <v/>
          </cell>
          <cell r="P1493" t="str">
            <v/>
          </cell>
          <cell r="Q1493" t="str">
            <v/>
          </cell>
          <cell r="R1493" t="str">
            <v/>
          </cell>
          <cell r="S1493" t="str">
            <v/>
          </cell>
          <cell r="T1493" t="str">
            <v/>
          </cell>
          <cell r="U1493" t="str">
            <v/>
          </cell>
          <cell r="V1493" t="str">
            <v>N38</v>
          </cell>
          <cell r="W1493" t="str">
            <v/>
          </cell>
          <cell r="X1493" t="str">
            <v/>
          </cell>
          <cell r="Y1493" t="str">
            <v/>
          </cell>
          <cell r="Z1493" t="str">
            <v/>
          </cell>
          <cell r="AA1493" t="str">
            <v/>
          </cell>
          <cell r="AB1493" t="str">
            <v>PA_4776514-UA.7004-3</v>
          </cell>
          <cell r="AC1493">
            <v>1</v>
          </cell>
          <cell r="AD1493" t="str">
            <v/>
          </cell>
          <cell r="AE1493">
            <v>0</v>
          </cell>
          <cell r="AF1493" t="str">
            <v/>
          </cell>
          <cell r="AG1493" t="str">
            <v>12568729</v>
          </cell>
          <cell r="AH1493">
            <v>44951.958321759259</v>
          </cell>
          <cell r="AI1493" t="str">
            <v>N38</v>
          </cell>
          <cell r="AJ1493" t="str">
            <v>F</v>
          </cell>
          <cell r="AK1493" t="str">
            <v/>
          </cell>
        </row>
        <row r="1494">
          <cell r="A1494" t="str">
            <v>12576565829560</v>
          </cell>
          <cell r="B1494" t="str">
            <v>Übergabe Task Force</v>
          </cell>
          <cell r="C1494" t="e">
            <v>#N/A</v>
          </cell>
          <cell r="D1494" t="str">
            <v>EK65</v>
          </cell>
          <cell r="E1494" t="str">
            <v>704100</v>
          </cell>
          <cell r="F1494" t="str">
            <v>E</v>
          </cell>
          <cell r="G1494" t="str">
            <v>12576565</v>
          </cell>
          <cell r="H1494" t="str">
            <v>Beilage</v>
          </cell>
          <cell r="I1494">
            <v>15</v>
          </cell>
          <cell r="J1494" t="str">
            <v>Stk</v>
          </cell>
          <cell r="K1494">
            <v>45019</v>
          </cell>
          <cell r="L1494" t="str">
            <v>829560</v>
          </cell>
          <cell r="M1494" t="str">
            <v/>
          </cell>
          <cell r="N1494" t="str">
            <v/>
          </cell>
          <cell r="O1494" t="str">
            <v/>
          </cell>
          <cell r="P1494" t="str">
            <v/>
          </cell>
          <cell r="Q1494" t="str">
            <v/>
          </cell>
          <cell r="R1494" t="str">
            <v/>
          </cell>
          <cell r="S1494" t="str">
            <v/>
          </cell>
          <cell r="T1494" t="str">
            <v/>
          </cell>
          <cell r="U1494" t="str">
            <v/>
          </cell>
          <cell r="V1494" t="str">
            <v>N52</v>
          </cell>
          <cell r="W1494" t="str">
            <v/>
          </cell>
          <cell r="X1494" t="str">
            <v/>
          </cell>
          <cell r="Y1494" t="str">
            <v/>
          </cell>
          <cell r="Z1494" t="str">
            <v/>
          </cell>
          <cell r="AA1494" t="str">
            <v/>
          </cell>
          <cell r="AB1494" t="str">
            <v>PA_4823121-ED.7004-4</v>
          </cell>
          <cell r="AC1494">
            <v>1</v>
          </cell>
          <cell r="AD1494" t="str">
            <v/>
          </cell>
          <cell r="AE1494">
            <v>0</v>
          </cell>
          <cell r="AF1494" t="str">
            <v/>
          </cell>
          <cell r="AG1494" t="str">
            <v>12576565</v>
          </cell>
          <cell r="AH1494">
            <v>44951.958344907405</v>
          </cell>
          <cell r="AI1494" t="str">
            <v>N52</v>
          </cell>
          <cell r="AJ1494" t="str">
            <v>F</v>
          </cell>
          <cell r="AK1494" t="str">
            <v/>
          </cell>
        </row>
        <row r="1495">
          <cell r="A1495" t="str">
            <v>12576565829510</v>
          </cell>
          <cell r="B1495" t="str">
            <v>Übergabe Task Force</v>
          </cell>
          <cell r="C1495" t="e">
            <v>#N/A</v>
          </cell>
          <cell r="D1495" t="str">
            <v>EK65</v>
          </cell>
          <cell r="E1495" t="str">
            <v>704101</v>
          </cell>
          <cell r="F1495" t="str">
            <v>E</v>
          </cell>
          <cell r="G1495" t="str">
            <v>12576565</v>
          </cell>
          <cell r="H1495" t="str">
            <v>Beilage</v>
          </cell>
          <cell r="I1495">
            <v>96</v>
          </cell>
          <cell r="J1495" t="str">
            <v>Stk</v>
          </cell>
          <cell r="K1495">
            <v>45040</v>
          </cell>
          <cell r="L1495" t="str">
            <v>829510</v>
          </cell>
          <cell r="M1495" t="str">
            <v/>
          </cell>
          <cell r="N1495" t="str">
            <v/>
          </cell>
          <cell r="O1495" t="str">
            <v/>
          </cell>
          <cell r="P1495" t="str">
            <v/>
          </cell>
          <cell r="Q1495" t="str">
            <v/>
          </cell>
          <cell r="R1495" t="str">
            <v/>
          </cell>
          <cell r="S1495" t="str">
            <v/>
          </cell>
          <cell r="T1495" t="str">
            <v/>
          </cell>
          <cell r="U1495" t="str">
            <v/>
          </cell>
          <cell r="V1495" t="str">
            <v>N52</v>
          </cell>
          <cell r="W1495" t="str">
            <v/>
          </cell>
          <cell r="X1495" t="str">
            <v/>
          </cell>
          <cell r="Y1495" t="str">
            <v/>
          </cell>
          <cell r="Z1495" t="str">
            <v/>
          </cell>
          <cell r="AA1495" t="str">
            <v/>
          </cell>
          <cell r="AB1495" t="str">
            <v>PA_4823121-ED.7004-4</v>
          </cell>
          <cell r="AC1495">
            <v>1</v>
          </cell>
          <cell r="AD1495" t="str">
            <v/>
          </cell>
          <cell r="AE1495">
            <v>0</v>
          </cell>
          <cell r="AF1495" t="str">
            <v/>
          </cell>
          <cell r="AG1495" t="str">
            <v>12576565</v>
          </cell>
          <cell r="AH1495">
            <v>44951.958344907405</v>
          </cell>
          <cell r="AI1495" t="str">
            <v>N52</v>
          </cell>
          <cell r="AJ1495" t="str">
            <v>F</v>
          </cell>
          <cell r="AK1495" t="str">
            <v/>
          </cell>
        </row>
        <row r="1496">
          <cell r="A1496" t="str">
            <v>12576565829520</v>
          </cell>
          <cell r="B1496" t="str">
            <v>Übergabe Task Force</v>
          </cell>
          <cell r="C1496" t="e">
            <v>#N/A</v>
          </cell>
          <cell r="D1496" t="str">
            <v>EK65</v>
          </cell>
          <cell r="E1496" t="str">
            <v>704102</v>
          </cell>
          <cell r="F1496" t="str">
            <v>E</v>
          </cell>
          <cell r="G1496" t="str">
            <v>12576565</v>
          </cell>
          <cell r="H1496" t="str">
            <v>Beilage</v>
          </cell>
          <cell r="I1496">
            <v>112</v>
          </cell>
          <cell r="J1496" t="str">
            <v>Stk</v>
          </cell>
          <cell r="K1496">
            <v>45040</v>
          </cell>
          <cell r="L1496" t="str">
            <v>829520</v>
          </cell>
          <cell r="M1496" t="str">
            <v/>
          </cell>
          <cell r="N1496" t="str">
            <v/>
          </cell>
          <cell r="O1496" t="str">
            <v/>
          </cell>
          <cell r="P1496" t="str">
            <v/>
          </cell>
          <cell r="Q1496" t="str">
            <v/>
          </cell>
          <cell r="R1496" t="str">
            <v/>
          </cell>
          <cell r="S1496" t="str">
            <v/>
          </cell>
          <cell r="T1496" t="str">
            <v/>
          </cell>
          <cell r="U1496" t="str">
            <v/>
          </cell>
          <cell r="V1496" t="str">
            <v>N52</v>
          </cell>
          <cell r="W1496" t="str">
            <v/>
          </cell>
          <cell r="X1496" t="str">
            <v/>
          </cell>
          <cell r="Y1496" t="str">
            <v/>
          </cell>
          <cell r="Z1496" t="str">
            <v/>
          </cell>
          <cell r="AA1496" t="str">
            <v/>
          </cell>
          <cell r="AB1496" t="str">
            <v>PA_4823121-ED.7004-4</v>
          </cell>
          <cell r="AC1496">
            <v>1</v>
          </cell>
          <cell r="AD1496" t="str">
            <v/>
          </cell>
          <cell r="AE1496">
            <v>0</v>
          </cell>
          <cell r="AF1496" t="str">
            <v/>
          </cell>
          <cell r="AG1496" t="str">
            <v>12576565</v>
          </cell>
          <cell r="AH1496">
            <v>44951.958344907405</v>
          </cell>
          <cell r="AI1496" t="str">
            <v>N52</v>
          </cell>
          <cell r="AJ1496" t="str">
            <v>F</v>
          </cell>
          <cell r="AK1496" t="str">
            <v/>
          </cell>
        </row>
        <row r="1497">
          <cell r="A1497" t="str">
            <v>12576565829530</v>
          </cell>
          <cell r="B1497" t="str">
            <v>Übergabe Task Force</v>
          </cell>
          <cell r="C1497" t="e">
            <v>#N/A</v>
          </cell>
          <cell r="D1497" t="str">
            <v>EK65</v>
          </cell>
          <cell r="E1497" t="str">
            <v>704103</v>
          </cell>
          <cell r="F1497" t="str">
            <v>E</v>
          </cell>
          <cell r="G1497" t="str">
            <v>12576565</v>
          </cell>
          <cell r="H1497" t="str">
            <v>Beilage</v>
          </cell>
          <cell r="I1497">
            <v>13</v>
          </cell>
          <cell r="J1497" t="str">
            <v>Stk</v>
          </cell>
          <cell r="K1497">
            <v>45054</v>
          </cell>
          <cell r="L1497" t="str">
            <v>829530</v>
          </cell>
          <cell r="M1497" t="str">
            <v/>
          </cell>
          <cell r="N1497" t="str">
            <v/>
          </cell>
          <cell r="O1497" t="str">
            <v/>
          </cell>
          <cell r="P1497" t="str">
            <v/>
          </cell>
          <cell r="Q1497" t="str">
            <v/>
          </cell>
          <cell r="R1497" t="str">
            <v/>
          </cell>
          <cell r="S1497" t="str">
            <v/>
          </cell>
          <cell r="T1497" t="str">
            <v/>
          </cell>
          <cell r="U1497" t="str">
            <v/>
          </cell>
          <cell r="V1497" t="str">
            <v>N52</v>
          </cell>
          <cell r="W1497" t="str">
            <v/>
          </cell>
          <cell r="X1497" t="str">
            <v/>
          </cell>
          <cell r="Y1497" t="str">
            <v/>
          </cell>
          <cell r="Z1497" t="str">
            <v/>
          </cell>
          <cell r="AA1497" t="str">
            <v/>
          </cell>
          <cell r="AB1497" t="str">
            <v>PA_4823121-ED.7004-4</v>
          </cell>
          <cell r="AC1497">
            <v>1</v>
          </cell>
          <cell r="AD1497" t="str">
            <v/>
          </cell>
          <cell r="AE1497">
            <v>0</v>
          </cell>
          <cell r="AF1497" t="str">
            <v/>
          </cell>
          <cell r="AG1497" t="str">
            <v>12576565</v>
          </cell>
          <cell r="AH1497">
            <v>44951.958344907405</v>
          </cell>
          <cell r="AI1497" t="str">
            <v>N52</v>
          </cell>
          <cell r="AJ1497" t="str">
            <v>F</v>
          </cell>
          <cell r="AK1497" t="str">
            <v/>
          </cell>
        </row>
        <row r="1498">
          <cell r="A1498" t="str">
            <v>12576566829510</v>
          </cell>
          <cell r="B1498" t="str">
            <v>Übergabe Task Force</v>
          </cell>
          <cell r="C1498" t="e">
            <v>#N/A</v>
          </cell>
          <cell r="D1498" t="str">
            <v>EK65</v>
          </cell>
          <cell r="E1498" t="str">
            <v>704104</v>
          </cell>
          <cell r="F1498" t="str">
            <v>E</v>
          </cell>
          <cell r="G1498" t="str">
            <v>12576566</v>
          </cell>
          <cell r="H1498" t="str">
            <v>Beilage</v>
          </cell>
          <cell r="I1498">
            <v>96</v>
          </cell>
          <cell r="J1498" t="str">
            <v>Stk</v>
          </cell>
          <cell r="K1498">
            <v>45040</v>
          </cell>
          <cell r="L1498" t="str">
            <v>829510</v>
          </cell>
          <cell r="M1498" t="str">
            <v/>
          </cell>
          <cell r="N1498" t="str">
            <v/>
          </cell>
          <cell r="O1498" t="str">
            <v/>
          </cell>
          <cell r="P1498" t="str">
            <v/>
          </cell>
          <cell r="Q1498" t="str">
            <v/>
          </cell>
          <cell r="R1498" t="str">
            <v/>
          </cell>
          <cell r="S1498" t="str">
            <v/>
          </cell>
          <cell r="T1498" t="str">
            <v/>
          </cell>
          <cell r="U1498" t="str">
            <v/>
          </cell>
          <cell r="V1498" t="str">
            <v>N52</v>
          </cell>
          <cell r="W1498" t="str">
            <v/>
          </cell>
          <cell r="X1498" t="str">
            <v/>
          </cell>
          <cell r="Y1498" t="str">
            <v/>
          </cell>
          <cell r="Z1498" t="str">
            <v/>
          </cell>
          <cell r="AA1498" t="str">
            <v/>
          </cell>
          <cell r="AB1498" t="str">
            <v>PA_4823397-ED.7004-4</v>
          </cell>
          <cell r="AC1498">
            <v>1</v>
          </cell>
          <cell r="AD1498" t="str">
            <v/>
          </cell>
          <cell r="AE1498">
            <v>0</v>
          </cell>
          <cell r="AF1498" t="str">
            <v/>
          </cell>
          <cell r="AG1498" t="str">
            <v>12576566</v>
          </cell>
          <cell r="AH1498">
            <v>44951.958368055559</v>
          </cell>
          <cell r="AI1498" t="str">
            <v>N52</v>
          </cell>
          <cell r="AJ1498" t="str">
            <v>F</v>
          </cell>
          <cell r="AK1498" t="str">
            <v/>
          </cell>
        </row>
        <row r="1499">
          <cell r="A1499" t="str">
            <v>12576566829520</v>
          </cell>
          <cell r="B1499" t="e">
            <v>#N/A</v>
          </cell>
          <cell r="C1499" t="e">
            <v>#N/A</v>
          </cell>
          <cell r="D1499" t="str">
            <v>EK65</v>
          </cell>
          <cell r="E1499" t="str">
            <v>704105</v>
          </cell>
          <cell r="F1499" t="str">
            <v>E</v>
          </cell>
          <cell r="G1499" t="str">
            <v>12576566</v>
          </cell>
          <cell r="H1499" t="str">
            <v>Beilage</v>
          </cell>
          <cell r="I1499">
            <v>112</v>
          </cell>
          <cell r="J1499" t="str">
            <v>Stk</v>
          </cell>
          <cell r="K1499">
            <v>45040</v>
          </cell>
          <cell r="L1499" t="str">
            <v>829520</v>
          </cell>
          <cell r="M1499" t="str">
            <v/>
          </cell>
          <cell r="N1499" t="str">
            <v/>
          </cell>
          <cell r="O1499" t="str">
            <v/>
          </cell>
          <cell r="P1499" t="str">
            <v/>
          </cell>
          <cell r="Q1499" t="str">
            <v/>
          </cell>
          <cell r="R1499" t="str">
            <v/>
          </cell>
          <cell r="S1499" t="str">
            <v/>
          </cell>
          <cell r="T1499" t="str">
            <v/>
          </cell>
          <cell r="U1499" t="str">
            <v/>
          </cell>
          <cell r="V1499" t="str">
            <v>N52</v>
          </cell>
          <cell r="W1499" t="str">
            <v/>
          </cell>
          <cell r="X1499" t="str">
            <v/>
          </cell>
          <cell r="Y1499" t="str">
            <v/>
          </cell>
          <cell r="Z1499" t="str">
            <v/>
          </cell>
          <cell r="AA1499" t="str">
            <v/>
          </cell>
          <cell r="AB1499" t="str">
            <v>PA_4823397-ED.7004-4</v>
          </cell>
          <cell r="AC1499">
            <v>1</v>
          </cell>
          <cell r="AD1499" t="str">
            <v/>
          </cell>
          <cell r="AE1499">
            <v>0</v>
          </cell>
          <cell r="AF1499" t="str">
            <v/>
          </cell>
          <cell r="AG1499" t="str">
            <v>12576566</v>
          </cell>
          <cell r="AH1499">
            <v>44951.958368055559</v>
          </cell>
          <cell r="AI1499" t="str">
            <v>N52</v>
          </cell>
          <cell r="AJ1499" t="str">
            <v>F</v>
          </cell>
          <cell r="AK1499" t="str">
            <v/>
          </cell>
        </row>
        <row r="1500">
          <cell r="A1500" t="str">
            <v>12576566829530</v>
          </cell>
          <cell r="B1500" t="str">
            <v>Übergabe Task Force</v>
          </cell>
          <cell r="C1500" t="e">
            <v>#N/A</v>
          </cell>
          <cell r="D1500" t="str">
            <v>EK65</v>
          </cell>
          <cell r="E1500" t="str">
            <v>704106</v>
          </cell>
          <cell r="F1500" t="str">
            <v>E</v>
          </cell>
          <cell r="G1500" t="str">
            <v>12576566</v>
          </cell>
          <cell r="H1500" t="str">
            <v>Beilage</v>
          </cell>
          <cell r="I1500">
            <v>15</v>
          </cell>
          <cell r="J1500" t="str">
            <v>Stk</v>
          </cell>
          <cell r="K1500">
            <v>45054</v>
          </cell>
          <cell r="L1500" t="str">
            <v>829530</v>
          </cell>
          <cell r="M1500" t="str">
            <v/>
          </cell>
          <cell r="N1500" t="str">
            <v/>
          </cell>
          <cell r="O1500" t="str">
            <v/>
          </cell>
          <cell r="P1500" t="str">
            <v/>
          </cell>
          <cell r="Q1500" t="str">
            <v/>
          </cell>
          <cell r="R1500" t="str">
            <v/>
          </cell>
          <cell r="S1500" t="str">
            <v/>
          </cell>
          <cell r="T1500" t="str">
            <v/>
          </cell>
          <cell r="U1500" t="str">
            <v/>
          </cell>
          <cell r="V1500" t="str">
            <v>N52</v>
          </cell>
          <cell r="W1500" t="str">
            <v/>
          </cell>
          <cell r="X1500" t="str">
            <v/>
          </cell>
          <cell r="Y1500" t="str">
            <v/>
          </cell>
          <cell r="Z1500" t="str">
            <v/>
          </cell>
          <cell r="AA1500" t="str">
            <v/>
          </cell>
          <cell r="AB1500" t="str">
            <v>PA_4823397-ED.7004-4</v>
          </cell>
          <cell r="AC1500">
            <v>1</v>
          </cell>
          <cell r="AD1500" t="str">
            <v/>
          </cell>
          <cell r="AE1500">
            <v>0</v>
          </cell>
          <cell r="AF1500" t="str">
            <v/>
          </cell>
          <cell r="AG1500" t="str">
            <v>12576566</v>
          </cell>
          <cell r="AH1500">
            <v>44951.958368055559</v>
          </cell>
          <cell r="AI1500" t="str">
            <v>N52</v>
          </cell>
          <cell r="AJ1500" t="str">
            <v>F</v>
          </cell>
          <cell r="AK1500" t="str">
            <v/>
          </cell>
        </row>
        <row r="1501">
          <cell r="A1501" t="str">
            <v>12576567829540</v>
          </cell>
          <cell r="B1501" t="str">
            <v>Übergabe Task Force</v>
          </cell>
          <cell r="C1501" t="e">
            <v>#N/A</v>
          </cell>
          <cell r="D1501" t="str">
            <v>EK65</v>
          </cell>
          <cell r="E1501" t="str">
            <v>704109</v>
          </cell>
          <cell r="F1501" t="str">
            <v>E</v>
          </cell>
          <cell r="G1501" t="str">
            <v>12576567</v>
          </cell>
          <cell r="H1501" t="str">
            <v>Beilage</v>
          </cell>
          <cell r="I1501">
            <v>96</v>
          </cell>
          <cell r="J1501" t="str">
            <v>Stk</v>
          </cell>
          <cell r="K1501">
            <v>44981</v>
          </cell>
          <cell r="L1501" t="str">
            <v>829540</v>
          </cell>
          <cell r="M1501" t="str">
            <v/>
          </cell>
          <cell r="N1501" t="str">
            <v/>
          </cell>
          <cell r="O1501" t="str">
            <v/>
          </cell>
          <cell r="P1501" t="str">
            <v/>
          </cell>
          <cell r="Q1501" t="str">
            <v/>
          </cell>
          <cell r="R1501" t="str">
            <v/>
          </cell>
          <cell r="S1501" t="str">
            <v/>
          </cell>
          <cell r="T1501" t="str">
            <v/>
          </cell>
          <cell r="U1501" t="str">
            <v/>
          </cell>
          <cell r="V1501" t="str">
            <v>N52</v>
          </cell>
          <cell r="W1501" t="str">
            <v/>
          </cell>
          <cell r="X1501" t="str">
            <v/>
          </cell>
          <cell r="Y1501" t="str">
            <v/>
          </cell>
          <cell r="Z1501" t="str">
            <v/>
          </cell>
          <cell r="AA1501" t="str">
            <v/>
          </cell>
          <cell r="AB1501" t="str">
            <v>PA_4823399-ED.7004-4</v>
          </cell>
          <cell r="AC1501">
            <v>1</v>
          </cell>
          <cell r="AD1501" t="str">
            <v/>
          </cell>
          <cell r="AE1501">
            <v>0</v>
          </cell>
          <cell r="AF1501" t="str">
            <v/>
          </cell>
          <cell r="AG1501" t="str">
            <v>12576567</v>
          </cell>
          <cell r="AH1501">
            <v>44951.958391203705</v>
          </cell>
          <cell r="AI1501" t="str">
            <v>N52</v>
          </cell>
          <cell r="AJ1501" t="str">
            <v>F</v>
          </cell>
          <cell r="AK1501" t="str">
            <v/>
          </cell>
        </row>
        <row r="1502">
          <cell r="A1502" t="str">
            <v>12576567829510</v>
          </cell>
          <cell r="B1502" t="str">
            <v>Übergabe Task Force</v>
          </cell>
          <cell r="C1502" t="e">
            <v>#N/A</v>
          </cell>
          <cell r="D1502" t="str">
            <v>EK65</v>
          </cell>
          <cell r="E1502" t="str">
            <v>704110</v>
          </cell>
          <cell r="F1502" t="str">
            <v>E</v>
          </cell>
          <cell r="G1502" t="str">
            <v>12576567</v>
          </cell>
          <cell r="H1502" t="str">
            <v>Beilage</v>
          </cell>
          <cell r="I1502">
            <v>96</v>
          </cell>
          <cell r="J1502" t="str">
            <v>Stk</v>
          </cell>
          <cell r="K1502">
            <v>45040</v>
          </cell>
          <cell r="L1502" t="str">
            <v>829510</v>
          </cell>
          <cell r="M1502" t="str">
            <v/>
          </cell>
          <cell r="N1502" t="str">
            <v/>
          </cell>
          <cell r="O1502" t="str">
            <v/>
          </cell>
          <cell r="P1502" t="str">
            <v/>
          </cell>
          <cell r="Q1502" t="str">
            <v/>
          </cell>
          <cell r="R1502" t="str">
            <v/>
          </cell>
          <cell r="S1502" t="str">
            <v/>
          </cell>
          <cell r="T1502" t="str">
            <v/>
          </cell>
          <cell r="U1502" t="str">
            <v/>
          </cell>
          <cell r="V1502" t="str">
            <v>N52</v>
          </cell>
          <cell r="W1502" t="str">
            <v/>
          </cell>
          <cell r="X1502" t="str">
            <v/>
          </cell>
          <cell r="Y1502" t="str">
            <v/>
          </cell>
          <cell r="Z1502" t="str">
            <v/>
          </cell>
          <cell r="AA1502" t="str">
            <v/>
          </cell>
          <cell r="AB1502" t="str">
            <v>PA_4823399-ED.7004-4</v>
          </cell>
          <cell r="AC1502">
            <v>1</v>
          </cell>
          <cell r="AD1502" t="str">
            <v/>
          </cell>
          <cell r="AE1502">
            <v>0</v>
          </cell>
          <cell r="AF1502" t="str">
            <v/>
          </cell>
          <cell r="AG1502" t="str">
            <v>12576567</v>
          </cell>
          <cell r="AH1502">
            <v>44951.958391203705</v>
          </cell>
          <cell r="AI1502" t="str">
            <v>N52</v>
          </cell>
          <cell r="AJ1502" t="str">
            <v>F</v>
          </cell>
          <cell r="AK1502" t="str">
            <v/>
          </cell>
        </row>
        <row r="1503">
          <cell r="A1503" t="str">
            <v>12576567829530</v>
          </cell>
          <cell r="B1503" t="str">
            <v>Übergabe Task Force</v>
          </cell>
          <cell r="C1503" t="e">
            <v>#N/A</v>
          </cell>
          <cell r="D1503" t="str">
            <v>EK65</v>
          </cell>
          <cell r="E1503" t="str">
            <v>704111</v>
          </cell>
          <cell r="F1503" t="str">
            <v>E</v>
          </cell>
          <cell r="G1503" t="str">
            <v>12576567</v>
          </cell>
          <cell r="H1503" t="str">
            <v>Beilage</v>
          </cell>
          <cell r="I1503">
            <v>14</v>
          </cell>
          <cell r="J1503" t="str">
            <v>Stk</v>
          </cell>
          <cell r="K1503">
            <v>45054</v>
          </cell>
          <cell r="L1503" t="str">
            <v>829530</v>
          </cell>
          <cell r="M1503" t="str">
            <v/>
          </cell>
          <cell r="N1503" t="str">
            <v/>
          </cell>
          <cell r="O1503" t="str">
            <v/>
          </cell>
          <cell r="P1503" t="str">
            <v/>
          </cell>
          <cell r="Q1503" t="str">
            <v/>
          </cell>
          <cell r="R1503" t="str">
            <v/>
          </cell>
          <cell r="S1503" t="str">
            <v/>
          </cell>
          <cell r="T1503" t="str">
            <v/>
          </cell>
          <cell r="U1503" t="str">
            <v/>
          </cell>
          <cell r="V1503" t="str">
            <v>N52</v>
          </cell>
          <cell r="W1503" t="str">
            <v/>
          </cell>
          <cell r="X1503" t="str">
            <v/>
          </cell>
          <cell r="Y1503" t="str">
            <v/>
          </cell>
          <cell r="Z1503" t="str">
            <v/>
          </cell>
          <cell r="AA1503" t="str">
            <v/>
          </cell>
          <cell r="AB1503" t="str">
            <v>PA_4823399-ED.7004-4</v>
          </cell>
          <cell r="AC1503">
            <v>1</v>
          </cell>
          <cell r="AD1503" t="str">
            <v/>
          </cell>
          <cell r="AE1503">
            <v>0</v>
          </cell>
          <cell r="AF1503" t="str">
            <v/>
          </cell>
          <cell r="AG1503" t="str">
            <v>12576567</v>
          </cell>
          <cell r="AH1503">
            <v>44951.958391203705</v>
          </cell>
          <cell r="AI1503" t="str">
            <v>N52</v>
          </cell>
          <cell r="AJ1503" t="str">
            <v>F</v>
          </cell>
          <cell r="AK1503" t="str">
            <v/>
          </cell>
        </row>
        <row r="1504">
          <cell r="A1504" t="str">
            <v>12580247829560</v>
          </cell>
          <cell r="B1504" t="str">
            <v>Übergabe Task Force</v>
          </cell>
          <cell r="C1504" t="e">
            <v>#N/A</v>
          </cell>
          <cell r="D1504" t="str">
            <v>EK65</v>
          </cell>
          <cell r="E1504" t="str">
            <v>704114</v>
          </cell>
          <cell r="F1504" t="str">
            <v>E</v>
          </cell>
          <cell r="G1504" t="str">
            <v>12580247</v>
          </cell>
          <cell r="H1504" t="str">
            <v>Zahnplatte</v>
          </cell>
          <cell r="I1504">
            <v>2</v>
          </cell>
          <cell r="J1504" t="str">
            <v>Stk</v>
          </cell>
          <cell r="K1504">
            <v>45029</v>
          </cell>
          <cell r="L1504" t="str">
            <v>829560</v>
          </cell>
          <cell r="M1504" t="str">
            <v/>
          </cell>
          <cell r="N1504" t="str">
            <v/>
          </cell>
          <cell r="O1504" t="str">
            <v/>
          </cell>
          <cell r="P1504" t="str">
            <v/>
          </cell>
          <cell r="Q1504" t="str">
            <v/>
          </cell>
          <cell r="R1504" t="str">
            <v/>
          </cell>
          <cell r="S1504" t="str">
            <v/>
          </cell>
          <cell r="T1504" t="str">
            <v/>
          </cell>
          <cell r="U1504" t="str">
            <v/>
          </cell>
          <cell r="V1504" t="str">
            <v>N52</v>
          </cell>
          <cell r="W1504" t="str">
            <v/>
          </cell>
          <cell r="X1504" t="str">
            <v/>
          </cell>
          <cell r="Y1504" t="str">
            <v/>
          </cell>
          <cell r="Z1504" t="str">
            <v/>
          </cell>
          <cell r="AA1504" t="str">
            <v/>
          </cell>
          <cell r="AB1504" t="str">
            <v>PA_4833901-EG.7005-4</v>
          </cell>
          <cell r="AC1504">
            <v>1</v>
          </cell>
          <cell r="AD1504" t="str">
            <v/>
          </cell>
          <cell r="AE1504">
            <v>0</v>
          </cell>
          <cell r="AF1504" t="str">
            <v/>
          </cell>
          <cell r="AG1504" t="str">
            <v>12580247</v>
          </cell>
          <cell r="AH1504">
            <v>44951.958414351851</v>
          </cell>
          <cell r="AI1504" t="str">
            <v>N52</v>
          </cell>
          <cell r="AJ1504" t="str">
            <v>F</v>
          </cell>
          <cell r="AK1504" t="str">
            <v/>
          </cell>
        </row>
        <row r="1505">
          <cell r="A1505" t="str">
            <v>12587334829510</v>
          </cell>
          <cell r="B1505" t="str">
            <v>Übergabe Task Force</v>
          </cell>
          <cell r="C1505" t="e">
            <v>#N/A</v>
          </cell>
          <cell r="D1505" t="str">
            <v>EK65</v>
          </cell>
          <cell r="E1505" t="str">
            <v>704141</v>
          </cell>
          <cell r="F1505" t="str">
            <v>E</v>
          </cell>
          <cell r="G1505" t="str">
            <v>12587334</v>
          </cell>
          <cell r="H1505" t="str">
            <v>Huelse</v>
          </cell>
          <cell r="I1505">
            <v>22</v>
          </cell>
          <cell r="J1505" t="str">
            <v>Stk</v>
          </cell>
          <cell r="K1505">
            <v>45049</v>
          </cell>
          <cell r="L1505" t="str">
            <v>829510</v>
          </cell>
          <cell r="M1505" t="str">
            <v/>
          </cell>
          <cell r="N1505" t="str">
            <v/>
          </cell>
          <cell r="O1505" t="str">
            <v/>
          </cell>
          <cell r="P1505" t="str">
            <v/>
          </cell>
          <cell r="Q1505" t="str">
            <v/>
          </cell>
          <cell r="R1505" t="str">
            <v/>
          </cell>
          <cell r="S1505" t="str">
            <v/>
          </cell>
          <cell r="T1505" t="str">
            <v/>
          </cell>
          <cell r="U1505" t="str">
            <v/>
          </cell>
          <cell r="V1505" t="str">
            <v>N52</v>
          </cell>
          <cell r="W1505" t="str">
            <v/>
          </cell>
          <cell r="X1505" t="str">
            <v/>
          </cell>
          <cell r="Y1505" t="str">
            <v/>
          </cell>
          <cell r="Z1505" t="str">
            <v/>
          </cell>
          <cell r="AA1505" t="str">
            <v/>
          </cell>
          <cell r="AB1505" t="str">
            <v>PA_4250487-JD.7004-4</v>
          </cell>
          <cell r="AC1505">
            <v>1</v>
          </cell>
          <cell r="AD1505" t="str">
            <v/>
          </cell>
          <cell r="AE1505">
            <v>0</v>
          </cell>
          <cell r="AF1505" t="str">
            <v/>
          </cell>
          <cell r="AG1505" t="str">
            <v>12587334</v>
          </cell>
          <cell r="AH1505">
            <v>44951.95853009259</v>
          </cell>
          <cell r="AI1505" t="str">
            <v>N52</v>
          </cell>
          <cell r="AJ1505" t="str">
            <v>F</v>
          </cell>
          <cell r="AK1505" t="str">
            <v/>
          </cell>
        </row>
        <row r="1506">
          <cell r="A1506" t="str">
            <v>12587979829053</v>
          </cell>
          <cell r="B1506" t="str">
            <v>BL20230418-1</v>
          </cell>
          <cell r="C1506">
            <v>1</v>
          </cell>
          <cell r="D1506" t="str">
            <v>EK65</v>
          </cell>
          <cell r="E1506" t="str">
            <v>704146</v>
          </cell>
          <cell r="F1506" t="str">
            <v>E</v>
          </cell>
          <cell r="G1506" t="str">
            <v>12587979</v>
          </cell>
          <cell r="H1506" t="str">
            <v>Tragschiene 35 x 7,5 x 288</v>
          </cell>
          <cell r="I1506">
            <v>51</v>
          </cell>
          <cell r="J1506" t="str">
            <v>Stk</v>
          </cell>
          <cell r="K1506">
            <v>45093</v>
          </cell>
          <cell r="L1506" t="str">
            <v>829053</v>
          </cell>
          <cell r="M1506" t="str">
            <v/>
          </cell>
          <cell r="N1506" t="str">
            <v/>
          </cell>
          <cell r="O1506" t="str">
            <v/>
          </cell>
          <cell r="P1506" t="str">
            <v/>
          </cell>
          <cell r="Q1506" t="str">
            <v/>
          </cell>
          <cell r="R1506" t="str">
            <v/>
          </cell>
          <cell r="S1506" t="str">
            <v/>
          </cell>
          <cell r="T1506" t="str">
            <v/>
          </cell>
          <cell r="U1506" t="str">
            <v/>
          </cell>
          <cell r="V1506" t="str">
            <v>N38</v>
          </cell>
          <cell r="W1506" t="str">
            <v/>
          </cell>
          <cell r="X1506" t="str">
            <v/>
          </cell>
          <cell r="Y1506" t="str">
            <v/>
          </cell>
          <cell r="Z1506" t="str">
            <v/>
          </cell>
          <cell r="AA1506" t="str">
            <v/>
          </cell>
          <cell r="AB1506" t="str">
            <v>PA_4869632-UA.7005-4</v>
          </cell>
          <cell r="AC1506">
            <v>1</v>
          </cell>
          <cell r="AD1506" t="str">
            <v/>
          </cell>
          <cell r="AE1506">
            <v>0</v>
          </cell>
          <cell r="AF1506" t="str">
            <v/>
          </cell>
          <cell r="AG1506" t="str">
            <v>12587979</v>
          </cell>
          <cell r="AH1506">
            <v>44951.958553240744</v>
          </cell>
          <cell r="AI1506" t="str">
            <v>N38</v>
          </cell>
          <cell r="AJ1506" t="str">
            <v>F</v>
          </cell>
          <cell r="AK1506" t="str">
            <v/>
          </cell>
        </row>
        <row r="1507">
          <cell r="A1507" t="str">
            <v>12587981829053</v>
          </cell>
          <cell r="B1507" t="str">
            <v>BL20230418-1</v>
          </cell>
          <cell r="C1507">
            <v>1</v>
          </cell>
          <cell r="D1507" t="str">
            <v>EK65</v>
          </cell>
          <cell r="E1507" t="str">
            <v>704147</v>
          </cell>
          <cell r="F1507" t="str">
            <v>E</v>
          </cell>
          <cell r="G1507" t="str">
            <v>12587981</v>
          </cell>
          <cell r="H1507" t="str">
            <v>Tragschiene 35 x 7,5 x 346</v>
          </cell>
          <cell r="I1507">
            <v>51</v>
          </cell>
          <cell r="J1507" t="str">
            <v>Stk</v>
          </cell>
          <cell r="K1507">
            <v>45093</v>
          </cell>
          <cell r="L1507" t="str">
            <v>829053</v>
          </cell>
          <cell r="M1507" t="str">
            <v/>
          </cell>
          <cell r="N1507" t="str">
            <v/>
          </cell>
          <cell r="O1507" t="str">
            <v/>
          </cell>
          <cell r="P1507" t="str">
            <v/>
          </cell>
          <cell r="Q1507" t="str">
            <v/>
          </cell>
          <cell r="R1507" t="str">
            <v/>
          </cell>
          <cell r="S1507" t="str">
            <v/>
          </cell>
          <cell r="T1507" t="str">
            <v/>
          </cell>
          <cell r="U1507" t="str">
            <v/>
          </cell>
          <cell r="V1507" t="str">
            <v>N38</v>
          </cell>
          <cell r="W1507" t="str">
            <v/>
          </cell>
          <cell r="X1507" t="str">
            <v/>
          </cell>
          <cell r="Y1507" t="str">
            <v/>
          </cell>
          <cell r="Z1507" t="str">
            <v/>
          </cell>
          <cell r="AA1507" t="str">
            <v/>
          </cell>
          <cell r="AB1507" t="str">
            <v>PA_4876032-UA.7005-4</v>
          </cell>
          <cell r="AC1507">
            <v>1</v>
          </cell>
          <cell r="AD1507" t="str">
            <v/>
          </cell>
          <cell r="AE1507">
            <v>0</v>
          </cell>
          <cell r="AF1507" t="str">
            <v/>
          </cell>
          <cell r="AG1507" t="str">
            <v>12587981</v>
          </cell>
          <cell r="AH1507">
            <v>44951.958564814813</v>
          </cell>
          <cell r="AI1507" t="str">
            <v>N38</v>
          </cell>
          <cell r="AJ1507" t="str">
            <v>F</v>
          </cell>
          <cell r="AK1507" t="str">
            <v/>
          </cell>
        </row>
        <row r="1508">
          <cell r="A1508" t="str">
            <v>12588626829051</v>
          </cell>
          <cell r="B1508">
            <v>0</v>
          </cell>
          <cell r="C1508">
            <v>12</v>
          </cell>
          <cell r="D1508" t="str">
            <v>EK65</v>
          </cell>
          <cell r="E1508" t="str">
            <v>704148</v>
          </cell>
          <cell r="F1508" t="str">
            <v>E</v>
          </cell>
          <cell r="G1508" t="str">
            <v>12588626</v>
          </cell>
          <cell r="H1508" t="str">
            <v>Halter gewinkelt</v>
          </cell>
          <cell r="I1508">
            <v>274</v>
          </cell>
          <cell r="J1508" t="str">
            <v>Stk</v>
          </cell>
          <cell r="K1508">
            <v>45205</v>
          </cell>
          <cell r="L1508" t="str">
            <v>829051</v>
          </cell>
          <cell r="M1508" t="str">
            <v/>
          </cell>
          <cell r="N1508" t="str">
            <v/>
          </cell>
          <cell r="O1508" t="str">
            <v/>
          </cell>
          <cell r="P1508" t="str">
            <v/>
          </cell>
          <cell r="Q1508" t="str">
            <v/>
          </cell>
          <cell r="R1508" t="str">
            <v/>
          </cell>
          <cell r="S1508" t="str">
            <v/>
          </cell>
          <cell r="T1508" t="str">
            <v/>
          </cell>
          <cell r="U1508" t="str">
            <v/>
          </cell>
          <cell r="V1508" t="str">
            <v>N52</v>
          </cell>
          <cell r="W1508" t="str">
            <v/>
          </cell>
          <cell r="X1508" t="str">
            <v/>
          </cell>
          <cell r="Y1508" t="str">
            <v/>
          </cell>
          <cell r="Z1508" t="str">
            <v/>
          </cell>
          <cell r="AA1508" t="str">
            <v/>
          </cell>
          <cell r="AB1508" t="str">
            <v>PA_4880874-TC.7005-3</v>
          </cell>
          <cell r="AC1508">
            <v>1</v>
          </cell>
          <cell r="AD1508" t="str">
            <v/>
          </cell>
          <cell r="AE1508">
            <v>0</v>
          </cell>
          <cell r="AF1508" t="str">
            <v/>
          </cell>
          <cell r="AG1508" t="str">
            <v>12588626</v>
          </cell>
          <cell r="AH1508">
            <v>44951.95857638889</v>
          </cell>
          <cell r="AI1508" t="str">
            <v>N52</v>
          </cell>
          <cell r="AJ1508" t="str">
            <v>F</v>
          </cell>
          <cell r="AK1508" t="str">
            <v/>
          </cell>
        </row>
        <row r="1509">
          <cell r="A1509" t="str">
            <v>12589672829054</v>
          </cell>
          <cell r="B1509" t="str">
            <v>Übergabe Task Force</v>
          </cell>
          <cell r="C1509">
            <v>24</v>
          </cell>
          <cell r="D1509" t="str">
            <v>EK65</v>
          </cell>
          <cell r="E1509" t="str">
            <v>704149</v>
          </cell>
          <cell r="F1509" t="str">
            <v>E</v>
          </cell>
          <cell r="G1509" t="str">
            <v>12589672</v>
          </cell>
          <cell r="H1509" t="str">
            <v>Deckenhalter</v>
          </cell>
          <cell r="I1509">
            <v>7</v>
          </cell>
          <cell r="J1509" t="str">
            <v>Stk</v>
          </cell>
          <cell r="K1509">
            <v>45189</v>
          </cell>
          <cell r="L1509" t="str">
            <v>829054</v>
          </cell>
          <cell r="M1509" t="str">
            <v/>
          </cell>
          <cell r="N1509" t="str">
            <v/>
          </cell>
          <cell r="O1509" t="str">
            <v/>
          </cell>
          <cell r="P1509" t="str">
            <v/>
          </cell>
          <cell r="Q1509" t="str">
            <v/>
          </cell>
          <cell r="R1509" t="str">
            <v/>
          </cell>
          <cell r="S1509" t="str">
            <v/>
          </cell>
          <cell r="T1509" t="str">
            <v/>
          </cell>
          <cell r="U1509" t="str">
            <v/>
          </cell>
          <cell r="V1509" t="str">
            <v>N52</v>
          </cell>
          <cell r="W1509" t="str">
            <v/>
          </cell>
          <cell r="X1509" t="str">
            <v/>
          </cell>
          <cell r="Y1509" t="str">
            <v/>
          </cell>
          <cell r="Z1509" t="str">
            <v/>
          </cell>
          <cell r="AA1509" t="str">
            <v/>
          </cell>
          <cell r="AB1509" t="str">
            <v>PA_4865671-UA.7004-2</v>
          </cell>
          <cell r="AC1509">
            <v>1</v>
          </cell>
          <cell r="AD1509" t="str">
            <v/>
          </cell>
          <cell r="AE1509">
            <v>0</v>
          </cell>
          <cell r="AF1509" t="str">
            <v/>
          </cell>
          <cell r="AG1509" t="str">
            <v>12589672</v>
          </cell>
          <cell r="AH1509">
            <v>44951.958599537036</v>
          </cell>
          <cell r="AI1509" t="str">
            <v>N52</v>
          </cell>
          <cell r="AJ1509" t="str">
            <v>F</v>
          </cell>
          <cell r="AK1509" t="str">
            <v/>
          </cell>
        </row>
        <row r="1510">
          <cell r="A1510" t="str">
            <v>12589672829052</v>
          </cell>
          <cell r="B1510" t="str">
            <v>Übergabe Task Force</v>
          </cell>
          <cell r="C1510">
            <v>24</v>
          </cell>
          <cell r="D1510" t="str">
            <v>EK65</v>
          </cell>
          <cell r="E1510" t="str">
            <v>704150</v>
          </cell>
          <cell r="F1510" t="str">
            <v>E</v>
          </cell>
          <cell r="G1510" t="str">
            <v>12589672</v>
          </cell>
          <cell r="H1510" t="str">
            <v>Deckenhalter</v>
          </cell>
          <cell r="I1510">
            <v>16</v>
          </cell>
          <cell r="J1510" t="str">
            <v>Stk</v>
          </cell>
          <cell r="K1510">
            <v>45681</v>
          </cell>
          <cell r="L1510" t="str">
            <v>829052</v>
          </cell>
          <cell r="M1510" t="str">
            <v/>
          </cell>
          <cell r="N1510" t="str">
            <v/>
          </cell>
          <cell r="O1510" t="str">
            <v/>
          </cell>
          <cell r="P1510" t="str">
            <v/>
          </cell>
          <cell r="Q1510" t="str">
            <v/>
          </cell>
          <cell r="R1510" t="str">
            <v/>
          </cell>
          <cell r="S1510" t="str">
            <v/>
          </cell>
          <cell r="T1510" t="str">
            <v/>
          </cell>
          <cell r="U1510" t="str">
            <v/>
          </cell>
          <cell r="V1510" t="str">
            <v>N52</v>
          </cell>
          <cell r="W1510" t="str">
            <v/>
          </cell>
          <cell r="X1510" t="str">
            <v/>
          </cell>
          <cell r="Y1510" t="str">
            <v/>
          </cell>
          <cell r="Z1510" t="str">
            <v/>
          </cell>
          <cell r="AA1510" t="str">
            <v/>
          </cell>
          <cell r="AB1510" t="str">
            <v>PA_4865671-UA.7004-2</v>
          </cell>
          <cell r="AC1510">
            <v>1</v>
          </cell>
          <cell r="AD1510" t="str">
            <v/>
          </cell>
          <cell r="AE1510">
            <v>0</v>
          </cell>
          <cell r="AF1510" t="str">
            <v/>
          </cell>
          <cell r="AG1510" t="str">
            <v>12589672</v>
          </cell>
          <cell r="AH1510">
            <v>44951.958599537036</v>
          </cell>
          <cell r="AI1510" t="str">
            <v>N52</v>
          </cell>
          <cell r="AJ1510" t="str">
            <v>F</v>
          </cell>
          <cell r="AK1510" t="str">
            <v/>
          </cell>
        </row>
        <row r="1511">
          <cell r="A1511" t="str">
            <v>12589672829051</v>
          </cell>
          <cell r="B1511" t="str">
            <v>Übergabe Task Force</v>
          </cell>
          <cell r="C1511">
            <v>24</v>
          </cell>
          <cell r="D1511" t="str">
            <v>EK65</v>
          </cell>
          <cell r="E1511" t="str">
            <v>704151</v>
          </cell>
          <cell r="F1511" t="str">
            <v>E</v>
          </cell>
          <cell r="G1511" t="str">
            <v>12589672</v>
          </cell>
          <cell r="H1511" t="str">
            <v>Deckenhalter</v>
          </cell>
          <cell r="I1511">
            <v>45</v>
          </cell>
          <cell r="J1511" t="str">
            <v>Stk</v>
          </cell>
          <cell r="K1511">
            <v>45682</v>
          </cell>
          <cell r="L1511" t="str">
            <v>829051</v>
          </cell>
          <cell r="M1511" t="str">
            <v/>
          </cell>
          <cell r="N1511" t="str">
            <v/>
          </cell>
          <cell r="O1511" t="str">
            <v/>
          </cell>
          <cell r="P1511" t="str">
            <v/>
          </cell>
          <cell r="Q1511" t="str">
            <v/>
          </cell>
          <cell r="R1511" t="str">
            <v/>
          </cell>
          <cell r="S1511" t="str">
            <v/>
          </cell>
          <cell r="T1511" t="str">
            <v/>
          </cell>
          <cell r="U1511" t="str">
            <v/>
          </cell>
          <cell r="V1511" t="str">
            <v>N52</v>
          </cell>
          <cell r="W1511" t="str">
            <v/>
          </cell>
          <cell r="X1511" t="str">
            <v/>
          </cell>
          <cell r="Y1511" t="str">
            <v/>
          </cell>
          <cell r="Z1511" t="str">
            <v/>
          </cell>
          <cell r="AA1511" t="str">
            <v/>
          </cell>
          <cell r="AB1511" t="str">
            <v>PA_4865671-UA.7004-2</v>
          </cell>
          <cell r="AC1511">
            <v>1</v>
          </cell>
          <cell r="AD1511" t="str">
            <v/>
          </cell>
          <cell r="AE1511">
            <v>0</v>
          </cell>
          <cell r="AF1511" t="str">
            <v/>
          </cell>
          <cell r="AG1511" t="str">
            <v>12589672</v>
          </cell>
          <cell r="AH1511">
            <v>44951.958599537036</v>
          </cell>
          <cell r="AI1511" t="str">
            <v>N52</v>
          </cell>
          <cell r="AJ1511" t="str">
            <v>F</v>
          </cell>
          <cell r="AK1511" t="str">
            <v/>
          </cell>
        </row>
        <row r="1512">
          <cell r="A1512" t="str">
            <v>12590648829520</v>
          </cell>
          <cell r="B1512">
            <v>0</v>
          </cell>
          <cell r="C1512" t="e">
            <v>#N/A</v>
          </cell>
          <cell r="D1512" t="str">
            <v>EK65</v>
          </cell>
          <cell r="E1512" t="str">
            <v>704154</v>
          </cell>
          <cell r="F1512" t="str">
            <v>E</v>
          </cell>
          <cell r="G1512" t="str">
            <v>12590648</v>
          </cell>
          <cell r="H1512" t="str">
            <v>Platte</v>
          </cell>
          <cell r="I1512">
            <v>109</v>
          </cell>
          <cell r="J1512" t="str">
            <v>Stk</v>
          </cell>
          <cell r="K1512">
            <v>45048</v>
          </cell>
          <cell r="L1512" t="str">
            <v>829520</v>
          </cell>
          <cell r="M1512" t="str">
            <v/>
          </cell>
          <cell r="N1512" t="str">
            <v/>
          </cell>
          <cell r="O1512" t="str">
            <v/>
          </cell>
          <cell r="P1512" t="str">
            <v/>
          </cell>
          <cell r="Q1512" t="str">
            <v/>
          </cell>
          <cell r="R1512" t="str">
            <v/>
          </cell>
          <cell r="S1512" t="str">
            <v/>
          </cell>
          <cell r="T1512" t="str">
            <v/>
          </cell>
          <cell r="U1512" t="str">
            <v/>
          </cell>
          <cell r="V1512" t="str">
            <v>N52</v>
          </cell>
          <cell r="W1512" t="str">
            <v/>
          </cell>
          <cell r="X1512" t="str">
            <v/>
          </cell>
          <cell r="Y1512" t="str">
            <v/>
          </cell>
          <cell r="Z1512" t="str">
            <v/>
          </cell>
          <cell r="AA1512" t="str">
            <v/>
          </cell>
          <cell r="AB1512" t="str">
            <v>PA_2334060-EG.7004-4</v>
          </cell>
          <cell r="AC1512">
            <v>1</v>
          </cell>
          <cell r="AD1512" t="str">
            <v/>
          </cell>
          <cell r="AE1512">
            <v>0</v>
          </cell>
          <cell r="AF1512" t="str">
            <v/>
          </cell>
          <cell r="AG1512" t="str">
            <v>12590648</v>
          </cell>
          <cell r="AH1512">
            <v>44951.958645833336</v>
          </cell>
          <cell r="AI1512" t="str">
            <v>N52</v>
          </cell>
          <cell r="AJ1512" t="str">
            <v>F</v>
          </cell>
          <cell r="AK1512" t="str">
            <v/>
          </cell>
        </row>
        <row r="1513">
          <cell r="A1513" t="str">
            <v>12590648829510</v>
          </cell>
          <cell r="B1513">
            <v>0</v>
          </cell>
          <cell r="C1513" t="e">
            <v>#N/A</v>
          </cell>
          <cell r="D1513" t="str">
            <v>EK65</v>
          </cell>
          <cell r="E1513" t="str">
            <v>704155</v>
          </cell>
          <cell r="F1513" t="str">
            <v>E</v>
          </cell>
          <cell r="G1513" t="str">
            <v>12590648</v>
          </cell>
          <cell r="H1513" t="str">
            <v>Platte</v>
          </cell>
          <cell r="I1513">
            <v>95</v>
          </cell>
          <cell r="J1513" t="str">
            <v>Stk</v>
          </cell>
          <cell r="K1513">
            <v>45048</v>
          </cell>
          <cell r="L1513" t="str">
            <v>829510</v>
          </cell>
          <cell r="M1513" t="str">
            <v/>
          </cell>
          <cell r="N1513" t="str">
            <v/>
          </cell>
          <cell r="O1513" t="str">
            <v/>
          </cell>
          <cell r="P1513" t="str">
            <v/>
          </cell>
          <cell r="Q1513" t="str">
            <v/>
          </cell>
          <cell r="R1513" t="str">
            <v/>
          </cell>
          <cell r="S1513" t="str">
            <v/>
          </cell>
          <cell r="T1513" t="str">
            <v/>
          </cell>
          <cell r="U1513" t="str">
            <v/>
          </cell>
          <cell r="V1513" t="str">
            <v>N52</v>
          </cell>
          <cell r="W1513" t="str">
            <v/>
          </cell>
          <cell r="X1513" t="str">
            <v/>
          </cell>
          <cell r="Y1513" t="str">
            <v/>
          </cell>
          <cell r="Z1513" t="str">
            <v/>
          </cell>
          <cell r="AA1513" t="str">
            <v/>
          </cell>
          <cell r="AB1513" t="str">
            <v>PA_2334060-EG.7004-4</v>
          </cell>
          <cell r="AC1513">
            <v>1</v>
          </cell>
          <cell r="AD1513" t="str">
            <v/>
          </cell>
          <cell r="AE1513">
            <v>0</v>
          </cell>
          <cell r="AF1513" t="str">
            <v/>
          </cell>
          <cell r="AG1513" t="str">
            <v>12590648</v>
          </cell>
          <cell r="AH1513">
            <v>44951.958657407406</v>
          </cell>
          <cell r="AI1513" t="str">
            <v>N52</v>
          </cell>
          <cell r="AJ1513" t="str">
            <v>F</v>
          </cell>
          <cell r="AK1513" t="str">
            <v/>
          </cell>
        </row>
        <row r="1514">
          <cell r="A1514" t="str">
            <v>12590648829530</v>
          </cell>
          <cell r="B1514" t="str">
            <v>Angefragt 22.03.2023</v>
          </cell>
          <cell r="C1514" t="e">
            <v>#N/A</v>
          </cell>
          <cell r="D1514" t="str">
            <v>EK65</v>
          </cell>
          <cell r="E1514" t="str">
            <v>704156</v>
          </cell>
          <cell r="F1514" t="str">
            <v>E</v>
          </cell>
          <cell r="G1514" t="str">
            <v>12590648</v>
          </cell>
          <cell r="H1514" t="str">
            <v>Platte</v>
          </cell>
          <cell r="I1514">
            <v>14</v>
          </cell>
          <cell r="J1514" t="str">
            <v>Stk</v>
          </cell>
          <cell r="K1514">
            <v>45061</v>
          </cell>
          <cell r="L1514" t="str">
            <v>829530</v>
          </cell>
          <cell r="M1514" t="str">
            <v/>
          </cell>
          <cell r="N1514" t="str">
            <v/>
          </cell>
          <cell r="O1514" t="str">
            <v/>
          </cell>
          <cell r="P1514" t="str">
            <v/>
          </cell>
          <cell r="Q1514" t="str">
            <v/>
          </cell>
          <cell r="R1514" t="str">
            <v/>
          </cell>
          <cell r="S1514" t="str">
            <v/>
          </cell>
          <cell r="T1514" t="str">
            <v/>
          </cell>
          <cell r="U1514" t="str">
            <v/>
          </cell>
          <cell r="V1514" t="str">
            <v>N52</v>
          </cell>
          <cell r="W1514" t="str">
            <v/>
          </cell>
          <cell r="X1514" t="str">
            <v/>
          </cell>
          <cell r="Y1514" t="str">
            <v/>
          </cell>
          <cell r="Z1514" t="str">
            <v/>
          </cell>
          <cell r="AA1514" t="str">
            <v/>
          </cell>
          <cell r="AB1514" t="str">
            <v>PA_2334060-EG.7004-4</v>
          </cell>
          <cell r="AC1514">
            <v>1</v>
          </cell>
          <cell r="AD1514" t="str">
            <v/>
          </cell>
          <cell r="AE1514">
            <v>0</v>
          </cell>
          <cell r="AF1514" t="str">
            <v/>
          </cell>
          <cell r="AG1514" t="str">
            <v>12590648</v>
          </cell>
          <cell r="AH1514">
            <v>44951.958657407406</v>
          </cell>
          <cell r="AI1514" t="str">
            <v>N52</v>
          </cell>
          <cell r="AJ1514" t="str">
            <v>F</v>
          </cell>
          <cell r="AK1514" t="str">
            <v/>
          </cell>
        </row>
        <row r="1515">
          <cell r="A1515" t="str">
            <v>12590675829520</v>
          </cell>
          <cell r="B1515" t="str">
            <v>Übergabe Task Force</v>
          </cell>
          <cell r="C1515" t="e">
            <v>#N/A</v>
          </cell>
          <cell r="D1515" t="str">
            <v>EK65</v>
          </cell>
          <cell r="E1515" t="str">
            <v>704157</v>
          </cell>
          <cell r="F1515" t="str">
            <v>E</v>
          </cell>
          <cell r="G1515" t="str">
            <v>12590675</v>
          </cell>
          <cell r="H1515" t="str">
            <v>Halter</v>
          </cell>
          <cell r="I1515">
            <v>26</v>
          </cell>
          <cell r="J1515" t="str">
            <v>Stk</v>
          </cell>
          <cell r="K1515">
            <v>45049</v>
          </cell>
          <cell r="L1515" t="str">
            <v>829520</v>
          </cell>
          <cell r="M1515" t="str">
            <v/>
          </cell>
          <cell r="N1515" t="str">
            <v/>
          </cell>
          <cell r="O1515" t="str">
            <v/>
          </cell>
          <cell r="P1515" t="str">
            <v/>
          </cell>
          <cell r="Q1515" t="str">
            <v/>
          </cell>
          <cell r="R1515" t="str">
            <v/>
          </cell>
          <cell r="S1515" t="str">
            <v/>
          </cell>
          <cell r="T1515" t="str">
            <v/>
          </cell>
          <cell r="U1515" t="str">
            <v/>
          </cell>
          <cell r="V1515" t="str">
            <v>N53</v>
          </cell>
          <cell r="W1515" t="str">
            <v/>
          </cell>
          <cell r="X1515" t="str">
            <v/>
          </cell>
          <cell r="Y1515" t="str">
            <v/>
          </cell>
          <cell r="Z1515" t="str">
            <v/>
          </cell>
          <cell r="AA1515" t="str">
            <v/>
          </cell>
          <cell r="AB1515" t="str">
            <v>PA_2334061-EG.7004-3</v>
          </cell>
          <cell r="AC1515">
            <v>1</v>
          </cell>
          <cell r="AD1515" t="str">
            <v/>
          </cell>
          <cell r="AE1515">
            <v>0</v>
          </cell>
          <cell r="AF1515" t="str">
            <v/>
          </cell>
          <cell r="AG1515" t="str">
            <v>12590675</v>
          </cell>
          <cell r="AH1515">
            <v>44951.958657407406</v>
          </cell>
          <cell r="AI1515" t="str">
            <v>N53</v>
          </cell>
          <cell r="AJ1515" t="str">
            <v>F</v>
          </cell>
          <cell r="AK1515" t="str">
            <v/>
          </cell>
        </row>
        <row r="1516">
          <cell r="A1516" t="str">
            <v>12590675829510</v>
          </cell>
          <cell r="B1516" t="str">
            <v>Übergabe Task Force</v>
          </cell>
          <cell r="C1516" t="e">
            <v>#N/A</v>
          </cell>
          <cell r="D1516" t="str">
            <v>EK65</v>
          </cell>
          <cell r="E1516" t="str">
            <v>704158</v>
          </cell>
          <cell r="F1516" t="str">
            <v>E</v>
          </cell>
          <cell r="G1516" t="str">
            <v>12590675</v>
          </cell>
          <cell r="H1516" t="str">
            <v>Halter</v>
          </cell>
          <cell r="I1516">
            <v>20</v>
          </cell>
          <cell r="J1516" t="str">
            <v>Stk</v>
          </cell>
          <cell r="K1516">
            <v>45054</v>
          </cell>
          <cell r="L1516" t="str">
            <v>829510</v>
          </cell>
          <cell r="M1516" t="str">
            <v/>
          </cell>
          <cell r="N1516" t="str">
            <v/>
          </cell>
          <cell r="O1516" t="str">
            <v/>
          </cell>
          <cell r="P1516" t="str">
            <v/>
          </cell>
          <cell r="Q1516" t="str">
            <v/>
          </cell>
          <cell r="R1516" t="str">
            <v/>
          </cell>
          <cell r="S1516" t="str">
            <v/>
          </cell>
          <cell r="T1516" t="str">
            <v/>
          </cell>
          <cell r="U1516" t="str">
            <v/>
          </cell>
          <cell r="V1516" t="str">
            <v>N53</v>
          </cell>
          <cell r="W1516" t="str">
            <v/>
          </cell>
          <cell r="X1516" t="str">
            <v/>
          </cell>
          <cell r="Y1516" t="str">
            <v/>
          </cell>
          <cell r="Z1516" t="str">
            <v/>
          </cell>
          <cell r="AA1516" t="str">
            <v/>
          </cell>
          <cell r="AB1516" t="str">
            <v>PA_2334061-EG.7004-3</v>
          </cell>
          <cell r="AC1516">
            <v>1</v>
          </cell>
          <cell r="AD1516" t="str">
            <v/>
          </cell>
          <cell r="AE1516">
            <v>0</v>
          </cell>
          <cell r="AF1516" t="str">
            <v/>
          </cell>
          <cell r="AG1516" t="str">
            <v>12590675</v>
          </cell>
          <cell r="AH1516">
            <v>44951.958657407406</v>
          </cell>
          <cell r="AI1516" t="str">
            <v>N53</v>
          </cell>
          <cell r="AJ1516" t="str">
            <v>F</v>
          </cell>
          <cell r="AK1516" t="str">
            <v/>
          </cell>
        </row>
        <row r="1517">
          <cell r="A1517" t="str">
            <v>12590675829530</v>
          </cell>
          <cell r="B1517" t="str">
            <v>Angefragt 22.03.2023</v>
          </cell>
          <cell r="C1517" t="e">
            <v>#N/A</v>
          </cell>
          <cell r="D1517" t="str">
            <v>EK65</v>
          </cell>
          <cell r="E1517" t="str">
            <v>704159</v>
          </cell>
          <cell r="F1517" t="str">
            <v>E</v>
          </cell>
          <cell r="G1517" t="str">
            <v>12590675</v>
          </cell>
          <cell r="H1517" t="str">
            <v>Halter</v>
          </cell>
          <cell r="I1517">
            <v>1</v>
          </cell>
          <cell r="J1517" t="str">
            <v>Stk</v>
          </cell>
          <cell r="K1517">
            <v>45062</v>
          </cell>
          <cell r="L1517" t="str">
            <v>829530</v>
          </cell>
          <cell r="M1517" t="str">
            <v/>
          </cell>
          <cell r="N1517" t="str">
            <v/>
          </cell>
          <cell r="O1517" t="str">
            <v/>
          </cell>
          <cell r="P1517" t="str">
            <v/>
          </cell>
          <cell r="Q1517" t="str">
            <v/>
          </cell>
          <cell r="R1517" t="str">
            <v/>
          </cell>
          <cell r="S1517" t="str">
            <v/>
          </cell>
          <cell r="T1517" t="str">
            <v/>
          </cell>
          <cell r="U1517" t="str">
            <v/>
          </cell>
          <cell r="V1517" t="str">
            <v>N53</v>
          </cell>
          <cell r="W1517" t="str">
            <v/>
          </cell>
          <cell r="X1517" t="str">
            <v/>
          </cell>
          <cell r="Y1517" t="str">
            <v/>
          </cell>
          <cell r="Z1517" t="str">
            <v/>
          </cell>
          <cell r="AA1517" t="str">
            <v/>
          </cell>
          <cell r="AB1517" t="str">
            <v>PA_2334061-EG.7004-3</v>
          </cell>
          <cell r="AC1517">
            <v>1</v>
          </cell>
          <cell r="AD1517" t="str">
            <v/>
          </cell>
          <cell r="AE1517">
            <v>0</v>
          </cell>
          <cell r="AF1517" t="str">
            <v/>
          </cell>
          <cell r="AG1517" t="str">
            <v>12590675</v>
          </cell>
          <cell r="AH1517">
            <v>44951.958657407406</v>
          </cell>
          <cell r="AI1517" t="str">
            <v>N53</v>
          </cell>
          <cell r="AJ1517" t="str">
            <v>F</v>
          </cell>
          <cell r="AK1517" t="str">
            <v/>
          </cell>
        </row>
        <row r="1518">
          <cell r="A1518" t="str">
            <v>12590680829510</v>
          </cell>
          <cell r="B1518">
            <v>0</v>
          </cell>
          <cell r="C1518" t="e">
            <v>#N/A</v>
          </cell>
          <cell r="D1518" t="str">
            <v>EK65</v>
          </cell>
          <cell r="E1518" t="str">
            <v>704160</v>
          </cell>
          <cell r="F1518" t="str">
            <v>E</v>
          </cell>
          <cell r="G1518" t="str">
            <v>12590680</v>
          </cell>
          <cell r="H1518" t="str">
            <v>Halter</v>
          </cell>
          <cell r="I1518">
            <v>24</v>
          </cell>
          <cell r="J1518" t="str">
            <v>Stk</v>
          </cell>
          <cell r="K1518">
            <v>45048</v>
          </cell>
          <cell r="L1518" t="str">
            <v>829510</v>
          </cell>
          <cell r="M1518" t="str">
            <v/>
          </cell>
          <cell r="N1518" t="str">
            <v/>
          </cell>
          <cell r="O1518" t="str">
            <v/>
          </cell>
          <cell r="P1518" t="str">
            <v/>
          </cell>
          <cell r="Q1518" t="str">
            <v/>
          </cell>
          <cell r="R1518" t="str">
            <v/>
          </cell>
          <cell r="S1518" t="str">
            <v/>
          </cell>
          <cell r="T1518" t="str">
            <v/>
          </cell>
          <cell r="U1518" t="str">
            <v/>
          </cell>
          <cell r="V1518" t="str">
            <v>N52</v>
          </cell>
          <cell r="W1518" t="str">
            <v/>
          </cell>
          <cell r="X1518" t="str">
            <v/>
          </cell>
          <cell r="Y1518" t="str">
            <v/>
          </cell>
          <cell r="Z1518" t="str">
            <v/>
          </cell>
          <cell r="AA1518" t="str">
            <v/>
          </cell>
          <cell r="AB1518" t="str">
            <v>PA_2343219-EG.7004-3</v>
          </cell>
          <cell r="AC1518">
            <v>1</v>
          </cell>
          <cell r="AD1518" t="str">
            <v/>
          </cell>
          <cell r="AE1518">
            <v>0</v>
          </cell>
          <cell r="AF1518" t="str">
            <v/>
          </cell>
          <cell r="AG1518" t="str">
            <v>12590680</v>
          </cell>
          <cell r="AH1518">
            <v>44951.958668981482</v>
          </cell>
          <cell r="AI1518" t="str">
            <v>N52</v>
          </cell>
          <cell r="AJ1518" t="str">
            <v>F</v>
          </cell>
          <cell r="AK1518" t="str">
            <v/>
          </cell>
        </row>
        <row r="1519">
          <cell r="A1519" t="str">
            <v>12590680829520</v>
          </cell>
          <cell r="B1519" t="str">
            <v>Übergabe Task Force</v>
          </cell>
          <cell r="C1519" t="e">
            <v>#N/A</v>
          </cell>
          <cell r="D1519" t="str">
            <v>EK65</v>
          </cell>
          <cell r="E1519" t="str">
            <v>704161</v>
          </cell>
          <cell r="F1519" t="str">
            <v>E</v>
          </cell>
          <cell r="G1519" t="str">
            <v>12590680</v>
          </cell>
          <cell r="H1519" t="str">
            <v>Halter</v>
          </cell>
          <cell r="I1519">
            <v>26</v>
          </cell>
          <cell r="J1519" t="str">
            <v>Stk</v>
          </cell>
          <cell r="K1519">
            <v>45049</v>
          </cell>
          <cell r="L1519" t="str">
            <v>829520</v>
          </cell>
          <cell r="M1519" t="str">
            <v/>
          </cell>
          <cell r="N1519" t="str">
            <v/>
          </cell>
          <cell r="O1519" t="str">
            <v/>
          </cell>
          <cell r="P1519" t="str">
            <v/>
          </cell>
          <cell r="Q1519" t="str">
            <v/>
          </cell>
          <cell r="R1519" t="str">
            <v/>
          </cell>
          <cell r="S1519" t="str">
            <v/>
          </cell>
          <cell r="T1519" t="str">
            <v/>
          </cell>
          <cell r="U1519" t="str">
            <v/>
          </cell>
          <cell r="V1519" t="str">
            <v>N52</v>
          </cell>
          <cell r="W1519" t="str">
            <v/>
          </cell>
          <cell r="X1519" t="str">
            <v/>
          </cell>
          <cell r="Y1519" t="str">
            <v/>
          </cell>
          <cell r="Z1519" t="str">
            <v/>
          </cell>
          <cell r="AA1519" t="str">
            <v/>
          </cell>
          <cell r="AB1519" t="str">
            <v>PA_2343219-EG.7004-3</v>
          </cell>
          <cell r="AC1519">
            <v>1</v>
          </cell>
          <cell r="AD1519" t="str">
            <v/>
          </cell>
          <cell r="AE1519">
            <v>0</v>
          </cell>
          <cell r="AF1519" t="str">
            <v/>
          </cell>
          <cell r="AG1519" t="str">
            <v>12590680</v>
          </cell>
          <cell r="AH1519">
            <v>44951.958668981482</v>
          </cell>
          <cell r="AI1519" t="str">
            <v>N52</v>
          </cell>
          <cell r="AJ1519" t="str">
            <v>F</v>
          </cell>
          <cell r="AK1519" t="str">
            <v/>
          </cell>
        </row>
        <row r="1520">
          <cell r="A1520" t="str">
            <v>12590680829530</v>
          </cell>
          <cell r="B1520" t="str">
            <v>Angefragt 22.03.2023</v>
          </cell>
          <cell r="C1520" t="e">
            <v>#N/A</v>
          </cell>
          <cell r="D1520" t="str">
            <v>EK65</v>
          </cell>
          <cell r="E1520" t="str">
            <v>704162</v>
          </cell>
          <cell r="F1520" t="str">
            <v>E</v>
          </cell>
          <cell r="G1520" t="str">
            <v>12590680</v>
          </cell>
          <cell r="H1520" t="str">
            <v>Halter</v>
          </cell>
          <cell r="I1520">
            <v>2</v>
          </cell>
          <cell r="J1520" t="str">
            <v>Stk</v>
          </cell>
          <cell r="K1520">
            <v>45062</v>
          </cell>
          <cell r="L1520" t="str">
            <v>829530</v>
          </cell>
          <cell r="M1520" t="str">
            <v/>
          </cell>
          <cell r="N1520" t="str">
            <v/>
          </cell>
          <cell r="O1520" t="str">
            <v/>
          </cell>
          <cell r="P1520" t="str">
            <v/>
          </cell>
          <cell r="Q1520" t="str">
            <v/>
          </cell>
          <cell r="R1520" t="str">
            <v/>
          </cell>
          <cell r="S1520" t="str">
            <v/>
          </cell>
          <cell r="T1520" t="str">
            <v/>
          </cell>
          <cell r="U1520" t="str">
            <v/>
          </cell>
          <cell r="V1520" t="str">
            <v>N52</v>
          </cell>
          <cell r="W1520" t="str">
            <v/>
          </cell>
          <cell r="X1520" t="str">
            <v/>
          </cell>
          <cell r="Y1520" t="str">
            <v/>
          </cell>
          <cell r="Z1520" t="str">
            <v/>
          </cell>
          <cell r="AA1520" t="str">
            <v/>
          </cell>
          <cell r="AB1520" t="str">
            <v>PA_2343219-EG.7004-3</v>
          </cell>
          <cell r="AC1520">
            <v>1</v>
          </cell>
          <cell r="AD1520" t="str">
            <v/>
          </cell>
          <cell r="AE1520">
            <v>0</v>
          </cell>
          <cell r="AF1520" t="str">
            <v/>
          </cell>
          <cell r="AG1520" t="str">
            <v>12590680</v>
          </cell>
          <cell r="AH1520">
            <v>44951.958668981482</v>
          </cell>
          <cell r="AI1520" t="str">
            <v>N52</v>
          </cell>
          <cell r="AJ1520" t="str">
            <v>F</v>
          </cell>
          <cell r="AK1520" t="str">
            <v/>
          </cell>
        </row>
        <row r="1521">
          <cell r="A1521" t="str">
            <v>12590682829510</v>
          </cell>
          <cell r="B1521">
            <v>0</v>
          </cell>
          <cell r="C1521" t="e">
            <v>#N/A</v>
          </cell>
          <cell r="D1521" t="str">
            <v>EK65</v>
          </cell>
          <cell r="E1521" t="str">
            <v>704163</v>
          </cell>
          <cell r="F1521" t="str">
            <v>E</v>
          </cell>
          <cell r="G1521" t="str">
            <v>12590682</v>
          </cell>
          <cell r="H1521" t="str">
            <v>Halter</v>
          </cell>
          <cell r="I1521">
            <v>45</v>
          </cell>
          <cell r="J1521" t="str">
            <v>Stk</v>
          </cell>
          <cell r="K1521">
            <v>45048</v>
          </cell>
          <cell r="L1521" t="str">
            <v>829510</v>
          </cell>
          <cell r="M1521" t="str">
            <v/>
          </cell>
          <cell r="N1521" t="str">
            <v/>
          </cell>
          <cell r="O1521" t="str">
            <v/>
          </cell>
          <cell r="P1521" t="str">
            <v/>
          </cell>
          <cell r="Q1521" t="str">
            <v/>
          </cell>
          <cell r="R1521" t="str">
            <v/>
          </cell>
          <cell r="S1521" t="str">
            <v/>
          </cell>
          <cell r="T1521" t="str">
            <v/>
          </cell>
          <cell r="U1521" t="str">
            <v/>
          </cell>
          <cell r="V1521" t="str">
            <v>N52</v>
          </cell>
          <cell r="W1521" t="str">
            <v/>
          </cell>
          <cell r="X1521" t="str">
            <v/>
          </cell>
          <cell r="Y1521" t="str">
            <v/>
          </cell>
          <cell r="Z1521" t="str">
            <v/>
          </cell>
          <cell r="AA1521" t="str">
            <v/>
          </cell>
          <cell r="AB1521" t="str">
            <v>PA_2343221-EG.7004-3</v>
          </cell>
          <cell r="AC1521">
            <v>1</v>
          </cell>
          <cell r="AD1521" t="str">
            <v/>
          </cell>
          <cell r="AE1521">
            <v>0</v>
          </cell>
          <cell r="AF1521" t="str">
            <v/>
          </cell>
          <cell r="AG1521" t="str">
            <v>12590682</v>
          </cell>
          <cell r="AH1521">
            <v>44951.958680555559</v>
          </cell>
          <cell r="AI1521" t="str">
            <v>N52</v>
          </cell>
          <cell r="AJ1521" t="str">
            <v>F</v>
          </cell>
          <cell r="AK1521" t="str">
            <v/>
          </cell>
        </row>
        <row r="1522">
          <cell r="A1522" t="str">
            <v>12590682829520</v>
          </cell>
          <cell r="B1522" t="str">
            <v>Übergabe Task Force</v>
          </cell>
          <cell r="C1522" t="e">
            <v>#N/A</v>
          </cell>
          <cell r="D1522" t="str">
            <v>EK65</v>
          </cell>
          <cell r="E1522" t="str">
            <v>704164</v>
          </cell>
          <cell r="F1522" t="str">
            <v>E</v>
          </cell>
          <cell r="G1522" t="str">
            <v>12590682</v>
          </cell>
          <cell r="H1522" t="str">
            <v>Halter</v>
          </cell>
          <cell r="I1522">
            <v>52</v>
          </cell>
          <cell r="J1522" t="str">
            <v>Stk</v>
          </cell>
          <cell r="K1522">
            <v>45049</v>
          </cell>
          <cell r="L1522" t="str">
            <v>829520</v>
          </cell>
          <cell r="M1522" t="str">
            <v/>
          </cell>
          <cell r="N1522" t="str">
            <v/>
          </cell>
          <cell r="O1522" t="str">
            <v/>
          </cell>
          <cell r="P1522" t="str">
            <v/>
          </cell>
          <cell r="Q1522" t="str">
            <v/>
          </cell>
          <cell r="R1522" t="str">
            <v/>
          </cell>
          <cell r="S1522" t="str">
            <v/>
          </cell>
          <cell r="T1522" t="str">
            <v/>
          </cell>
          <cell r="U1522" t="str">
            <v/>
          </cell>
          <cell r="V1522" t="str">
            <v>N52</v>
          </cell>
          <cell r="W1522" t="str">
            <v/>
          </cell>
          <cell r="X1522" t="str">
            <v/>
          </cell>
          <cell r="Y1522" t="str">
            <v/>
          </cell>
          <cell r="Z1522" t="str">
            <v/>
          </cell>
          <cell r="AA1522" t="str">
            <v/>
          </cell>
          <cell r="AB1522" t="str">
            <v>PA_2343221-EG.7004-3</v>
          </cell>
          <cell r="AC1522">
            <v>1</v>
          </cell>
          <cell r="AD1522" t="str">
            <v/>
          </cell>
          <cell r="AE1522">
            <v>0</v>
          </cell>
          <cell r="AF1522" t="str">
            <v/>
          </cell>
          <cell r="AG1522" t="str">
            <v>12590682</v>
          </cell>
          <cell r="AH1522">
            <v>44951.958680555559</v>
          </cell>
          <cell r="AI1522" t="str">
            <v>N52</v>
          </cell>
          <cell r="AJ1522" t="str">
            <v>F</v>
          </cell>
          <cell r="AK1522" t="str">
            <v/>
          </cell>
        </row>
        <row r="1523">
          <cell r="A1523" t="str">
            <v>12590682829530</v>
          </cell>
          <cell r="B1523" t="str">
            <v>Angefragt 22.03.2023</v>
          </cell>
          <cell r="C1523" t="e">
            <v>#N/A</v>
          </cell>
          <cell r="D1523" t="str">
            <v>EK65</v>
          </cell>
          <cell r="E1523" t="str">
            <v>704165</v>
          </cell>
          <cell r="F1523" t="str">
            <v>E</v>
          </cell>
          <cell r="G1523" t="str">
            <v>12590682</v>
          </cell>
          <cell r="H1523" t="str">
            <v>Halter</v>
          </cell>
          <cell r="I1523">
            <v>7</v>
          </cell>
          <cell r="J1523" t="str">
            <v>Stk</v>
          </cell>
          <cell r="K1523">
            <v>45061</v>
          </cell>
          <cell r="L1523" t="str">
            <v>829530</v>
          </cell>
          <cell r="M1523" t="str">
            <v/>
          </cell>
          <cell r="N1523" t="str">
            <v/>
          </cell>
          <cell r="O1523" t="str">
            <v/>
          </cell>
          <cell r="P1523" t="str">
            <v/>
          </cell>
          <cell r="Q1523" t="str">
            <v/>
          </cell>
          <cell r="R1523" t="str">
            <v/>
          </cell>
          <cell r="S1523" t="str">
            <v/>
          </cell>
          <cell r="T1523" t="str">
            <v/>
          </cell>
          <cell r="U1523" t="str">
            <v/>
          </cell>
          <cell r="V1523" t="str">
            <v>N52</v>
          </cell>
          <cell r="W1523" t="str">
            <v/>
          </cell>
          <cell r="X1523" t="str">
            <v/>
          </cell>
          <cell r="Y1523" t="str">
            <v/>
          </cell>
          <cell r="Z1523" t="str">
            <v/>
          </cell>
          <cell r="AA1523" t="str">
            <v/>
          </cell>
          <cell r="AB1523" t="str">
            <v>PA_2343221-EG.7004-3</v>
          </cell>
          <cell r="AC1523">
            <v>1</v>
          </cell>
          <cell r="AD1523" t="str">
            <v/>
          </cell>
          <cell r="AE1523">
            <v>0</v>
          </cell>
          <cell r="AF1523" t="str">
            <v/>
          </cell>
          <cell r="AG1523" t="str">
            <v>12590682</v>
          </cell>
          <cell r="AH1523">
            <v>44951.958680555559</v>
          </cell>
          <cell r="AI1523" t="str">
            <v>N52</v>
          </cell>
          <cell r="AJ1523" t="str">
            <v>F</v>
          </cell>
          <cell r="AK1523" t="str">
            <v/>
          </cell>
        </row>
        <row r="1524">
          <cell r="A1524" t="str">
            <v>12590687829520</v>
          </cell>
          <cell r="B1524">
            <v>0</v>
          </cell>
          <cell r="C1524" t="e">
            <v>#N/A</v>
          </cell>
          <cell r="D1524" t="str">
            <v>EK65</v>
          </cell>
          <cell r="E1524" t="str">
            <v>704166</v>
          </cell>
          <cell r="F1524" t="str">
            <v>E</v>
          </cell>
          <cell r="G1524" t="str">
            <v>12590687</v>
          </cell>
          <cell r="H1524" t="str">
            <v>Halter w.g.</v>
          </cell>
          <cell r="I1524">
            <v>14</v>
          </cell>
          <cell r="J1524" t="str">
            <v>Stk</v>
          </cell>
          <cell r="K1524">
            <v>45048</v>
          </cell>
          <cell r="L1524" t="str">
            <v>829520</v>
          </cell>
          <cell r="M1524" t="str">
            <v/>
          </cell>
          <cell r="N1524" t="str">
            <v/>
          </cell>
          <cell r="O1524" t="str">
            <v/>
          </cell>
          <cell r="P1524" t="str">
            <v/>
          </cell>
          <cell r="Q1524" t="str">
            <v/>
          </cell>
          <cell r="R1524" t="str">
            <v/>
          </cell>
          <cell r="S1524" t="str">
            <v/>
          </cell>
          <cell r="T1524" t="str">
            <v/>
          </cell>
          <cell r="U1524" t="str">
            <v/>
          </cell>
          <cell r="V1524" t="str">
            <v>N52</v>
          </cell>
          <cell r="W1524" t="str">
            <v/>
          </cell>
          <cell r="X1524" t="str">
            <v/>
          </cell>
          <cell r="Y1524" t="str">
            <v/>
          </cell>
          <cell r="Z1524" t="str">
            <v/>
          </cell>
          <cell r="AA1524" t="str">
            <v/>
          </cell>
          <cell r="AB1524" t="str">
            <v>PA_4704184-EG.7004-2</v>
          </cell>
          <cell r="AC1524">
            <v>1</v>
          </cell>
          <cell r="AD1524" t="str">
            <v/>
          </cell>
          <cell r="AE1524">
            <v>0</v>
          </cell>
          <cell r="AF1524" t="str">
            <v/>
          </cell>
          <cell r="AG1524" t="str">
            <v>12590687</v>
          </cell>
          <cell r="AH1524">
            <v>44951.958680555559</v>
          </cell>
          <cell r="AI1524" t="str">
            <v>N52</v>
          </cell>
          <cell r="AJ1524" t="str">
            <v>F</v>
          </cell>
          <cell r="AK1524" t="str">
            <v/>
          </cell>
        </row>
        <row r="1525">
          <cell r="A1525" t="str">
            <v>12590687829510</v>
          </cell>
          <cell r="B1525" t="str">
            <v>Übergabe Task Force</v>
          </cell>
          <cell r="C1525" t="e">
            <v>#N/A</v>
          </cell>
          <cell r="D1525" t="str">
            <v>EK65</v>
          </cell>
          <cell r="E1525" t="str">
            <v>704167</v>
          </cell>
          <cell r="F1525" t="str">
            <v>E</v>
          </cell>
          <cell r="G1525" t="str">
            <v>12590687</v>
          </cell>
          <cell r="H1525" t="str">
            <v>Halter w.g.</v>
          </cell>
          <cell r="I1525">
            <v>10</v>
          </cell>
          <cell r="J1525" t="str">
            <v>Stk</v>
          </cell>
          <cell r="K1525">
            <v>45054</v>
          </cell>
          <cell r="L1525" t="str">
            <v>829510</v>
          </cell>
          <cell r="M1525" t="str">
            <v/>
          </cell>
          <cell r="N1525" t="str">
            <v/>
          </cell>
          <cell r="O1525" t="str">
            <v/>
          </cell>
          <cell r="P1525" t="str">
            <v/>
          </cell>
          <cell r="Q1525" t="str">
            <v/>
          </cell>
          <cell r="R1525" t="str">
            <v/>
          </cell>
          <cell r="S1525" t="str">
            <v/>
          </cell>
          <cell r="T1525" t="str">
            <v/>
          </cell>
          <cell r="U1525" t="str">
            <v/>
          </cell>
          <cell r="V1525" t="str">
            <v>N52</v>
          </cell>
          <cell r="W1525" t="str">
            <v/>
          </cell>
          <cell r="X1525" t="str">
            <v/>
          </cell>
          <cell r="Y1525" t="str">
            <v/>
          </cell>
          <cell r="Z1525" t="str">
            <v/>
          </cell>
          <cell r="AA1525" t="str">
            <v/>
          </cell>
          <cell r="AB1525" t="str">
            <v>PA_4704184-EG.7004-2</v>
          </cell>
          <cell r="AC1525">
            <v>1</v>
          </cell>
          <cell r="AD1525" t="str">
            <v/>
          </cell>
          <cell r="AE1525">
            <v>0</v>
          </cell>
          <cell r="AF1525" t="str">
            <v/>
          </cell>
          <cell r="AG1525" t="str">
            <v>12590687</v>
          </cell>
          <cell r="AH1525">
            <v>44951.958692129629</v>
          </cell>
          <cell r="AI1525" t="str">
            <v>N52</v>
          </cell>
          <cell r="AJ1525" t="str">
            <v>F</v>
          </cell>
          <cell r="AK1525" t="str">
            <v/>
          </cell>
        </row>
        <row r="1526">
          <cell r="A1526" t="str">
            <v>12590687829530</v>
          </cell>
          <cell r="B1526" t="str">
            <v>Angefragt 22.03.2023</v>
          </cell>
          <cell r="C1526" t="e">
            <v>#N/A</v>
          </cell>
          <cell r="D1526" t="str">
            <v>EK65</v>
          </cell>
          <cell r="E1526" t="str">
            <v>704168</v>
          </cell>
          <cell r="F1526" t="str">
            <v>E</v>
          </cell>
          <cell r="G1526" t="str">
            <v>12590687</v>
          </cell>
          <cell r="H1526" t="str">
            <v>Halter w.g.</v>
          </cell>
          <cell r="I1526">
            <v>2</v>
          </cell>
          <cell r="J1526" t="str">
            <v>Stk</v>
          </cell>
          <cell r="K1526">
            <v>45061</v>
          </cell>
          <cell r="L1526" t="str">
            <v>829530</v>
          </cell>
          <cell r="M1526" t="str">
            <v/>
          </cell>
          <cell r="N1526" t="str">
            <v/>
          </cell>
          <cell r="O1526" t="str">
            <v/>
          </cell>
          <cell r="P1526" t="str">
            <v/>
          </cell>
          <cell r="Q1526" t="str">
            <v/>
          </cell>
          <cell r="R1526" t="str">
            <v/>
          </cell>
          <cell r="S1526" t="str">
            <v/>
          </cell>
          <cell r="T1526" t="str">
            <v/>
          </cell>
          <cell r="U1526" t="str">
            <v/>
          </cell>
          <cell r="V1526" t="str">
            <v>N52</v>
          </cell>
          <cell r="W1526" t="str">
            <v/>
          </cell>
          <cell r="X1526" t="str">
            <v/>
          </cell>
          <cell r="Y1526" t="str">
            <v/>
          </cell>
          <cell r="Z1526" t="str">
            <v/>
          </cell>
          <cell r="AA1526" t="str">
            <v/>
          </cell>
          <cell r="AB1526" t="str">
            <v>PA_4704184-EG.7004-2</v>
          </cell>
          <cell r="AC1526">
            <v>1</v>
          </cell>
          <cell r="AD1526" t="str">
            <v/>
          </cell>
          <cell r="AE1526">
            <v>0</v>
          </cell>
          <cell r="AF1526" t="str">
            <v/>
          </cell>
          <cell r="AG1526" t="str">
            <v>12590687</v>
          </cell>
          <cell r="AH1526">
            <v>44951.958692129629</v>
          </cell>
          <cell r="AI1526" t="str">
            <v>N52</v>
          </cell>
          <cell r="AJ1526" t="str">
            <v>F</v>
          </cell>
          <cell r="AK1526" t="str">
            <v/>
          </cell>
        </row>
        <row r="1527">
          <cell r="A1527" t="str">
            <v>12590689829520</v>
          </cell>
          <cell r="B1527">
            <v>0</v>
          </cell>
          <cell r="C1527" t="e">
            <v>#N/A</v>
          </cell>
          <cell r="D1527" t="str">
            <v>EK65</v>
          </cell>
          <cell r="E1527" t="str">
            <v>704169</v>
          </cell>
          <cell r="F1527" t="str">
            <v>E</v>
          </cell>
          <cell r="G1527" t="str">
            <v>12590689</v>
          </cell>
          <cell r="H1527" t="str">
            <v>Halter sp.g.</v>
          </cell>
          <cell r="I1527">
            <v>14</v>
          </cell>
          <cell r="J1527" t="str">
            <v>Stk</v>
          </cell>
          <cell r="K1527">
            <v>45048</v>
          </cell>
          <cell r="L1527" t="str">
            <v>829520</v>
          </cell>
          <cell r="M1527" t="str">
            <v/>
          </cell>
          <cell r="N1527" t="str">
            <v/>
          </cell>
          <cell r="O1527" t="str">
            <v/>
          </cell>
          <cell r="P1527" t="str">
            <v/>
          </cell>
          <cell r="Q1527" t="str">
            <v/>
          </cell>
          <cell r="R1527" t="str">
            <v/>
          </cell>
          <cell r="S1527" t="str">
            <v/>
          </cell>
          <cell r="T1527" t="str">
            <v/>
          </cell>
          <cell r="U1527" t="str">
            <v/>
          </cell>
          <cell r="V1527" t="str">
            <v>N52</v>
          </cell>
          <cell r="W1527" t="str">
            <v/>
          </cell>
          <cell r="X1527" t="str">
            <v/>
          </cell>
          <cell r="Y1527" t="str">
            <v/>
          </cell>
          <cell r="Z1527" t="str">
            <v/>
          </cell>
          <cell r="AA1527" t="str">
            <v/>
          </cell>
          <cell r="AB1527" t="str">
            <v>PA_4704184-EG.7004-2</v>
          </cell>
          <cell r="AC1527">
            <v>1</v>
          </cell>
          <cell r="AD1527" t="str">
            <v/>
          </cell>
          <cell r="AE1527">
            <v>0</v>
          </cell>
          <cell r="AF1527" t="str">
            <v/>
          </cell>
          <cell r="AG1527" t="str">
            <v>12590689</v>
          </cell>
          <cell r="AH1527">
            <v>44951.958692129629</v>
          </cell>
          <cell r="AI1527" t="str">
            <v>N52</v>
          </cell>
          <cell r="AJ1527" t="str">
            <v>F</v>
          </cell>
          <cell r="AK1527" t="str">
            <v/>
          </cell>
        </row>
        <row r="1528">
          <cell r="A1528" t="str">
            <v>12590689829510</v>
          </cell>
          <cell r="B1528" t="str">
            <v>Übergabe Task Force</v>
          </cell>
          <cell r="C1528" t="e">
            <v>#N/A</v>
          </cell>
          <cell r="D1528" t="str">
            <v>EK65</v>
          </cell>
          <cell r="E1528" t="str">
            <v>704170</v>
          </cell>
          <cell r="F1528" t="str">
            <v>E</v>
          </cell>
          <cell r="G1528" t="str">
            <v>12590689</v>
          </cell>
          <cell r="H1528" t="str">
            <v>Halter sp.g.</v>
          </cell>
          <cell r="I1528">
            <v>11</v>
          </cell>
          <cell r="J1528" t="str">
            <v>Stk</v>
          </cell>
          <cell r="K1528">
            <v>45049</v>
          </cell>
          <cell r="L1528" t="str">
            <v>829510</v>
          </cell>
          <cell r="M1528" t="str">
            <v/>
          </cell>
          <cell r="N1528" t="str">
            <v/>
          </cell>
          <cell r="O1528" t="str">
            <v/>
          </cell>
          <cell r="P1528" t="str">
            <v/>
          </cell>
          <cell r="Q1528" t="str">
            <v/>
          </cell>
          <cell r="R1528" t="str">
            <v/>
          </cell>
          <cell r="S1528" t="str">
            <v/>
          </cell>
          <cell r="T1528" t="str">
            <v/>
          </cell>
          <cell r="U1528" t="str">
            <v/>
          </cell>
          <cell r="V1528" t="str">
            <v>N52</v>
          </cell>
          <cell r="W1528" t="str">
            <v/>
          </cell>
          <cell r="X1528" t="str">
            <v/>
          </cell>
          <cell r="Y1528" t="str">
            <v/>
          </cell>
          <cell r="Z1528" t="str">
            <v/>
          </cell>
          <cell r="AA1528" t="str">
            <v/>
          </cell>
          <cell r="AB1528" t="str">
            <v>PA_4704184-EG.7004-2</v>
          </cell>
          <cell r="AC1528">
            <v>1</v>
          </cell>
          <cell r="AD1528" t="str">
            <v/>
          </cell>
          <cell r="AE1528">
            <v>0</v>
          </cell>
          <cell r="AF1528" t="str">
            <v/>
          </cell>
          <cell r="AG1528" t="str">
            <v>12590689</v>
          </cell>
          <cell r="AH1528">
            <v>44951.958692129629</v>
          </cell>
          <cell r="AI1528" t="str">
            <v>N52</v>
          </cell>
          <cell r="AJ1528" t="str">
            <v>F</v>
          </cell>
          <cell r="AK1528" t="str">
            <v/>
          </cell>
        </row>
        <row r="1529">
          <cell r="A1529" t="str">
            <v>12590689829530</v>
          </cell>
          <cell r="B1529" t="str">
            <v>Angefragt 22.03.2023</v>
          </cell>
          <cell r="C1529" t="e">
            <v>#N/A</v>
          </cell>
          <cell r="D1529" t="str">
            <v>EK65</v>
          </cell>
          <cell r="E1529" t="str">
            <v>704171</v>
          </cell>
          <cell r="F1529" t="str">
            <v>E</v>
          </cell>
          <cell r="G1529" t="str">
            <v>12590689</v>
          </cell>
          <cell r="H1529" t="str">
            <v>Halter sp.g.</v>
          </cell>
          <cell r="I1529">
            <v>2</v>
          </cell>
          <cell r="J1529" t="str">
            <v>Stk</v>
          </cell>
          <cell r="K1529">
            <v>45061</v>
          </cell>
          <cell r="L1529" t="str">
            <v>829530</v>
          </cell>
          <cell r="M1529" t="str">
            <v/>
          </cell>
          <cell r="N1529" t="str">
            <v/>
          </cell>
          <cell r="O1529" t="str">
            <v/>
          </cell>
          <cell r="P1529" t="str">
            <v/>
          </cell>
          <cell r="Q1529" t="str">
            <v/>
          </cell>
          <cell r="R1529" t="str">
            <v/>
          </cell>
          <cell r="S1529" t="str">
            <v/>
          </cell>
          <cell r="T1529" t="str">
            <v/>
          </cell>
          <cell r="U1529" t="str">
            <v/>
          </cell>
          <cell r="V1529" t="str">
            <v>N52</v>
          </cell>
          <cell r="W1529" t="str">
            <v/>
          </cell>
          <cell r="X1529" t="str">
            <v/>
          </cell>
          <cell r="Y1529" t="str">
            <v/>
          </cell>
          <cell r="Z1529" t="str">
            <v/>
          </cell>
          <cell r="AA1529" t="str">
            <v/>
          </cell>
          <cell r="AB1529" t="str">
            <v>PA_4704184-EG.7004-2</v>
          </cell>
          <cell r="AC1529">
            <v>1</v>
          </cell>
          <cell r="AD1529" t="str">
            <v/>
          </cell>
          <cell r="AE1529">
            <v>0</v>
          </cell>
          <cell r="AF1529" t="str">
            <v/>
          </cell>
          <cell r="AG1529" t="str">
            <v>12590689</v>
          </cell>
          <cell r="AH1529">
            <v>44951.958692129629</v>
          </cell>
          <cell r="AI1529" t="str">
            <v>N52</v>
          </cell>
          <cell r="AJ1529" t="str">
            <v>F</v>
          </cell>
          <cell r="AK1529" t="str">
            <v/>
          </cell>
        </row>
        <row r="1530">
          <cell r="A1530" t="str">
            <v>12594657829510</v>
          </cell>
          <cell r="B1530" t="str">
            <v>Übergabe Task Force</v>
          </cell>
          <cell r="C1530" t="e">
            <v>#N/A</v>
          </cell>
          <cell r="D1530" t="str">
            <v>EK65</v>
          </cell>
          <cell r="E1530" t="str">
            <v>704172</v>
          </cell>
          <cell r="F1530" t="str">
            <v>E</v>
          </cell>
          <cell r="G1530" t="str">
            <v>12594657</v>
          </cell>
          <cell r="H1530" t="str">
            <v>Halter</v>
          </cell>
          <cell r="I1530">
            <v>10</v>
          </cell>
          <cell r="J1530" t="str">
            <v>Stk</v>
          </cell>
          <cell r="K1530">
            <v>45037</v>
          </cell>
          <cell r="L1530" t="str">
            <v>829510</v>
          </cell>
          <cell r="M1530" t="str">
            <v/>
          </cell>
          <cell r="N1530" t="str">
            <v/>
          </cell>
          <cell r="O1530" t="str">
            <v/>
          </cell>
          <cell r="P1530" t="str">
            <v/>
          </cell>
          <cell r="Q1530" t="str">
            <v/>
          </cell>
          <cell r="R1530" t="str">
            <v/>
          </cell>
          <cell r="S1530" t="str">
            <v/>
          </cell>
          <cell r="T1530" t="str">
            <v/>
          </cell>
          <cell r="U1530" t="str">
            <v/>
          </cell>
          <cell r="V1530" t="str">
            <v>N52</v>
          </cell>
          <cell r="W1530" t="str">
            <v/>
          </cell>
          <cell r="X1530" t="str">
            <v/>
          </cell>
          <cell r="Y1530" t="str">
            <v/>
          </cell>
          <cell r="Z1530" t="str">
            <v/>
          </cell>
          <cell r="AA1530" t="str">
            <v/>
          </cell>
          <cell r="AB1530" t="str">
            <v>PA_4690708-UA.7004-4</v>
          </cell>
          <cell r="AC1530">
            <v>1</v>
          </cell>
          <cell r="AD1530" t="str">
            <v/>
          </cell>
          <cell r="AE1530">
            <v>0</v>
          </cell>
          <cell r="AF1530" t="str">
            <v/>
          </cell>
          <cell r="AG1530" t="str">
            <v>12594657</v>
          </cell>
          <cell r="AH1530">
            <v>44951.958703703705</v>
          </cell>
          <cell r="AI1530" t="str">
            <v>N52</v>
          </cell>
          <cell r="AJ1530" t="str">
            <v>F</v>
          </cell>
          <cell r="AK1530" t="str">
            <v/>
          </cell>
        </row>
        <row r="1531">
          <cell r="A1531" t="str">
            <v>12594657829530</v>
          </cell>
          <cell r="B1531">
            <v>0</v>
          </cell>
          <cell r="C1531" t="e">
            <v>#N/A</v>
          </cell>
          <cell r="D1531" t="str">
            <v>EK65</v>
          </cell>
          <cell r="E1531" t="str">
            <v>704173</v>
          </cell>
          <cell r="F1531" t="str">
            <v>E</v>
          </cell>
          <cell r="G1531" t="str">
            <v>12594657</v>
          </cell>
          <cell r="H1531" t="str">
            <v>Halter</v>
          </cell>
          <cell r="I1531">
            <v>2</v>
          </cell>
          <cell r="J1531" t="str">
            <v>Stk</v>
          </cell>
          <cell r="K1531">
            <v>45044</v>
          </cell>
          <cell r="L1531" t="str">
            <v>829530</v>
          </cell>
          <cell r="M1531" t="str">
            <v/>
          </cell>
          <cell r="N1531" t="str">
            <v/>
          </cell>
          <cell r="O1531" t="str">
            <v/>
          </cell>
          <cell r="P1531" t="str">
            <v/>
          </cell>
          <cell r="Q1531" t="str">
            <v/>
          </cell>
          <cell r="R1531" t="str">
            <v/>
          </cell>
          <cell r="S1531" t="str">
            <v/>
          </cell>
          <cell r="T1531" t="str">
            <v/>
          </cell>
          <cell r="U1531" t="str">
            <v/>
          </cell>
          <cell r="V1531" t="str">
            <v>N52</v>
          </cell>
          <cell r="W1531" t="str">
            <v/>
          </cell>
          <cell r="X1531" t="str">
            <v/>
          </cell>
          <cell r="Y1531" t="str">
            <v/>
          </cell>
          <cell r="Z1531" t="str">
            <v/>
          </cell>
          <cell r="AA1531" t="str">
            <v/>
          </cell>
          <cell r="AB1531" t="str">
            <v>PA_4690708-UA.7004-4</v>
          </cell>
          <cell r="AC1531">
            <v>1</v>
          </cell>
          <cell r="AD1531" t="str">
            <v/>
          </cell>
          <cell r="AE1531">
            <v>0</v>
          </cell>
          <cell r="AF1531" t="str">
            <v/>
          </cell>
          <cell r="AG1531" t="str">
            <v>12594657</v>
          </cell>
          <cell r="AH1531">
            <v>44951.958703703705</v>
          </cell>
          <cell r="AI1531" t="str">
            <v>N52</v>
          </cell>
          <cell r="AJ1531" t="str">
            <v>F</v>
          </cell>
          <cell r="AK1531" t="str">
            <v/>
          </cell>
        </row>
        <row r="1532">
          <cell r="A1532" t="str">
            <v>12594671829510</v>
          </cell>
          <cell r="B1532" t="str">
            <v>Übergabe Task Force</v>
          </cell>
          <cell r="C1532" t="e">
            <v>#N/A</v>
          </cell>
          <cell r="D1532" t="str">
            <v>EK65</v>
          </cell>
          <cell r="E1532" t="str">
            <v>704174</v>
          </cell>
          <cell r="F1532" t="str">
            <v>E</v>
          </cell>
          <cell r="G1532" t="str">
            <v>12594671</v>
          </cell>
          <cell r="H1532" t="str">
            <v>Abstandshalter</v>
          </cell>
          <cell r="I1532">
            <v>24</v>
          </cell>
          <cell r="J1532" t="str">
            <v>Stk</v>
          </cell>
          <cell r="K1532">
            <v>45033</v>
          </cell>
          <cell r="L1532" t="str">
            <v>829510</v>
          </cell>
          <cell r="M1532" t="str">
            <v/>
          </cell>
          <cell r="N1532" t="str">
            <v/>
          </cell>
          <cell r="O1532" t="str">
            <v/>
          </cell>
          <cell r="P1532" t="str">
            <v/>
          </cell>
          <cell r="Q1532" t="str">
            <v/>
          </cell>
          <cell r="R1532" t="str">
            <v/>
          </cell>
          <cell r="S1532" t="str">
            <v/>
          </cell>
          <cell r="T1532" t="str">
            <v/>
          </cell>
          <cell r="U1532" t="str">
            <v/>
          </cell>
          <cell r="V1532" t="str">
            <v>N52</v>
          </cell>
          <cell r="W1532" t="str">
            <v/>
          </cell>
          <cell r="X1532" t="str">
            <v/>
          </cell>
          <cell r="Y1532" t="str">
            <v/>
          </cell>
          <cell r="Z1532" t="str">
            <v/>
          </cell>
          <cell r="AA1532" t="str">
            <v/>
          </cell>
          <cell r="AB1532" t="str">
            <v>PA_4693138-UA.7004-4</v>
          </cell>
          <cell r="AC1532">
            <v>1</v>
          </cell>
          <cell r="AD1532" t="str">
            <v/>
          </cell>
          <cell r="AE1532">
            <v>0</v>
          </cell>
          <cell r="AF1532" t="str">
            <v/>
          </cell>
          <cell r="AG1532" t="str">
            <v>12594671</v>
          </cell>
          <cell r="AH1532">
            <v>44951.958715277775</v>
          </cell>
          <cell r="AI1532" t="str">
            <v>N52</v>
          </cell>
          <cell r="AJ1532" t="str">
            <v>F</v>
          </cell>
          <cell r="AK1532" t="str">
            <v/>
          </cell>
        </row>
        <row r="1533">
          <cell r="A1533" t="str">
            <v>12594671829530</v>
          </cell>
          <cell r="B1533">
            <v>0</v>
          </cell>
          <cell r="C1533" t="e">
            <v>#N/A</v>
          </cell>
          <cell r="D1533" t="str">
            <v>EK65</v>
          </cell>
          <cell r="E1533" t="str">
            <v>704175</v>
          </cell>
          <cell r="F1533" t="str">
            <v>E</v>
          </cell>
          <cell r="G1533" t="str">
            <v>12594671</v>
          </cell>
          <cell r="H1533" t="str">
            <v>Abstandshalter</v>
          </cell>
          <cell r="I1533">
            <v>2</v>
          </cell>
          <cell r="J1533" t="str">
            <v>Stk</v>
          </cell>
          <cell r="K1533">
            <v>45044</v>
          </cell>
          <cell r="L1533" t="str">
            <v>829530</v>
          </cell>
          <cell r="M1533" t="str">
            <v/>
          </cell>
          <cell r="N1533" t="str">
            <v/>
          </cell>
          <cell r="O1533" t="str">
            <v/>
          </cell>
          <cell r="P1533" t="str">
            <v/>
          </cell>
          <cell r="Q1533" t="str">
            <v/>
          </cell>
          <cell r="R1533" t="str">
            <v/>
          </cell>
          <cell r="S1533" t="str">
            <v/>
          </cell>
          <cell r="T1533" t="str">
            <v/>
          </cell>
          <cell r="U1533" t="str">
            <v/>
          </cell>
          <cell r="V1533" t="str">
            <v>N52</v>
          </cell>
          <cell r="W1533" t="str">
            <v/>
          </cell>
          <cell r="X1533" t="str">
            <v/>
          </cell>
          <cell r="Y1533" t="str">
            <v/>
          </cell>
          <cell r="Z1533" t="str">
            <v/>
          </cell>
          <cell r="AA1533" t="str">
            <v/>
          </cell>
          <cell r="AB1533" t="str">
            <v>PA_4693138-UA.7004-4</v>
          </cell>
          <cell r="AC1533">
            <v>1</v>
          </cell>
          <cell r="AD1533" t="str">
            <v/>
          </cell>
          <cell r="AE1533">
            <v>0</v>
          </cell>
          <cell r="AF1533" t="str">
            <v/>
          </cell>
          <cell r="AG1533" t="str">
            <v>12594671</v>
          </cell>
          <cell r="AH1533">
            <v>44951.958715277775</v>
          </cell>
          <cell r="AI1533" t="str">
            <v>N52</v>
          </cell>
          <cell r="AJ1533" t="str">
            <v>F</v>
          </cell>
          <cell r="AK1533" t="str">
            <v/>
          </cell>
        </row>
        <row r="1534">
          <cell r="A1534" t="str">
            <v>12595547829520</v>
          </cell>
          <cell r="B1534">
            <v>0</v>
          </cell>
          <cell r="C1534" t="e">
            <v>#N/A</v>
          </cell>
          <cell r="D1534" t="str">
            <v>EK65</v>
          </cell>
          <cell r="E1534" t="str">
            <v>704176</v>
          </cell>
          <cell r="F1534" t="str">
            <v>E</v>
          </cell>
          <cell r="G1534" t="str">
            <v>12595547</v>
          </cell>
          <cell r="H1534" t="str">
            <v>Zahnplatte w.g.</v>
          </cell>
          <cell r="I1534">
            <v>28</v>
          </cell>
          <cell r="J1534" t="str">
            <v>Stk</v>
          </cell>
          <cell r="K1534">
            <v>45048</v>
          </cell>
          <cell r="L1534" t="str">
            <v>829520</v>
          </cell>
          <cell r="M1534" t="str">
            <v/>
          </cell>
          <cell r="N1534" t="str">
            <v/>
          </cell>
          <cell r="O1534" t="str">
            <v/>
          </cell>
          <cell r="P1534" t="str">
            <v/>
          </cell>
          <cell r="Q1534" t="str">
            <v/>
          </cell>
          <cell r="R1534" t="str">
            <v/>
          </cell>
          <cell r="S1534" t="str">
            <v/>
          </cell>
          <cell r="T1534" t="str">
            <v/>
          </cell>
          <cell r="U1534" t="str">
            <v/>
          </cell>
          <cell r="V1534" t="str">
            <v>N52</v>
          </cell>
          <cell r="W1534" t="str">
            <v/>
          </cell>
          <cell r="X1534" t="str">
            <v/>
          </cell>
          <cell r="Y1534" t="str">
            <v/>
          </cell>
          <cell r="Z1534" t="str">
            <v/>
          </cell>
          <cell r="AA1534" t="str">
            <v/>
          </cell>
          <cell r="AB1534" t="str">
            <v>PA_4868888-EG.7004-3</v>
          </cell>
          <cell r="AC1534">
            <v>1</v>
          </cell>
          <cell r="AD1534" t="str">
            <v/>
          </cell>
          <cell r="AE1534">
            <v>0</v>
          </cell>
          <cell r="AF1534" t="str">
            <v/>
          </cell>
          <cell r="AG1534" t="str">
            <v>12595547</v>
          </cell>
          <cell r="AH1534">
            <v>44951.958715277775</v>
          </cell>
          <cell r="AI1534" t="str">
            <v>N52</v>
          </cell>
          <cell r="AJ1534" t="str">
            <v>F</v>
          </cell>
          <cell r="AK1534" t="str">
            <v/>
          </cell>
        </row>
        <row r="1535">
          <cell r="A1535" t="str">
            <v>12595547829510</v>
          </cell>
          <cell r="B1535" t="str">
            <v>Übergabe Task Force</v>
          </cell>
          <cell r="C1535" t="e">
            <v>#N/A</v>
          </cell>
          <cell r="D1535" t="str">
            <v>EK65</v>
          </cell>
          <cell r="E1535" t="str">
            <v>704177</v>
          </cell>
          <cell r="F1535" t="str">
            <v>E</v>
          </cell>
          <cell r="G1535" t="str">
            <v>12595547</v>
          </cell>
          <cell r="H1535" t="str">
            <v>Zahnplatte w.g.</v>
          </cell>
          <cell r="I1535">
            <v>20</v>
          </cell>
          <cell r="J1535" t="str">
            <v>Stk</v>
          </cell>
          <cell r="K1535">
            <v>45054</v>
          </cell>
          <cell r="L1535" t="str">
            <v>829510</v>
          </cell>
          <cell r="M1535" t="str">
            <v/>
          </cell>
          <cell r="N1535" t="str">
            <v/>
          </cell>
          <cell r="O1535" t="str">
            <v/>
          </cell>
          <cell r="P1535" t="str">
            <v/>
          </cell>
          <cell r="Q1535" t="str">
            <v/>
          </cell>
          <cell r="R1535" t="str">
            <v/>
          </cell>
          <cell r="S1535" t="str">
            <v/>
          </cell>
          <cell r="T1535" t="str">
            <v/>
          </cell>
          <cell r="U1535" t="str">
            <v/>
          </cell>
          <cell r="V1535" t="str">
            <v>N52</v>
          </cell>
          <cell r="W1535" t="str">
            <v/>
          </cell>
          <cell r="X1535" t="str">
            <v/>
          </cell>
          <cell r="Y1535" t="str">
            <v/>
          </cell>
          <cell r="Z1535" t="str">
            <v/>
          </cell>
          <cell r="AA1535" t="str">
            <v/>
          </cell>
          <cell r="AB1535" t="str">
            <v>PA_4868888-EG.7004-3</v>
          </cell>
          <cell r="AC1535">
            <v>1</v>
          </cell>
          <cell r="AD1535" t="str">
            <v/>
          </cell>
          <cell r="AE1535">
            <v>0</v>
          </cell>
          <cell r="AF1535" t="str">
            <v/>
          </cell>
          <cell r="AG1535" t="str">
            <v>12595547</v>
          </cell>
          <cell r="AH1535">
            <v>44951.958715277775</v>
          </cell>
          <cell r="AI1535" t="str">
            <v>N52</v>
          </cell>
          <cell r="AJ1535" t="str">
            <v>F</v>
          </cell>
          <cell r="AK1535" t="str">
            <v/>
          </cell>
        </row>
        <row r="1536">
          <cell r="A1536" t="str">
            <v>12595547829530</v>
          </cell>
          <cell r="B1536" t="str">
            <v>Angefragt 22.03.2023</v>
          </cell>
          <cell r="C1536" t="e">
            <v>#N/A</v>
          </cell>
          <cell r="D1536" t="str">
            <v>EK65</v>
          </cell>
          <cell r="E1536" t="str">
            <v>704178</v>
          </cell>
          <cell r="F1536" t="str">
            <v>E</v>
          </cell>
          <cell r="G1536" t="str">
            <v>12595547</v>
          </cell>
          <cell r="H1536" t="str">
            <v>Zahnplatte w.g.</v>
          </cell>
          <cell r="I1536">
            <v>4</v>
          </cell>
          <cell r="J1536" t="str">
            <v>Stk</v>
          </cell>
          <cell r="K1536">
            <v>45061</v>
          </cell>
          <cell r="L1536" t="str">
            <v>829530</v>
          </cell>
          <cell r="M1536" t="str">
            <v/>
          </cell>
          <cell r="N1536" t="str">
            <v/>
          </cell>
          <cell r="O1536" t="str">
            <v/>
          </cell>
          <cell r="P1536" t="str">
            <v/>
          </cell>
          <cell r="Q1536" t="str">
            <v/>
          </cell>
          <cell r="R1536" t="str">
            <v/>
          </cell>
          <cell r="S1536" t="str">
            <v/>
          </cell>
          <cell r="T1536" t="str">
            <v/>
          </cell>
          <cell r="U1536" t="str">
            <v/>
          </cell>
          <cell r="V1536" t="str">
            <v>N52</v>
          </cell>
          <cell r="W1536" t="str">
            <v/>
          </cell>
          <cell r="X1536" t="str">
            <v/>
          </cell>
          <cell r="Y1536" t="str">
            <v/>
          </cell>
          <cell r="Z1536" t="str">
            <v/>
          </cell>
          <cell r="AA1536" t="str">
            <v/>
          </cell>
          <cell r="AB1536" t="str">
            <v>PA_4868888-EG.7004-3</v>
          </cell>
          <cell r="AC1536">
            <v>1</v>
          </cell>
          <cell r="AD1536" t="str">
            <v/>
          </cell>
          <cell r="AE1536">
            <v>0</v>
          </cell>
          <cell r="AF1536" t="str">
            <v/>
          </cell>
          <cell r="AG1536" t="str">
            <v>12595547</v>
          </cell>
          <cell r="AH1536">
            <v>44951.958715277775</v>
          </cell>
          <cell r="AI1536" t="str">
            <v>N52</v>
          </cell>
          <cell r="AJ1536" t="str">
            <v>F</v>
          </cell>
          <cell r="AK1536" t="str">
            <v/>
          </cell>
        </row>
        <row r="1537">
          <cell r="A1537" t="str">
            <v>12595548829520</v>
          </cell>
          <cell r="B1537">
            <v>0</v>
          </cell>
          <cell r="C1537" t="e">
            <v>#N/A</v>
          </cell>
          <cell r="D1537" t="str">
            <v>EK65</v>
          </cell>
          <cell r="E1537" t="str">
            <v>704179</v>
          </cell>
          <cell r="F1537" t="str">
            <v>E</v>
          </cell>
          <cell r="G1537" t="str">
            <v>12595548</v>
          </cell>
          <cell r="H1537" t="str">
            <v>Zahnplatte sp.g.</v>
          </cell>
          <cell r="I1537">
            <v>28</v>
          </cell>
          <cell r="J1537" t="str">
            <v>Stk</v>
          </cell>
          <cell r="K1537">
            <v>45048</v>
          </cell>
          <cell r="L1537" t="str">
            <v>829520</v>
          </cell>
          <cell r="M1537" t="str">
            <v/>
          </cell>
          <cell r="N1537" t="str">
            <v/>
          </cell>
          <cell r="O1537" t="str">
            <v/>
          </cell>
          <cell r="P1537" t="str">
            <v/>
          </cell>
          <cell r="Q1537" t="str">
            <v/>
          </cell>
          <cell r="R1537" t="str">
            <v/>
          </cell>
          <cell r="S1537" t="str">
            <v/>
          </cell>
          <cell r="T1537" t="str">
            <v/>
          </cell>
          <cell r="U1537" t="str">
            <v/>
          </cell>
          <cell r="V1537" t="str">
            <v>N52</v>
          </cell>
          <cell r="W1537" t="str">
            <v/>
          </cell>
          <cell r="X1537" t="str">
            <v/>
          </cell>
          <cell r="Y1537" t="str">
            <v/>
          </cell>
          <cell r="Z1537" t="str">
            <v/>
          </cell>
          <cell r="AA1537" t="str">
            <v/>
          </cell>
          <cell r="AB1537" t="str">
            <v>PA_4868888-EG.7004-3</v>
          </cell>
          <cell r="AC1537">
            <v>1</v>
          </cell>
          <cell r="AD1537" t="str">
            <v/>
          </cell>
          <cell r="AE1537">
            <v>0</v>
          </cell>
          <cell r="AF1537" t="str">
            <v/>
          </cell>
          <cell r="AG1537" t="str">
            <v>12595548</v>
          </cell>
          <cell r="AH1537">
            <v>44951.958726851852</v>
          </cell>
          <cell r="AI1537" t="str">
            <v>N52</v>
          </cell>
          <cell r="AJ1537" t="str">
            <v>F</v>
          </cell>
          <cell r="AK1537" t="str">
            <v/>
          </cell>
        </row>
        <row r="1538">
          <cell r="A1538" t="str">
            <v>12595548829510</v>
          </cell>
          <cell r="B1538" t="str">
            <v>Übergabe Task Force</v>
          </cell>
          <cell r="C1538" t="e">
            <v>#N/A</v>
          </cell>
          <cell r="D1538" t="str">
            <v>EK65</v>
          </cell>
          <cell r="E1538" t="str">
            <v>704180</v>
          </cell>
          <cell r="F1538" t="str">
            <v>E</v>
          </cell>
          <cell r="G1538" t="str">
            <v>12595548</v>
          </cell>
          <cell r="H1538" t="str">
            <v>Zahnplatte sp.g.</v>
          </cell>
          <cell r="I1538">
            <v>21</v>
          </cell>
          <cell r="J1538" t="str">
            <v>Stk</v>
          </cell>
          <cell r="K1538">
            <v>45049</v>
          </cell>
          <cell r="L1538" t="str">
            <v>829510</v>
          </cell>
          <cell r="M1538" t="str">
            <v/>
          </cell>
          <cell r="N1538" t="str">
            <v/>
          </cell>
          <cell r="O1538" t="str">
            <v/>
          </cell>
          <cell r="P1538" t="str">
            <v/>
          </cell>
          <cell r="Q1538" t="str">
            <v/>
          </cell>
          <cell r="R1538" t="str">
            <v/>
          </cell>
          <cell r="S1538" t="str">
            <v/>
          </cell>
          <cell r="T1538" t="str">
            <v/>
          </cell>
          <cell r="U1538" t="str">
            <v/>
          </cell>
          <cell r="V1538" t="str">
            <v>N52</v>
          </cell>
          <cell r="W1538" t="str">
            <v/>
          </cell>
          <cell r="X1538" t="str">
            <v/>
          </cell>
          <cell r="Y1538" t="str">
            <v/>
          </cell>
          <cell r="Z1538" t="str">
            <v/>
          </cell>
          <cell r="AA1538" t="str">
            <v/>
          </cell>
          <cell r="AB1538" t="str">
            <v>PA_4868888-EG.7004-3</v>
          </cell>
          <cell r="AC1538">
            <v>1</v>
          </cell>
          <cell r="AD1538" t="str">
            <v/>
          </cell>
          <cell r="AE1538">
            <v>0</v>
          </cell>
          <cell r="AF1538" t="str">
            <v/>
          </cell>
          <cell r="AG1538" t="str">
            <v>12595548</v>
          </cell>
          <cell r="AH1538">
            <v>44951.958726851852</v>
          </cell>
          <cell r="AI1538" t="str">
            <v>N52</v>
          </cell>
          <cell r="AJ1538" t="str">
            <v>F</v>
          </cell>
          <cell r="AK1538" t="str">
            <v/>
          </cell>
        </row>
        <row r="1539">
          <cell r="A1539" t="str">
            <v>12595548829530</v>
          </cell>
          <cell r="B1539" t="str">
            <v>Angefragt 22.03.2023</v>
          </cell>
          <cell r="C1539" t="e">
            <v>#N/A</v>
          </cell>
          <cell r="D1539" t="str">
            <v>EK65</v>
          </cell>
          <cell r="E1539" t="str">
            <v>704181</v>
          </cell>
          <cell r="F1539" t="str">
            <v>E</v>
          </cell>
          <cell r="G1539" t="str">
            <v>12595548</v>
          </cell>
          <cell r="H1539" t="str">
            <v>Zahnplatte sp.g.</v>
          </cell>
          <cell r="I1539">
            <v>4</v>
          </cell>
          <cell r="J1539" t="str">
            <v>Stk</v>
          </cell>
          <cell r="K1539">
            <v>45061</v>
          </cell>
          <cell r="L1539" t="str">
            <v>829530</v>
          </cell>
          <cell r="M1539" t="str">
            <v/>
          </cell>
          <cell r="N1539" t="str">
            <v/>
          </cell>
          <cell r="O1539" t="str">
            <v/>
          </cell>
          <cell r="P1539" t="str">
            <v/>
          </cell>
          <cell r="Q1539" t="str">
            <v/>
          </cell>
          <cell r="R1539" t="str">
            <v/>
          </cell>
          <cell r="S1539" t="str">
            <v/>
          </cell>
          <cell r="T1539" t="str">
            <v/>
          </cell>
          <cell r="U1539" t="str">
            <v/>
          </cell>
          <cell r="V1539" t="str">
            <v>N52</v>
          </cell>
          <cell r="W1539" t="str">
            <v/>
          </cell>
          <cell r="X1539" t="str">
            <v/>
          </cell>
          <cell r="Y1539" t="str">
            <v/>
          </cell>
          <cell r="Z1539" t="str">
            <v/>
          </cell>
          <cell r="AA1539" t="str">
            <v/>
          </cell>
          <cell r="AB1539" t="str">
            <v>PA_4868888-EG.7004-3</v>
          </cell>
          <cell r="AC1539">
            <v>1</v>
          </cell>
          <cell r="AD1539" t="str">
            <v/>
          </cell>
          <cell r="AE1539">
            <v>0</v>
          </cell>
          <cell r="AF1539" t="str">
            <v/>
          </cell>
          <cell r="AG1539" t="str">
            <v>12595548</v>
          </cell>
          <cell r="AH1539">
            <v>44951.958726851852</v>
          </cell>
          <cell r="AI1539" t="str">
            <v>N52</v>
          </cell>
          <cell r="AJ1539" t="str">
            <v>F</v>
          </cell>
          <cell r="AK1539" t="str">
            <v/>
          </cell>
        </row>
        <row r="1540">
          <cell r="A1540" t="str">
            <v>12598060829051</v>
          </cell>
          <cell r="B1540" t="str">
            <v>Übergabe Task Force</v>
          </cell>
          <cell r="C1540" t="e">
            <v>#N/A</v>
          </cell>
          <cell r="D1540" t="str">
            <v>EK65</v>
          </cell>
          <cell r="E1540" t="str">
            <v>704185</v>
          </cell>
          <cell r="F1540" t="str">
            <v>E</v>
          </cell>
          <cell r="G1540" t="str">
            <v>12598060</v>
          </cell>
          <cell r="H1540" t="str">
            <v>Halter vollst.</v>
          </cell>
          <cell r="I1540">
            <v>88</v>
          </cell>
          <cell r="J1540" t="str">
            <v>Stk</v>
          </cell>
          <cell r="K1540">
            <v>45682</v>
          </cell>
          <cell r="L1540" t="str">
            <v>829051</v>
          </cell>
          <cell r="M1540" t="str">
            <v/>
          </cell>
          <cell r="N1540" t="str">
            <v/>
          </cell>
          <cell r="O1540" t="str">
            <v/>
          </cell>
          <cell r="P1540" t="str">
            <v/>
          </cell>
          <cell r="Q1540" t="str">
            <v/>
          </cell>
          <cell r="R1540" t="str">
            <v/>
          </cell>
          <cell r="S1540" t="str">
            <v/>
          </cell>
          <cell r="T1540" t="str">
            <v/>
          </cell>
          <cell r="U1540" t="str">
            <v/>
          </cell>
          <cell r="V1540" t="str">
            <v>N38</v>
          </cell>
          <cell r="W1540" t="str">
            <v/>
          </cell>
          <cell r="X1540" t="str">
            <v/>
          </cell>
          <cell r="Y1540" t="str">
            <v/>
          </cell>
          <cell r="Z1540" t="str">
            <v/>
          </cell>
          <cell r="AA1540" t="str">
            <v/>
          </cell>
          <cell r="AB1540" t="str">
            <v>PA_4931718-TB.7005-3</v>
          </cell>
          <cell r="AC1540">
            <v>1</v>
          </cell>
          <cell r="AD1540" t="str">
            <v/>
          </cell>
          <cell r="AE1540">
            <v>0</v>
          </cell>
          <cell r="AF1540" t="str">
            <v/>
          </cell>
          <cell r="AG1540" t="str">
            <v>12598060</v>
          </cell>
          <cell r="AH1540">
            <v>44951.958773148152</v>
          </cell>
          <cell r="AI1540" t="str">
            <v>N38</v>
          </cell>
          <cell r="AJ1540" t="str">
            <v>F</v>
          </cell>
          <cell r="AK1540" t="str">
            <v/>
          </cell>
        </row>
        <row r="1541">
          <cell r="A1541" t="str">
            <v>12606626829053</v>
          </cell>
          <cell r="B1541">
            <v>0</v>
          </cell>
          <cell r="C1541" t="e">
            <v>#N/A</v>
          </cell>
          <cell r="D1541" t="str">
            <v>EK65</v>
          </cell>
          <cell r="E1541" t="str">
            <v>704187</v>
          </cell>
          <cell r="F1541" t="str">
            <v>E</v>
          </cell>
          <cell r="G1541" t="str">
            <v>12606626</v>
          </cell>
          <cell r="H1541" t="str">
            <v>Blech</v>
          </cell>
          <cell r="I1541">
            <v>49</v>
          </cell>
          <cell r="J1541" t="str">
            <v>Stk</v>
          </cell>
          <cell r="K1541">
            <v>45100</v>
          </cell>
          <cell r="L1541" t="str">
            <v>829053</v>
          </cell>
          <cell r="M1541" t="str">
            <v/>
          </cell>
          <cell r="N1541" t="str">
            <v/>
          </cell>
          <cell r="O1541" t="str">
            <v/>
          </cell>
          <cell r="P1541" t="str">
            <v/>
          </cell>
          <cell r="Q1541" t="str">
            <v/>
          </cell>
          <cell r="R1541" t="str">
            <v/>
          </cell>
          <cell r="S1541" t="str">
            <v/>
          </cell>
          <cell r="T1541" t="str">
            <v/>
          </cell>
          <cell r="U1541" t="str">
            <v/>
          </cell>
          <cell r="V1541" t="str">
            <v>N52</v>
          </cell>
          <cell r="W1541" t="str">
            <v/>
          </cell>
          <cell r="X1541" t="str">
            <v/>
          </cell>
          <cell r="Y1541" t="str">
            <v/>
          </cell>
          <cell r="Z1541" t="str">
            <v/>
          </cell>
          <cell r="AA1541" t="str">
            <v/>
          </cell>
          <cell r="AB1541" t="str">
            <v>PA_4977529-TC.7005-3</v>
          </cell>
          <cell r="AC1541">
            <v>1</v>
          </cell>
          <cell r="AD1541" t="str">
            <v/>
          </cell>
          <cell r="AE1541">
            <v>0</v>
          </cell>
          <cell r="AF1541" t="str">
            <v/>
          </cell>
          <cell r="AG1541" t="str">
            <v>12606626</v>
          </cell>
          <cell r="AH1541">
            <v>44951.958865740744</v>
          </cell>
          <cell r="AI1541" t="str">
            <v>N52</v>
          </cell>
          <cell r="AJ1541" t="str">
            <v>F</v>
          </cell>
          <cell r="AK1541" t="str">
            <v/>
          </cell>
        </row>
        <row r="1542">
          <cell r="A1542" t="str">
            <v>12606631829051</v>
          </cell>
          <cell r="B1542" t="str">
            <v>Übergabe Task Force</v>
          </cell>
          <cell r="C1542" t="e">
            <v>#N/A</v>
          </cell>
          <cell r="D1542" t="str">
            <v>EK65</v>
          </cell>
          <cell r="E1542" t="str">
            <v>704188</v>
          </cell>
          <cell r="F1542" t="str">
            <v>E</v>
          </cell>
          <cell r="G1542" t="str">
            <v>12606631</v>
          </cell>
          <cell r="H1542" t="str">
            <v>Blech</v>
          </cell>
          <cell r="I1542">
            <v>134</v>
          </cell>
          <cell r="J1542" t="str">
            <v>Stk</v>
          </cell>
          <cell r="K1542">
            <v>45226</v>
          </cell>
          <cell r="L1542" t="str">
            <v>829051</v>
          </cell>
          <cell r="M1542" t="str">
            <v/>
          </cell>
          <cell r="N1542" t="str">
            <v/>
          </cell>
          <cell r="O1542" t="str">
            <v/>
          </cell>
          <cell r="P1542" t="str">
            <v/>
          </cell>
          <cell r="Q1542" t="str">
            <v/>
          </cell>
          <cell r="R1542" t="str">
            <v/>
          </cell>
          <cell r="S1542" t="str">
            <v/>
          </cell>
          <cell r="T1542" t="str">
            <v/>
          </cell>
          <cell r="U1542" t="str">
            <v/>
          </cell>
          <cell r="V1542" t="str">
            <v>N52</v>
          </cell>
          <cell r="W1542" t="str">
            <v/>
          </cell>
          <cell r="X1542" t="str">
            <v/>
          </cell>
          <cell r="Y1542" t="str">
            <v/>
          </cell>
          <cell r="Z1542" t="str">
            <v/>
          </cell>
          <cell r="AA1542" t="str">
            <v/>
          </cell>
          <cell r="AB1542" t="str">
            <v>PA_4977528-TC.7005-3</v>
          </cell>
          <cell r="AC1542">
            <v>1</v>
          </cell>
          <cell r="AD1542" t="str">
            <v/>
          </cell>
          <cell r="AE1542">
            <v>0</v>
          </cell>
          <cell r="AF1542" t="str">
            <v/>
          </cell>
          <cell r="AG1542" t="str">
            <v>12606631</v>
          </cell>
          <cell r="AH1542">
            <v>44951.958877314813</v>
          </cell>
          <cell r="AI1542" t="str">
            <v>N52</v>
          </cell>
          <cell r="AJ1542" t="str">
            <v>F</v>
          </cell>
          <cell r="AK1542" t="str">
            <v/>
          </cell>
        </row>
        <row r="1543">
          <cell r="A1543" t="str">
            <v>12622137829510</v>
          </cell>
          <cell r="B1543" t="str">
            <v>Übergabe Task Force</v>
          </cell>
          <cell r="C1543" t="e">
            <v>#N/A</v>
          </cell>
          <cell r="D1543" t="str">
            <v>EK65</v>
          </cell>
          <cell r="E1543" t="str">
            <v>704208</v>
          </cell>
          <cell r="F1543" t="str">
            <v>E</v>
          </cell>
          <cell r="G1543" t="str">
            <v>12622137</v>
          </cell>
          <cell r="H1543" t="str">
            <v>Halter</v>
          </cell>
          <cell r="I1543">
            <v>12</v>
          </cell>
          <cell r="J1543" t="str">
            <v>Stk</v>
          </cell>
          <cell r="K1543">
            <v>45033</v>
          </cell>
          <cell r="L1543" t="str">
            <v>829510</v>
          </cell>
          <cell r="M1543" t="str">
            <v/>
          </cell>
          <cell r="N1543" t="str">
            <v/>
          </cell>
          <cell r="O1543" t="str">
            <v/>
          </cell>
          <cell r="P1543" t="str">
            <v/>
          </cell>
          <cell r="Q1543" t="str">
            <v/>
          </cell>
          <cell r="R1543" t="str">
            <v/>
          </cell>
          <cell r="S1543" t="str">
            <v/>
          </cell>
          <cell r="T1543" t="str">
            <v/>
          </cell>
          <cell r="U1543" t="str">
            <v/>
          </cell>
          <cell r="V1543" t="str">
            <v>N52</v>
          </cell>
          <cell r="W1543" t="str">
            <v/>
          </cell>
          <cell r="X1543" t="str">
            <v/>
          </cell>
          <cell r="Y1543" t="str">
            <v/>
          </cell>
          <cell r="Z1543" t="str">
            <v/>
          </cell>
          <cell r="AA1543" t="str">
            <v/>
          </cell>
          <cell r="AB1543" t="str">
            <v>PA_5001620-UA.7004-3</v>
          </cell>
          <cell r="AC1543">
            <v>1</v>
          </cell>
          <cell r="AD1543" t="str">
            <v/>
          </cell>
          <cell r="AE1543">
            <v>0</v>
          </cell>
          <cell r="AF1543" t="str">
            <v/>
          </cell>
          <cell r="AG1543" t="str">
            <v>12622137</v>
          </cell>
          <cell r="AH1543">
            <v>44951.959120370368</v>
          </cell>
          <cell r="AI1543" t="str">
            <v>N52</v>
          </cell>
          <cell r="AJ1543" t="str">
            <v>F</v>
          </cell>
          <cell r="AK1543" t="str">
            <v/>
          </cell>
        </row>
        <row r="1544">
          <cell r="A1544" t="str">
            <v>12622137829520</v>
          </cell>
          <cell r="B1544" t="str">
            <v>Übergabe Task Force</v>
          </cell>
          <cell r="C1544" t="e">
            <v>#N/A</v>
          </cell>
          <cell r="D1544" t="str">
            <v>EK65</v>
          </cell>
          <cell r="E1544" t="str">
            <v>704209</v>
          </cell>
          <cell r="F1544" t="str">
            <v>E</v>
          </cell>
          <cell r="G1544" t="str">
            <v>12622137</v>
          </cell>
          <cell r="H1544" t="str">
            <v>Halter</v>
          </cell>
          <cell r="I1544">
            <v>28</v>
          </cell>
          <cell r="J1544" t="str">
            <v>Stk</v>
          </cell>
          <cell r="K1544">
            <v>45033</v>
          </cell>
          <cell r="L1544" t="str">
            <v>829520</v>
          </cell>
          <cell r="M1544" t="str">
            <v/>
          </cell>
          <cell r="N1544" t="str">
            <v/>
          </cell>
          <cell r="O1544" t="str">
            <v/>
          </cell>
          <cell r="P1544" t="str">
            <v/>
          </cell>
          <cell r="Q1544" t="str">
            <v/>
          </cell>
          <cell r="R1544" t="str">
            <v/>
          </cell>
          <cell r="S1544" t="str">
            <v/>
          </cell>
          <cell r="T1544" t="str">
            <v/>
          </cell>
          <cell r="U1544" t="str">
            <v/>
          </cell>
          <cell r="V1544" t="str">
            <v>N52</v>
          </cell>
          <cell r="W1544" t="str">
            <v/>
          </cell>
          <cell r="X1544" t="str">
            <v/>
          </cell>
          <cell r="Y1544" t="str">
            <v/>
          </cell>
          <cell r="Z1544" t="str">
            <v/>
          </cell>
          <cell r="AA1544" t="str">
            <v/>
          </cell>
          <cell r="AB1544" t="str">
            <v>PA_5001620-UA.7004-3</v>
          </cell>
          <cell r="AC1544">
            <v>1</v>
          </cell>
          <cell r="AD1544" t="str">
            <v/>
          </cell>
          <cell r="AE1544">
            <v>0</v>
          </cell>
          <cell r="AF1544" t="str">
            <v/>
          </cell>
          <cell r="AG1544" t="str">
            <v>12622137</v>
          </cell>
          <cell r="AH1544">
            <v>44951.959120370368</v>
          </cell>
          <cell r="AI1544" t="str">
            <v>N52</v>
          </cell>
          <cell r="AJ1544" t="str">
            <v>F</v>
          </cell>
          <cell r="AK1544" t="str">
            <v/>
          </cell>
        </row>
        <row r="1545">
          <cell r="A1545" t="str">
            <v>12622137829530</v>
          </cell>
          <cell r="B1545">
            <v>0</v>
          </cell>
          <cell r="C1545" t="e">
            <v>#N/A</v>
          </cell>
          <cell r="D1545" t="str">
            <v>EK65</v>
          </cell>
          <cell r="E1545" t="str">
            <v>704210</v>
          </cell>
          <cell r="F1545" t="str">
            <v>E</v>
          </cell>
          <cell r="G1545" t="str">
            <v>12622137</v>
          </cell>
          <cell r="H1545" t="str">
            <v>Halter</v>
          </cell>
          <cell r="I1545">
            <v>2</v>
          </cell>
          <cell r="J1545" t="str">
            <v>Stk</v>
          </cell>
          <cell r="K1545">
            <v>45044</v>
          </cell>
          <cell r="L1545" t="str">
            <v>829530</v>
          </cell>
          <cell r="M1545" t="str">
            <v/>
          </cell>
          <cell r="N1545" t="str">
            <v/>
          </cell>
          <cell r="O1545" t="str">
            <v/>
          </cell>
          <cell r="P1545" t="str">
            <v/>
          </cell>
          <cell r="Q1545" t="str">
            <v/>
          </cell>
          <cell r="R1545" t="str">
            <v/>
          </cell>
          <cell r="S1545" t="str">
            <v/>
          </cell>
          <cell r="T1545" t="str">
            <v/>
          </cell>
          <cell r="U1545" t="str">
            <v/>
          </cell>
          <cell r="V1545" t="str">
            <v>N52</v>
          </cell>
          <cell r="W1545" t="str">
            <v/>
          </cell>
          <cell r="X1545" t="str">
            <v/>
          </cell>
          <cell r="Y1545" t="str">
            <v/>
          </cell>
          <cell r="Z1545" t="str">
            <v/>
          </cell>
          <cell r="AA1545" t="str">
            <v/>
          </cell>
          <cell r="AB1545" t="str">
            <v>PA_5001620-UA.7004-3</v>
          </cell>
          <cell r="AC1545">
            <v>1</v>
          </cell>
          <cell r="AD1545" t="str">
            <v/>
          </cell>
          <cell r="AE1545">
            <v>0</v>
          </cell>
          <cell r="AF1545" t="str">
            <v/>
          </cell>
          <cell r="AG1545" t="str">
            <v>12622137</v>
          </cell>
          <cell r="AH1545">
            <v>44951.959120370368</v>
          </cell>
          <cell r="AI1545" t="str">
            <v>N52</v>
          </cell>
          <cell r="AJ1545" t="str">
            <v>F</v>
          </cell>
          <cell r="AK1545" t="str">
            <v/>
          </cell>
        </row>
        <row r="1546">
          <cell r="A1546" t="str">
            <v>12631610829051</v>
          </cell>
          <cell r="B1546" t="str">
            <v>Übergabe Task Force</v>
          </cell>
          <cell r="C1546" t="e">
            <v>#N/A</v>
          </cell>
          <cell r="D1546" t="str">
            <v>EK65</v>
          </cell>
          <cell r="E1546" t="str">
            <v>704215</v>
          </cell>
          <cell r="F1546" t="str">
            <v>E</v>
          </cell>
          <cell r="G1546" t="str">
            <v>12631610</v>
          </cell>
          <cell r="H1546" t="str">
            <v>Halter Automatenabdeckung vollst.</v>
          </cell>
          <cell r="I1546">
            <v>80</v>
          </cell>
          <cell r="J1546" t="str">
            <v>Stk</v>
          </cell>
          <cell r="K1546">
            <v>45261</v>
          </cell>
          <cell r="L1546" t="str">
            <v>829051</v>
          </cell>
          <cell r="M1546" t="str">
            <v/>
          </cell>
          <cell r="N1546" t="str">
            <v/>
          </cell>
          <cell r="O1546" t="str">
            <v/>
          </cell>
          <cell r="P1546" t="str">
            <v/>
          </cell>
          <cell r="Q1546" t="str">
            <v/>
          </cell>
          <cell r="R1546" t="str">
            <v/>
          </cell>
          <cell r="S1546" t="str">
            <v/>
          </cell>
          <cell r="T1546" t="str">
            <v/>
          </cell>
          <cell r="U1546" t="str">
            <v/>
          </cell>
          <cell r="V1546" t="str">
            <v>N52</v>
          </cell>
          <cell r="W1546" t="str">
            <v/>
          </cell>
          <cell r="X1546" t="str">
            <v/>
          </cell>
          <cell r="Y1546" t="str">
            <v/>
          </cell>
          <cell r="Z1546" t="str">
            <v/>
          </cell>
          <cell r="AA1546" t="str">
            <v/>
          </cell>
          <cell r="AB1546" t="str">
            <v>PA_5105779-TB.7004-4</v>
          </cell>
          <cell r="AC1546">
            <v>1</v>
          </cell>
          <cell r="AD1546" t="str">
            <v/>
          </cell>
          <cell r="AE1546">
            <v>0</v>
          </cell>
          <cell r="AF1546" t="str">
            <v/>
          </cell>
          <cell r="AG1546" t="str">
            <v>12631610</v>
          </cell>
          <cell r="AH1546">
            <v>44951.959178240744</v>
          </cell>
          <cell r="AI1546" t="str">
            <v>N52</v>
          </cell>
          <cell r="AJ1546" t="str">
            <v>F</v>
          </cell>
          <cell r="AK1546" t="str">
            <v/>
          </cell>
        </row>
        <row r="1547">
          <cell r="A1547" t="str">
            <v>12631612829051</v>
          </cell>
          <cell r="B1547" t="str">
            <v>Übergabe Task Force</v>
          </cell>
          <cell r="C1547" t="e">
            <v>#N/A</v>
          </cell>
          <cell r="D1547" t="str">
            <v>EK65</v>
          </cell>
          <cell r="E1547" t="str">
            <v>704216</v>
          </cell>
          <cell r="F1547" t="str">
            <v>E</v>
          </cell>
          <cell r="G1547" t="str">
            <v>12631612</v>
          </cell>
          <cell r="H1547" t="str">
            <v>Halter Automatenabdeckung vollst.</v>
          </cell>
          <cell r="I1547">
            <v>80</v>
          </cell>
          <cell r="J1547" t="str">
            <v>Stk</v>
          </cell>
          <cell r="K1547">
            <v>45261</v>
          </cell>
          <cell r="L1547" t="str">
            <v>829051</v>
          </cell>
          <cell r="M1547" t="str">
            <v/>
          </cell>
          <cell r="N1547" t="str">
            <v/>
          </cell>
          <cell r="O1547" t="str">
            <v/>
          </cell>
          <cell r="P1547" t="str">
            <v/>
          </cell>
          <cell r="Q1547" t="str">
            <v/>
          </cell>
          <cell r="R1547" t="str">
            <v/>
          </cell>
          <cell r="S1547" t="str">
            <v/>
          </cell>
          <cell r="T1547" t="str">
            <v/>
          </cell>
          <cell r="U1547" t="str">
            <v/>
          </cell>
          <cell r="V1547" t="str">
            <v>N52</v>
          </cell>
          <cell r="W1547" t="str">
            <v/>
          </cell>
          <cell r="X1547" t="str">
            <v/>
          </cell>
          <cell r="Y1547" t="str">
            <v/>
          </cell>
          <cell r="Z1547" t="str">
            <v/>
          </cell>
          <cell r="AA1547" t="str">
            <v/>
          </cell>
          <cell r="AB1547" t="str">
            <v>PA_5105796-TB.7004-4</v>
          </cell>
          <cell r="AC1547">
            <v>1</v>
          </cell>
          <cell r="AD1547" t="str">
            <v/>
          </cell>
          <cell r="AE1547">
            <v>0</v>
          </cell>
          <cell r="AF1547" t="str">
            <v/>
          </cell>
          <cell r="AG1547" t="str">
            <v>12631612</v>
          </cell>
          <cell r="AH1547">
            <v>44951.959201388891</v>
          </cell>
          <cell r="AI1547" t="str">
            <v>N52</v>
          </cell>
          <cell r="AJ1547" t="str">
            <v>F</v>
          </cell>
          <cell r="AK1547" t="str">
            <v/>
          </cell>
        </row>
        <row r="1548">
          <cell r="A1548" t="str">
            <v>1384338829051</v>
          </cell>
          <cell r="B1548" t="str">
            <v>Übergabe Task Force</v>
          </cell>
          <cell r="C1548">
            <v>21</v>
          </cell>
          <cell r="D1548" t="str">
            <v>EK65</v>
          </cell>
          <cell r="E1548" t="str">
            <v>704235</v>
          </cell>
          <cell r="F1548" t="str">
            <v>E</v>
          </cell>
          <cell r="G1548" t="str">
            <v>1384338</v>
          </cell>
          <cell r="H1548" t="str">
            <v>Griffblech E24</v>
          </cell>
          <cell r="I1548">
            <v>3091</v>
          </cell>
          <cell r="J1548" t="str">
            <v>Stk</v>
          </cell>
          <cell r="K1548">
            <v>45253</v>
          </cell>
          <cell r="L1548" t="str">
            <v>829051</v>
          </cell>
          <cell r="M1548" t="str">
            <v/>
          </cell>
          <cell r="N1548" t="str">
            <v/>
          </cell>
          <cell r="O1548" t="str">
            <v/>
          </cell>
          <cell r="P1548" t="str">
            <v/>
          </cell>
          <cell r="Q1548" t="str">
            <v/>
          </cell>
          <cell r="R1548" t="str">
            <v/>
          </cell>
          <cell r="S1548" t="str">
            <v/>
          </cell>
          <cell r="T1548" t="str">
            <v/>
          </cell>
          <cell r="U1548" t="str">
            <v/>
          </cell>
          <cell r="V1548" t="str">
            <v>N38</v>
          </cell>
          <cell r="W1548" t="str">
            <v/>
          </cell>
          <cell r="X1548" t="str">
            <v/>
          </cell>
          <cell r="Y1548" t="str">
            <v/>
          </cell>
          <cell r="Z1548" t="str">
            <v/>
          </cell>
          <cell r="AA1548" t="str">
            <v/>
          </cell>
          <cell r="AB1548" t="str">
            <v>PA_2278268-UA.6005-1</v>
          </cell>
          <cell r="AC1548">
            <v>1</v>
          </cell>
          <cell r="AD1548" t="str">
            <v/>
          </cell>
          <cell r="AE1548">
            <v>0</v>
          </cell>
          <cell r="AF1548" t="str">
            <v/>
          </cell>
          <cell r="AG1548" t="str">
            <v>1384338</v>
          </cell>
          <cell r="AH1548">
            <v>44951.959594907406</v>
          </cell>
          <cell r="AI1548" t="str">
            <v>N38</v>
          </cell>
          <cell r="AJ1548" t="str">
            <v>F</v>
          </cell>
          <cell r="AK1548" t="str">
            <v/>
          </cell>
        </row>
        <row r="1549">
          <cell r="A1549" t="str">
            <v>1384338829052</v>
          </cell>
          <cell r="B1549" t="str">
            <v>Übergabe Task Force</v>
          </cell>
          <cell r="C1549">
            <v>21</v>
          </cell>
          <cell r="D1549" t="str">
            <v>EK65</v>
          </cell>
          <cell r="E1549" t="str">
            <v>704236</v>
          </cell>
          <cell r="F1549" t="str">
            <v>E</v>
          </cell>
          <cell r="G1549" t="str">
            <v>1384338</v>
          </cell>
          <cell r="H1549" t="str">
            <v>Griffblech E24</v>
          </cell>
          <cell r="I1549">
            <v>970</v>
          </cell>
          <cell r="J1549" t="str">
            <v>Stk</v>
          </cell>
          <cell r="K1549">
            <v>45316</v>
          </cell>
          <cell r="L1549" t="str">
            <v>829052</v>
          </cell>
          <cell r="M1549" t="str">
            <v/>
          </cell>
          <cell r="N1549" t="str">
            <v/>
          </cell>
          <cell r="O1549" t="str">
            <v/>
          </cell>
          <cell r="P1549" t="str">
            <v/>
          </cell>
          <cell r="Q1549" t="str">
            <v/>
          </cell>
          <cell r="R1549" t="str">
            <v/>
          </cell>
          <cell r="S1549" t="str">
            <v/>
          </cell>
          <cell r="T1549" t="str">
            <v/>
          </cell>
          <cell r="U1549" t="str">
            <v/>
          </cell>
          <cell r="V1549" t="str">
            <v>N38</v>
          </cell>
          <cell r="W1549" t="str">
            <v/>
          </cell>
          <cell r="X1549" t="str">
            <v/>
          </cell>
          <cell r="Y1549" t="str">
            <v/>
          </cell>
          <cell r="Z1549" t="str">
            <v/>
          </cell>
          <cell r="AA1549" t="str">
            <v/>
          </cell>
          <cell r="AB1549" t="str">
            <v>PA_2278268-UA.6005-1</v>
          </cell>
          <cell r="AC1549">
            <v>1</v>
          </cell>
          <cell r="AD1549" t="str">
            <v/>
          </cell>
          <cell r="AE1549">
            <v>0</v>
          </cell>
          <cell r="AF1549" t="str">
            <v/>
          </cell>
          <cell r="AG1549" t="str">
            <v>1384338</v>
          </cell>
          <cell r="AH1549">
            <v>44951.959606481483</v>
          </cell>
          <cell r="AI1549" t="str">
            <v>N38</v>
          </cell>
          <cell r="AJ1549" t="str">
            <v>F</v>
          </cell>
          <cell r="AK1549" t="str">
            <v/>
          </cell>
        </row>
        <row r="1550">
          <cell r="A1550" t="str">
            <v>1841891829054</v>
          </cell>
          <cell r="B1550" t="str">
            <v>Übergabe Task Force</v>
          </cell>
          <cell r="C1550">
            <v>24</v>
          </cell>
          <cell r="D1550" t="str">
            <v>EK65</v>
          </cell>
          <cell r="E1550" t="str">
            <v>704266</v>
          </cell>
          <cell r="F1550" t="str">
            <v>E</v>
          </cell>
          <cell r="G1550" t="str">
            <v>1841891</v>
          </cell>
          <cell r="H1550" t="str">
            <v>Griffblech E6</v>
          </cell>
          <cell r="I1550">
            <v>93</v>
          </cell>
          <cell r="J1550" t="str">
            <v>Stk</v>
          </cell>
          <cell r="K1550">
            <v>45268</v>
          </cell>
          <cell r="L1550" t="str">
            <v>829054</v>
          </cell>
          <cell r="M1550" t="str">
            <v/>
          </cell>
          <cell r="N1550" t="str">
            <v/>
          </cell>
          <cell r="O1550" t="str">
            <v/>
          </cell>
          <cell r="P1550" t="str">
            <v/>
          </cell>
          <cell r="Q1550" t="str">
            <v/>
          </cell>
          <cell r="R1550" t="str">
            <v/>
          </cell>
          <cell r="S1550" t="str">
            <v/>
          </cell>
          <cell r="T1550" t="str">
            <v/>
          </cell>
          <cell r="U1550" t="str">
            <v/>
          </cell>
          <cell r="V1550" t="str">
            <v>N38</v>
          </cell>
          <cell r="W1550" t="str">
            <v/>
          </cell>
          <cell r="X1550" t="str">
            <v/>
          </cell>
          <cell r="Y1550" t="str">
            <v/>
          </cell>
          <cell r="Z1550" t="str">
            <v/>
          </cell>
          <cell r="AA1550" t="str">
            <v/>
          </cell>
          <cell r="AB1550" t="str">
            <v>PA_2308240-UA.3046-1</v>
          </cell>
          <cell r="AC1550">
            <v>1</v>
          </cell>
          <cell r="AD1550" t="str">
            <v/>
          </cell>
          <cell r="AE1550">
            <v>0</v>
          </cell>
          <cell r="AF1550" t="str">
            <v/>
          </cell>
          <cell r="AG1550" t="str">
            <v>1841891</v>
          </cell>
          <cell r="AH1550">
            <v>44951.960405092592</v>
          </cell>
          <cell r="AI1550" t="str">
            <v>N38</v>
          </cell>
          <cell r="AJ1550" t="str">
            <v>F</v>
          </cell>
          <cell r="AK1550" t="str">
            <v>A</v>
          </cell>
        </row>
        <row r="1551">
          <cell r="A1551" t="str">
            <v>1841891829052</v>
          </cell>
          <cell r="B1551" t="str">
            <v>Übergabe Task Force</v>
          </cell>
          <cell r="C1551">
            <v>24</v>
          </cell>
          <cell r="D1551" t="str">
            <v>EK65</v>
          </cell>
          <cell r="E1551" t="str">
            <v>704267</v>
          </cell>
          <cell r="F1551" t="str">
            <v>E</v>
          </cell>
          <cell r="G1551" t="str">
            <v>1841891</v>
          </cell>
          <cell r="H1551" t="str">
            <v>Griffblech E6</v>
          </cell>
          <cell r="I1551">
            <v>203</v>
          </cell>
          <cell r="J1551" t="str">
            <v>Stk</v>
          </cell>
          <cell r="K1551">
            <v>45681</v>
          </cell>
          <cell r="L1551" t="str">
            <v>829052</v>
          </cell>
          <cell r="M1551" t="str">
            <v/>
          </cell>
          <cell r="N1551" t="str">
            <v/>
          </cell>
          <cell r="O1551" t="str">
            <v/>
          </cell>
          <cell r="P1551" t="str">
            <v/>
          </cell>
          <cell r="Q1551" t="str">
            <v/>
          </cell>
          <cell r="R1551" t="str">
            <v/>
          </cell>
          <cell r="S1551" t="str">
            <v/>
          </cell>
          <cell r="T1551" t="str">
            <v/>
          </cell>
          <cell r="U1551" t="str">
            <v/>
          </cell>
          <cell r="V1551" t="str">
            <v>N38</v>
          </cell>
          <cell r="W1551" t="str">
            <v/>
          </cell>
          <cell r="X1551" t="str">
            <v/>
          </cell>
          <cell r="Y1551" t="str">
            <v/>
          </cell>
          <cell r="Z1551" t="str">
            <v/>
          </cell>
          <cell r="AA1551" t="str">
            <v/>
          </cell>
          <cell r="AB1551" t="str">
            <v>PA_2308240-UA.3046-1</v>
          </cell>
          <cell r="AC1551">
            <v>1</v>
          </cell>
          <cell r="AD1551" t="str">
            <v/>
          </cell>
          <cell r="AE1551">
            <v>0</v>
          </cell>
          <cell r="AF1551" t="str">
            <v/>
          </cell>
          <cell r="AG1551" t="str">
            <v>1841891</v>
          </cell>
          <cell r="AH1551">
            <v>44951.960405092592</v>
          </cell>
          <cell r="AI1551" t="str">
            <v>N38</v>
          </cell>
          <cell r="AJ1551" t="str">
            <v>F</v>
          </cell>
          <cell r="AK1551" t="str">
            <v>A</v>
          </cell>
        </row>
        <row r="1552">
          <cell r="A1552" t="str">
            <v>1841904829051</v>
          </cell>
          <cell r="B1552" t="str">
            <v>Übergabe Task Force</v>
          </cell>
          <cell r="C1552">
            <v>12</v>
          </cell>
          <cell r="D1552" t="str">
            <v>EK65</v>
          </cell>
          <cell r="E1552" t="str">
            <v>704268</v>
          </cell>
          <cell r="F1552" t="str">
            <v>E</v>
          </cell>
          <cell r="G1552" t="str">
            <v>1841904</v>
          </cell>
          <cell r="H1552" t="str">
            <v>Griffblech E10</v>
          </cell>
          <cell r="I1552">
            <v>92</v>
          </cell>
          <cell r="J1552" t="str">
            <v>Stk</v>
          </cell>
          <cell r="K1552">
            <v>45168</v>
          </cell>
          <cell r="L1552" t="str">
            <v>829051</v>
          </cell>
          <cell r="M1552" t="str">
            <v/>
          </cell>
          <cell r="N1552" t="str">
            <v/>
          </cell>
          <cell r="O1552" t="str">
            <v/>
          </cell>
          <cell r="P1552" t="str">
            <v/>
          </cell>
          <cell r="Q1552" t="str">
            <v/>
          </cell>
          <cell r="R1552" t="str">
            <v/>
          </cell>
          <cell r="S1552" t="str">
            <v/>
          </cell>
          <cell r="T1552" t="str">
            <v/>
          </cell>
          <cell r="U1552" t="str">
            <v/>
          </cell>
          <cell r="V1552" t="str">
            <v>N38</v>
          </cell>
          <cell r="W1552" t="str">
            <v/>
          </cell>
          <cell r="X1552" t="str">
            <v/>
          </cell>
          <cell r="Y1552" t="str">
            <v/>
          </cell>
          <cell r="Z1552" t="str">
            <v/>
          </cell>
          <cell r="AA1552" t="str">
            <v/>
          </cell>
          <cell r="AB1552" t="str">
            <v>PA_2308221-UA.3046-1</v>
          </cell>
          <cell r="AC1552">
            <v>1</v>
          </cell>
          <cell r="AD1552" t="str">
            <v/>
          </cell>
          <cell r="AE1552">
            <v>0</v>
          </cell>
          <cell r="AF1552" t="str">
            <v/>
          </cell>
          <cell r="AG1552" t="str">
            <v>1841904</v>
          </cell>
          <cell r="AH1552">
            <v>44951.960439814815</v>
          </cell>
          <cell r="AI1552" t="str">
            <v>N38</v>
          </cell>
          <cell r="AJ1552" t="str">
            <v>F</v>
          </cell>
          <cell r="AK1552" t="str">
            <v/>
          </cell>
        </row>
        <row r="1553">
          <cell r="A1553" t="str">
            <v>1841915829053</v>
          </cell>
          <cell r="B1553" t="str">
            <v>Übergabe Task Force</v>
          </cell>
          <cell r="C1553" t="e">
            <v>#N/A</v>
          </cell>
          <cell r="D1553" t="str">
            <v>EK65</v>
          </cell>
          <cell r="E1553" t="str">
            <v>704269</v>
          </cell>
          <cell r="F1553" t="str">
            <v>E</v>
          </cell>
          <cell r="G1553" t="str">
            <v>1841915</v>
          </cell>
          <cell r="H1553" t="str">
            <v>Griffblech E16</v>
          </cell>
          <cell r="I1553">
            <v>13</v>
          </cell>
          <cell r="J1553" t="str">
            <v>Stk</v>
          </cell>
          <cell r="K1553">
            <v>45232</v>
          </cell>
          <cell r="L1553" t="str">
            <v>829053</v>
          </cell>
          <cell r="M1553" t="str">
            <v/>
          </cell>
          <cell r="N1553" t="str">
            <v/>
          </cell>
          <cell r="O1553" t="str">
            <v/>
          </cell>
          <cell r="P1553" t="str">
            <v/>
          </cell>
          <cell r="Q1553" t="str">
            <v/>
          </cell>
          <cell r="R1553" t="str">
            <v/>
          </cell>
          <cell r="S1553" t="str">
            <v/>
          </cell>
          <cell r="T1553" t="str">
            <v/>
          </cell>
          <cell r="U1553" t="str">
            <v/>
          </cell>
          <cell r="V1553" t="str">
            <v>N38</v>
          </cell>
          <cell r="W1553" t="str">
            <v/>
          </cell>
          <cell r="X1553" t="str">
            <v/>
          </cell>
          <cell r="Y1553" t="str">
            <v/>
          </cell>
          <cell r="Z1553" t="str">
            <v/>
          </cell>
          <cell r="AA1553" t="str">
            <v/>
          </cell>
          <cell r="AB1553" t="str">
            <v>PA_2308210-UA.3046-1</v>
          </cell>
          <cell r="AC1553">
            <v>1</v>
          </cell>
          <cell r="AD1553" t="str">
            <v/>
          </cell>
          <cell r="AE1553">
            <v>0</v>
          </cell>
          <cell r="AF1553" t="str">
            <v/>
          </cell>
          <cell r="AG1553" t="str">
            <v>1841915</v>
          </cell>
          <cell r="AH1553">
            <v>44951.960462962961</v>
          </cell>
          <cell r="AI1553" t="str">
            <v>N38</v>
          </cell>
          <cell r="AJ1553" t="str">
            <v>F</v>
          </cell>
          <cell r="AK1553" t="str">
            <v/>
          </cell>
        </row>
        <row r="1554">
          <cell r="A1554" t="str">
            <v>2000175829054</v>
          </cell>
          <cell r="B1554" t="str">
            <v>Übergabe Task Force</v>
          </cell>
          <cell r="C1554">
            <v>20</v>
          </cell>
          <cell r="D1554" t="str">
            <v>EK65</v>
          </cell>
          <cell r="E1554" t="str">
            <v>704275</v>
          </cell>
          <cell r="F1554" t="str">
            <v>E</v>
          </cell>
          <cell r="G1554" t="str">
            <v>2000175</v>
          </cell>
          <cell r="H1554" t="str">
            <v>Erdungsblech</v>
          </cell>
          <cell r="I1554">
            <v>102</v>
          </cell>
          <cell r="J1554" t="str">
            <v>Stk</v>
          </cell>
          <cell r="K1554">
            <v>45154</v>
          </cell>
          <cell r="L1554" t="str">
            <v>829054</v>
          </cell>
          <cell r="M1554" t="str">
            <v/>
          </cell>
          <cell r="N1554" t="str">
            <v/>
          </cell>
          <cell r="O1554" t="str">
            <v/>
          </cell>
          <cell r="P1554" t="str">
            <v/>
          </cell>
          <cell r="Q1554" t="str">
            <v/>
          </cell>
          <cell r="R1554" t="str">
            <v/>
          </cell>
          <cell r="S1554" t="str">
            <v/>
          </cell>
          <cell r="T1554" t="str">
            <v/>
          </cell>
          <cell r="U1554" t="str">
            <v/>
          </cell>
          <cell r="V1554" t="str">
            <v>N52</v>
          </cell>
          <cell r="W1554" t="str">
            <v/>
          </cell>
          <cell r="X1554" t="str">
            <v/>
          </cell>
          <cell r="Y1554" t="str">
            <v/>
          </cell>
          <cell r="Z1554" t="str">
            <v/>
          </cell>
          <cell r="AA1554" t="str">
            <v/>
          </cell>
          <cell r="AB1554" t="str">
            <v>PA_2137856-UF.7001-4</v>
          </cell>
          <cell r="AC1554">
            <v>1</v>
          </cell>
          <cell r="AD1554" t="str">
            <v/>
          </cell>
          <cell r="AE1554">
            <v>0</v>
          </cell>
          <cell r="AF1554" t="str">
            <v/>
          </cell>
          <cell r="AG1554" t="str">
            <v>2000175</v>
          </cell>
          <cell r="AH1554">
            <v>44951.960613425923</v>
          </cell>
          <cell r="AI1554" t="str">
            <v>N52</v>
          </cell>
          <cell r="AJ1554" t="str">
            <v>F</v>
          </cell>
          <cell r="AK1554" t="str">
            <v/>
          </cell>
        </row>
        <row r="1555">
          <cell r="A1555" t="str">
            <v>2000175829051</v>
          </cell>
          <cell r="B1555" t="str">
            <v>Übergabe Task Force</v>
          </cell>
          <cell r="C1555">
            <v>20</v>
          </cell>
          <cell r="D1555" t="str">
            <v>EK65</v>
          </cell>
          <cell r="E1555" t="str">
            <v>704276</v>
          </cell>
          <cell r="F1555" t="str">
            <v>E</v>
          </cell>
          <cell r="G1555" t="str">
            <v>2000175</v>
          </cell>
          <cell r="H1555" t="str">
            <v>Erdungsblech</v>
          </cell>
          <cell r="I1555">
            <v>930</v>
          </cell>
          <cell r="J1555" t="str">
            <v>Stk</v>
          </cell>
          <cell r="K1555">
            <v>45233</v>
          </cell>
          <cell r="L1555" t="str">
            <v>829051</v>
          </cell>
          <cell r="M1555" t="str">
            <v/>
          </cell>
          <cell r="N1555" t="str">
            <v/>
          </cell>
          <cell r="O1555" t="str">
            <v/>
          </cell>
          <cell r="P1555" t="str">
            <v/>
          </cell>
          <cell r="Q1555" t="str">
            <v/>
          </cell>
          <cell r="R1555" t="str">
            <v/>
          </cell>
          <cell r="S1555" t="str">
            <v/>
          </cell>
          <cell r="T1555" t="str">
            <v/>
          </cell>
          <cell r="U1555" t="str">
            <v/>
          </cell>
          <cell r="V1555" t="str">
            <v>N52</v>
          </cell>
          <cell r="W1555" t="str">
            <v/>
          </cell>
          <cell r="X1555" t="str">
            <v/>
          </cell>
          <cell r="Y1555" t="str">
            <v/>
          </cell>
          <cell r="Z1555" t="str">
            <v/>
          </cell>
          <cell r="AA1555" t="str">
            <v/>
          </cell>
          <cell r="AB1555" t="str">
            <v>PA_2137856-UF.7001-4</v>
          </cell>
          <cell r="AC1555">
            <v>1</v>
          </cell>
          <cell r="AD1555" t="str">
            <v/>
          </cell>
          <cell r="AE1555">
            <v>0</v>
          </cell>
          <cell r="AF1555" t="str">
            <v/>
          </cell>
          <cell r="AG1555" t="str">
            <v>2000175</v>
          </cell>
          <cell r="AH1555">
            <v>44951.960613425923</v>
          </cell>
          <cell r="AI1555" t="str">
            <v>N52</v>
          </cell>
          <cell r="AJ1555" t="str">
            <v>F</v>
          </cell>
          <cell r="AK1555" t="str">
            <v/>
          </cell>
        </row>
        <row r="1556">
          <cell r="A1556" t="str">
            <v>2000175829052</v>
          </cell>
          <cell r="B1556">
            <v>0</v>
          </cell>
          <cell r="C1556">
            <v>20</v>
          </cell>
          <cell r="D1556" t="str">
            <v>EK65</v>
          </cell>
          <cell r="E1556" t="str">
            <v>704277</v>
          </cell>
          <cell r="F1556" t="str">
            <v>E</v>
          </cell>
          <cell r="G1556" t="str">
            <v>2000175</v>
          </cell>
          <cell r="H1556" t="str">
            <v>Erdungsblech</v>
          </cell>
          <cell r="I1556">
            <v>311</v>
          </cell>
          <cell r="J1556" t="str">
            <v>Stk</v>
          </cell>
          <cell r="K1556">
            <v>45253</v>
          </cell>
          <cell r="L1556" t="str">
            <v>829052</v>
          </cell>
          <cell r="M1556" t="str">
            <v/>
          </cell>
          <cell r="N1556" t="str">
            <v/>
          </cell>
          <cell r="O1556" t="str">
            <v/>
          </cell>
          <cell r="P1556" t="str">
            <v/>
          </cell>
          <cell r="Q1556" t="str">
            <v/>
          </cell>
          <cell r="R1556" t="str">
            <v/>
          </cell>
          <cell r="S1556" t="str">
            <v/>
          </cell>
          <cell r="T1556" t="str">
            <v/>
          </cell>
          <cell r="U1556" t="str">
            <v/>
          </cell>
          <cell r="V1556" t="str">
            <v>N52</v>
          </cell>
          <cell r="W1556" t="str">
            <v/>
          </cell>
          <cell r="X1556" t="str">
            <v/>
          </cell>
          <cell r="Y1556" t="str">
            <v/>
          </cell>
          <cell r="Z1556" t="str">
            <v/>
          </cell>
          <cell r="AA1556" t="str">
            <v/>
          </cell>
          <cell r="AB1556" t="str">
            <v>PA_2137856-UF.7001-4</v>
          </cell>
          <cell r="AC1556">
            <v>1</v>
          </cell>
          <cell r="AD1556" t="str">
            <v/>
          </cell>
          <cell r="AE1556">
            <v>0</v>
          </cell>
          <cell r="AF1556" t="str">
            <v/>
          </cell>
          <cell r="AG1556" t="str">
            <v>2000175</v>
          </cell>
          <cell r="AH1556">
            <v>44951.960613425923</v>
          </cell>
          <cell r="AI1556" t="str">
            <v>N52</v>
          </cell>
          <cell r="AJ1556" t="str">
            <v>F</v>
          </cell>
          <cell r="AK1556" t="str">
            <v/>
          </cell>
        </row>
        <row r="1557">
          <cell r="A1557" t="str">
            <v>6056454829053</v>
          </cell>
          <cell r="B1557">
            <v>0</v>
          </cell>
          <cell r="C1557">
            <v>5</v>
          </cell>
          <cell r="D1557" t="str">
            <v>EK65</v>
          </cell>
          <cell r="E1557" t="str">
            <v>704476</v>
          </cell>
          <cell r="F1557" t="str">
            <v>E</v>
          </cell>
          <cell r="G1557" t="str">
            <v>6056454</v>
          </cell>
          <cell r="H1557" t="str">
            <v>WINKEL</v>
          </cell>
          <cell r="I1557">
            <v>102</v>
          </cell>
          <cell r="J1557" t="str">
            <v>Stk</v>
          </cell>
          <cell r="K1557">
            <v>45086</v>
          </cell>
          <cell r="L1557" t="str">
            <v>829053</v>
          </cell>
          <cell r="M1557" t="str">
            <v/>
          </cell>
          <cell r="N1557" t="str">
            <v/>
          </cell>
          <cell r="O1557" t="str">
            <v/>
          </cell>
          <cell r="P1557" t="str">
            <v/>
          </cell>
          <cell r="Q1557" t="str">
            <v/>
          </cell>
          <cell r="R1557" t="str">
            <v/>
          </cell>
          <cell r="S1557" t="str">
            <v/>
          </cell>
          <cell r="T1557" t="str">
            <v/>
          </cell>
          <cell r="U1557" t="str">
            <v/>
          </cell>
          <cell r="V1557" t="str">
            <v>N52</v>
          </cell>
          <cell r="W1557" t="str">
            <v/>
          </cell>
          <cell r="X1557" t="str">
            <v/>
          </cell>
          <cell r="Y1557" t="str">
            <v/>
          </cell>
          <cell r="Z1557" t="str">
            <v/>
          </cell>
          <cell r="AA1557" t="str">
            <v/>
          </cell>
          <cell r="AB1557" t="str">
            <v>PA_2022337-TB.7000-3</v>
          </cell>
          <cell r="AC1557">
            <v>1</v>
          </cell>
          <cell r="AD1557" t="str">
            <v/>
          </cell>
          <cell r="AE1557">
            <v>0</v>
          </cell>
          <cell r="AF1557" t="str">
            <v/>
          </cell>
          <cell r="AG1557" t="str">
            <v>6056454</v>
          </cell>
          <cell r="AH1557">
            <v>44951.967592592591</v>
          </cell>
          <cell r="AI1557" t="str">
            <v>N52</v>
          </cell>
          <cell r="AJ1557" t="str">
            <v>F</v>
          </cell>
          <cell r="AK1557" t="str">
            <v/>
          </cell>
        </row>
        <row r="1558">
          <cell r="A1558" t="str">
            <v>1313565</v>
          </cell>
          <cell r="B1558">
            <v>0</v>
          </cell>
          <cell r="C1558" t="e">
            <v>#N/A</v>
          </cell>
          <cell r="D1558" t="str">
            <v>EK65</v>
          </cell>
          <cell r="E1558" t="str">
            <v>704639</v>
          </cell>
          <cell r="F1558" t="str">
            <v>B</v>
          </cell>
          <cell r="G1558" t="str">
            <v>1313565</v>
          </cell>
          <cell r="H1558" t="str">
            <v>Dehnhuelse M16 / 30mm</v>
          </cell>
          <cell r="I1558">
            <v>72</v>
          </cell>
          <cell r="J1558" t="str">
            <v>Stk</v>
          </cell>
          <cell r="K1558">
            <v>44954</v>
          </cell>
          <cell r="L1558" t="str">
            <v/>
          </cell>
          <cell r="M1558" t="str">
            <v/>
          </cell>
          <cell r="N1558" t="str">
            <v/>
          </cell>
          <cell r="O1558" t="str">
            <v/>
          </cell>
          <cell r="P1558" t="str">
            <v/>
          </cell>
          <cell r="Q1558" t="str">
            <v/>
          </cell>
          <cell r="R1558" t="str">
            <v/>
          </cell>
          <cell r="S1558" t="str">
            <v/>
          </cell>
          <cell r="T1558" t="str">
            <v/>
          </cell>
          <cell r="U1558" t="str">
            <v/>
          </cell>
          <cell r="V1558" t="str">
            <v>N52</v>
          </cell>
          <cell r="W1558" t="str">
            <v/>
          </cell>
          <cell r="X1558" t="str">
            <v/>
          </cell>
          <cell r="Y1558" t="str">
            <v/>
          </cell>
          <cell r="Z1558" t="str">
            <v/>
          </cell>
          <cell r="AA1558" t="str">
            <v/>
          </cell>
          <cell r="AB1558" t="str">
            <v>PA_2174282-UA.7500-4</v>
          </cell>
          <cell r="AC1558">
            <v>4</v>
          </cell>
          <cell r="AD1558" t="str">
            <v/>
          </cell>
          <cell r="AE1558">
            <v>0</v>
          </cell>
          <cell r="AF1558" t="str">
            <v/>
          </cell>
          <cell r="AG1558" t="str">
            <v>1313565</v>
          </cell>
          <cell r="AH1558">
            <v>44952.835324074076</v>
          </cell>
          <cell r="AI1558" t="str">
            <v>N52</v>
          </cell>
          <cell r="AJ1558" t="str">
            <v>F</v>
          </cell>
          <cell r="AK1558" t="str">
            <v/>
          </cell>
        </row>
        <row r="1559">
          <cell r="A1559" t="str">
            <v>70000494828521</v>
          </cell>
          <cell r="B1559" t="str">
            <v>BL20230418-1</v>
          </cell>
          <cell r="C1559" t="e">
            <v>#N/A</v>
          </cell>
          <cell r="D1559" t="str">
            <v>EK65</v>
          </cell>
          <cell r="E1559" t="str">
            <v>706747</v>
          </cell>
          <cell r="F1559" t="str">
            <v>E</v>
          </cell>
          <cell r="G1559" t="str">
            <v>70000494</v>
          </cell>
          <cell r="H1559" t="str">
            <v>BUFFER SUPPORT</v>
          </cell>
          <cell r="I1559">
            <v>2340</v>
          </cell>
          <cell r="J1559" t="str">
            <v>Stk</v>
          </cell>
          <cell r="K1559">
            <v>45072</v>
          </cell>
          <cell r="L1559" t="str">
            <v>828521</v>
          </cell>
          <cell r="M1559" t="str">
            <v/>
          </cell>
          <cell r="N1559" t="str">
            <v/>
          </cell>
          <cell r="O1559" t="str">
            <v/>
          </cell>
          <cell r="P1559" t="str">
            <v/>
          </cell>
          <cell r="Q1559" t="str">
            <v>X2CRNI12</v>
          </cell>
          <cell r="R1559" t="str">
            <v>EN 10088-96</v>
          </cell>
          <cell r="S1559" t="str">
            <v/>
          </cell>
          <cell r="T1559" t="str">
            <v/>
          </cell>
          <cell r="U1559" t="str">
            <v>BB14535620005</v>
          </cell>
          <cell r="V1559" t="str">
            <v>B00</v>
          </cell>
          <cell r="W1559" t="str">
            <v/>
          </cell>
          <cell r="X1559" t="str">
            <v/>
          </cell>
          <cell r="Y1559" t="str">
            <v/>
          </cell>
          <cell r="Z1559" t="str">
            <v/>
          </cell>
          <cell r="AA1559" t="str">
            <v/>
          </cell>
          <cell r="AB1559" t="str">
            <v>70000494</v>
          </cell>
          <cell r="AC1559">
            <v>1</v>
          </cell>
          <cell r="AD1559" t="str">
            <v/>
          </cell>
          <cell r="AE1559">
            <v>0</v>
          </cell>
          <cell r="AF1559" t="str">
            <v/>
          </cell>
          <cell r="AG1559" t="str">
            <v>70000494</v>
          </cell>
          <cell r="AH1559">
            <v>44960.995520833334</v>
          </cell>
          <cell r="AI1559" t="str">
            <v>B00</v>
          </cell>
          <cell r="AJ1559" t="str">
            <v>F</v>
          </cell>
          <cell r="AK1559" t="str">
            <v>--</v>
          </cell>
        </row>
        <row r="1560">
          <cell r="A1560" t="str">
            <v>0418105</v>
          </cell>
          <cell r="B1560" t="str">
            <v>BL20230412-1</v>
          </cell>
          <cell r="C1560" t="e">
            <v>#N/A</v>
          </cell>
          <cell r="D1560" t="str">
            <v>EK65</v>
          </cell>
          <cell r="E1560" t="str">
            <v>704978</v>
          </cell>
          <cell r="F1560" t="str">
            <v>B</v>
          </cell>
          <cell r="G1560" t="str">
            <v>0418105</v>
          </cell>
          <cell r="H1560" t="str">
            <v>Ausgleichsplatte</v>
          </cell>
          <cell r="I1560">
            <v>10</v>
          </cell>
          <cell r="J1560" t="str">
            <v>Stk</v>
          </cell>
          <cell r="K1560">
            <v>44958</v>
          </cell>
          <cell r="L1560" t="str">
            <v/>
          </cell>
          <cell r="M1560" t="str">
            <v/>
          </cell>
          <cell r="N1560" t="str">
            <v/>
          </cell>
          <cell r="O1560" t="str">
            <v/>
          </cell>
          <cell r="P1560" t="str">
            <v/>
          </cell>
          <cell r="Q1560" t="str">
            <v/>
          </cell>
          <cell r="R1560" t="str">
            <v/>
          </cell>
          <cell r="S1560" t="str">
            <v/>
          </cell>
          <cell r="T1560" t="str">
            <v/>
          </cell>
          <cell r="U1560" t="str">
            <v/>
          </cell>
          <cell r="V1560" t="str">
            <v>N32</v>
          </cell>
          <cell r="W1560" t="str">
            <v/>
          </cell>
          <cell r="X1560" t="str">
            <v/>
          </cell>
          <cell r="Y1560" t="str">
            <v/>
          </cell>
          <cell r="Z1560" t="str">
            <v/>
          </cell>
          <cell r="AA1560" t="str">
            <v/>
          </cell>
          <cell r="AB1560" t="str">
            <v>PA_2186430-BG.7500-3P.3</v>
          </cell>
          <cell r="AC1560">
            <v>4</v>
          </cell>
          <cell r="AD1560" t="str">
            <v/>
          </cell>
          <cell r="AE1560">
            <v>0</v>
          </cell>
          <cell r="AF1560" t="str">
            <v/>
          </cell>
          <cell r="AG1560" t="str">
            <v>0418105</v>
          </cell>
          <cell r="AH1560">
            <v>44956.833969907406</v>
          </cell>
          <cell r="AI1560" t="str">
            <v>N32</v>
          </cell>
          <cell r="AJ1560" t="str">
            <v>F</v>
          </cell>
          <cell r="AK1560" t="str">
            <v>B</v>
          </cell>
        </row>
        <row r="1561">
          <cell r="A1561" t="str">
            <v>0420908</v>
          </cell>
          <cell r="B1561" t="str">
            <v>BL20230413-2</v>
          </cell>
          <cell r="C1561" t="e">
            <v>#N/A</v>
          </cell>
          <cell r="D1561" t="str">
            <v>EK65</v>
          </cell>
          <cell r="E1561" t="str">
            <v>704979</v>
          </cell>
          <cell r="F1561" t="str">
            <v>B</v>
          </cell>
          <cell r="G1561" t="str">
            <v>0420908</v>
          </cell>
          <cell r="H1561" t="str">
            <v>Beilage 2mm</v>
          </cell>
          <cell r="I1561">
            <v>366</v>
          </cell>
          <cell r="J1561" t="str">
            <v>Stk</v>
          </cell>
          <cell r="K1561">
            <v>44958</v>
          </cell>
          <cell r="L1561" t="str">
            <v/>
          </cell>
          <cell r="M1561" t="str">
            <v/>
          </cell>
          <cell r="N1561" t="str">
            <v/>
          </cell>
          <cell r="O1561" t="str">
            <v/>
          </cell>
          <cell r="P1561" t="str">
            <v/>
          </cell>
          <cell r="Q1561" t="str">
            <v/>
          </cell>
          <cell r="R1561" t="str">
            <v/>
          </cell>
          <cell r="S1561" t="str">
            <v/>
          </cell>
          <cell r="T1561" t="str">
            <v/>
          </cell>
          <cell r="U1561" t="str">
            <v/>
          </cell>
          <cell r="V1561" t="str">
            <v>N52</v>
          </cell>
          <cell r="W1561" t="str">
            <v>2.1</v>
          </cell>
          <cell r="X1561" t="str">
            <v/>
          </cell>
          <cell r="Y1561" t="str">
            <v/>
          </cell>
          <cell r="Z1561" t="str">
            <v/>
          </cell>
          <cell r="AA1561" t="str">
            <v/>
          </cell>
          <cell r="AB1561" t="str">
            <v>PA_2171036-CD.7500-4</v>
          </cell>
          <cell r="AC1561">
            <v>4</v>
          </cell>
          <cell r="AD1561" t="str">
            <v/>
          </cell>
          <cell r="AE1561">
            <v>0</v>
          </cell>
          <cell r="AF1561" t="str">
            <v/>
          </cell>
          <cell r="AG1561" t="str">
            <v>0420908</v>
          </cell>
          <cell r="AH1561">
            <v>44956.833969907406</v>
          </cell>
          <cell r="AI1561" t="str">
            <v>N52</v>
          </cell>
          <cell r="AJ1561" t="str">
            <v>F</v>
          </cell>
          <cell r="AK1561" t="str">
            <v/>
          </cell>
        </row>
        <row r="1562">
          <cell r="A1562" t="str">
            <v>4027323</v>
          </cell>
          <cell r="B1562" t="e">
            <v>#N/A</v>
          </cell>
          <cell r="C1562" t="e">
            <v>#N/A</v>
          </cell>
          <cell r="D1562" t="str">
            <v>EK65</v>
          </cell>
          <cell r="E1562" t="str">
            <v>704995</v>
          </cell>
          <cell r="F1562" t="str">
            <v>B</v>
          </cell>
          <cell r="G1562" t="str">
            <v>4027323</v>
          </cell>
          <cell r="H1562" t="str">
            <v>Dehnhuelse L24, D21/9</v>
          </cell>
          <cell r="I1562">
            <v>400</v>
          </cell>
          <cell r="J1562" t="str">
            <v>Stk</v>
          </cell>
          <cell r="K1562">
            <v>44958</v>
          </cell>
          <cell r="L1562" t="str">
            <v/>
          </cell>
          <cell r="M1562" t="str">
            <v/>
          </cell>
          <cell r="N1562" t="str">
            <v/>
          </cell>
          <cell r="O1562" t="str">
            <v/>
          </cell>
          <cell r="P1562" t="str">
            <v/>
          </cell>
          <cell r="Q1562" t="str">
            <v/>
          </cell>
          <cell r="R1562" t="str">
            <v/>
          </cell>
          <cell r="S1562" t="str">
            <v/>
          </cell>
          <cell r="T1562" t="str">
            <v/>
          </cell>
          <cell r="U1562" t="str">
            <v/>
          </cell>
          <cell r="V1562" t="str">
            <v>N32</v>
          </cell>
          <cell r="W1562" t="str">
            <v/>
          </cell>
          <cell r="X1562" t="str">
            <v/>
          </cell>
          <cell r="Y1562" t="str">
            <v/>
          </cell>
          <cell r="Z1562" t="str">
            <v/>
          </cell>
          <cell r="AA1562" t="str">
            <v/>
          </cell>
          <cell r="AB1562" t="str">
            <v>PA_2168996-CF.3034-4</v>
          </cell>
          <cell r="AC1562">
            <v>4</v>
          </cell>
          <cell r="AD1562" t="str">
            <v/>
          </cell>
          <cell r="AE1562">
            <v>0</v>
          </cell>
          <cell r="AF1562" t="str">
            <v/>
          </cell>
          <cell r="AG1562" t="str">
            <v>4027323</v>
          </cell>
          <cell r="AH1562">
            <v>44956.836446759262</v>
          </cell>
          <cell r="AI1562" t="str">
            <v>N32</v>
          </cell>
          <cell r="AJ1562" t="str">
            <v>F</v>
          </cell>
          <cell r="AK1562" t="str">
            <v/>
          </cell>
        </row>
        <row r="1563">
          <cell r="A1563" t="str">
            <v>5664652820541</v>
          </cell>
          <cell r="B1563" t="str">
            <v>Übergabe Task Force</v>
          </cell>
          <cell r="C1563" t="e">
            <v>#N/A</v>
          </cell>
          <cell r="D1563" t="str">
            <v>EK65</v>
          </cell>
          <cell r="E1563" t="str">
            <v>705079</v>
          </cell>
          <cell r="F1563" t="str">
            <v>E</v>
          </cell>
          <cell r="G1563" t="str">
            <v>5664652</v>
          </cell>
          <cell r="H1563" t="str">
            <v>KLEMMBUCHSE ID10,5AD30 H45</v>
          </cell>
          <cell r="I1563">
            <v>836</v>
          </cell>
          <cell r="J1563" t="str">
            <v>Stk</v>
          </cell>
          <cell r="K1563">
            <v>45174</v>
          </cell>
          <cell r="L1563" t="str">
            <v>820541</v>
          </cell>
          <cell r="M1563" t="str">
            <v/>
          </cell>
          <cell r="N1563" t="str">
            <v/>
          </cell>
          <cell r="O1563" t="str">
            <v/>
          </cell>
          <cell r="P1563" t="str">
            <v/>
          </cell>
          <cell r="Q1563" t="str">
            <v/>
          </cell>
          <cell r="R1563" t="str">
            <v/>
          </cell>
          <cell r="S1563" t="str">
            <v/>
          </cell>
          <cell r="T1563" t="str">
            <v/>
          </cell>
          <cell r="U1563" t="str">
            <v/>
          </cell>
          <cell r="V1563" t="str">
            <v>N32</v>
          </cell>
          <cell r="W1563" t="str">
            <v/>
          </cell>
          <cell r="X1563" t="str">
            <v/>
          </cell>
          <cell r="Y1563" t="str">
            <v/>
          </cell>
          <cell r="Z1563" t="str">
            <v/>
          </cell>
          <cell r="AA1563" t="str">
            <v/>
          </cell>
          <cell r="AB1563" t="str">
            <v>PA_1385027-CF.3021-4</v>
          </cell>
          <cell r="AC1563">
            <v>1</v>
          </cell>
          <cell r="AD1563" t="str">
            <v/>
          </cell>
          <cell r="AE1563">
            <v>0</v>
          </cell>
          <cell r="AF1563" t="str">
            <v/>
          </cell>
          <cell r="AG1563" t="str">
            <v>5664652</v>
          </cell>
          <cell r="AH1563">
            <v>44956.912418981483</v>
          </cell>
          <cell r="AI1563" t="str">
            <v>N32</v>
          </cell>
          <cell r="AJ1563" t="str">
            <v>F</v>
          </cell>
          <cell r="AK1563" t="str">
            <v/>
          </cell>
        </row>
        <row r="1564">
          <cell r="A1564" t="str">
            <v>0720539820541</v>
          </cell>
          <cell r="B1564" t="str">
            <v>Übergabe Task Force</v>
          </cell>
          <cell r="C1564" t="e">
            <v>#N/A</v>
          </cell>
          <cell r="D1564" t="str">
            <v>EK65</v>
          </cell>
          <cell r="E1564" t="str">
            <v>705259</v>
          </cell>
          <cell r="F1564" t="str">
            <v>E</v>
          </cell>
          <cell r="G1564" t="str">
            <v>0720539</v>
          </cell>
          <cell r="H1564" t="str">
            <v>Abdeckplatte</v>
          </cell>
          <cell r="I1564">
            <v>44</v>
          </cell>
          <cell r="J1564" t="str">
            <v>Stk</v>
          </cell>
          <cell r="K1564">
            <v>45154</v>
          </cell>
          <cell r="L1564" t="str">
            <v>820541</v>
          </cell>
          <cell r="M1564" t="str">
            <v/>
          </cell>
          <cell r="N1564" t="str">
            <v/>
          </cell>
          <cell r="O1564" t="str">
            <v/>
          </cell>
          <cell r="P1564" t="str">
            <v/>
          </cell>
          <cell r="Q1564" t="str">
            <v/>
          </cell>
          <cell r="R1564" t="str">
            <v/>
          </cell>
          <cell r="S1564" t="str">
            <v/>
          </cell>
          <cell r="T1564" t="str">
            <v/>
          </cell>
          <cell r="U1564" t="str">
            <v/>
          </cell>
          <cell r="V1564" t="str">
            <v>N52</v>
          </cell>
          <cell r="W1564" t="str">
            <v/>
          </cell>
          <cell r="X1564" t="str">
            <v/>
          </cell>
          <cell r="Y1564" t="str">
            <v/>
          </cell>
          <cell r="Z1564" t="str">
            <v/>
          </cell>
          <cell r="AA1564" t="str">
            <v/>
          </cell>
          <cell r="AB1564" t="str">
            <v>PA_2185202-CF.3034-4</v>
          </cell>
          <cell r="AC1564">
            <v>1</v>
          </cell>
          <cell r="AD1564" t="str">
            <v/>
          </cell>
          <cell r="AE1564">
            <v>0</v>
          </cell>
          <cell r="AF1564" t="str">
            <v/>
          </cell>
          <cell r="AG1564" t="str">
            <v>0720539</v>
          </cell>
          <cell r="AH1564">
            <v>44956.917233796295</v>
          </cell>
          <cell r="AI1564" t="str">
            <v>N52</v>
          </cell>
          <cell r="AJ1564" t="str">
            <v>F</v>
          </cell>
          <cell r="AK1564" t="str">
            <v/>
          </cell>
        </row>
        <row r="1565">
          <cell r="A1565" t="str">
            <v>5513072</v>
          </cell>
          <cell r="B1565" t="e">
            <v>#N/A</v>
          </cell>
          <cell r="C1565" t="e">
            <v>#N/A</v>
          </cell>
          <cell r="D1565" t="str">
            <v>EK65</v>
          </cell>
          <cell r="E1565" t="str">
            <v>705294</v>
          </cell>
          <cell r="F1565" t="str">
            <v>B</v>
          </cell>
          <cell r="G1565" t="str">
            <v>5513072</v>
          </cell>
          <cell r="H1565" t="str">
            <v>AUSGLEICHSBLECH</v>
          </cell>
          <cell r="I1565">
            <v>20</v>
          </cell>
          <cell r="J1565" t="str">
            <v>Stk</v>
          </cell>
          <cell r="K1565">
            <v>44959</v>
          </cell>
          <cell r="L1565" t="str">
            <v/>
          </cell>
          <cell r="M1565" t="str">
            <v/>
          </cell>
          <cell r="N1565" t="str">
            <v/>
          </cell>
          <cell r="O1565" t="str">
            <v/>
          </cell>
          <cell r="P1565" t="str">
            <v/>
          </cell>
          <cell r="Q1565" t="str">
            <v/>
          </cell>
          <cell r="R1565" t="str">
            <v/>
          </cell>
          <cell r="S1565" t="str">
            <v/>
          </cell>
          <cell r="T1565" t="str">
            <v/>
          </cell>
          <cell r="U1565" t="str">
            <v/>
          </cell>
          <cell r="V1565" t="str">
            <v>N52</v>
          </cell>
          <cell r="W1565" t="str">
            <v/>
          </cell>
          <cell r="X1565" t="str">
            <v/>
          </cell>
          <cell r="Y1565" t="str">
            <v/>
          </cell>
          <cell r="Z1565" t="str">
            <v/>
          </cell>
          <cell r="AA1565" t="str">
            <v/>
          </cell>
          <cell r="AB1565" t="str">
            <v>PA_1251308-CD.4011-4</v>
          </cell>
          <cell r="AC1565">
            <v>4</v>
          </cell>
          <cell r="AD1565" t="str">
            <v/>
          </cell>
          <cell r="AE1565">
            <v>0</v>
          </cell>
          <cell r="AF1565" t="str">
            <v/>
          </cell>
          <cell r="AG1565" t="str">
            <v>5513072</v>
          </cell>
          <cell r="AH1565">
            <v>44957.83730324074</v>
          </cell>
          <cell r="AI1565" t="str">
            <v>N52</v>
          </cell>
          <cell r="AJ1565" t="str">
            <v>F</v>
          </cell>
          <cell r="AK1565" t="str">
            <v>A</v>
          </cell>
        </row>
        <row r="1566">
          <cell r="A1566" t="str">
            <v>12518475829052</v>
          </cell>
          <cell r="B1566" t="str">
            <v>Übergabe Task Force</v>
          </cell>
          <cell r="C1566">
            <v>24</v>
          </cell>
          <cell r="D1566" t="str">
            <v>EK65</v>
          </cell>
          <cell r="E1566" t="str">
            <v>705425</v>
          </cell>
          <cell r="F1566" t="str">
            <v>E</v>
          </cell>
          <cell r="G1566" t="str">
            <v>12518475</v>
          </cell>
          <cell r="H1566" t="str">
            <v>Griffblech E24 kurz</v>
          </cell>
          <cell r="I1566">
            <v>473</v>
          </cell>
          <cell r="J1566" t="str">
            <v>Stk</v>
          </cell>
          <cell r="K1566">
            <v>45310</v>
          </cell>
          <cell r="L1566" t="str">
            <v>829052</v>
          </cell>
          <cell r="M1566" t="str">
            <v/>
          </cell>
          <cell r="N1566" t="str">
            <v/>
          </cell>
          <cell r="O1566" t="str">
            <v/>
          </cell>
          <cell r="P1566" t="str">
            <v/>
          </cell>
          <cell r="Q1566" t="str">
            <v/>
          </cell>
          <cell r="R1566" t="str">
            <v/>
          </cell>
          <cell r="S1566" t="str">
            <v/>
          </cell>
          <cell r="T1566" t="str">
            <v/>
          </cell>
          <cell r="U1566" t="str">
            <v/>
          </cell>
          <cell r="V1566" t="str">
            <v>E19</v>
          </cell>
          <cell r="W1566" t="str">
            <v/>
          </cell>
          <cell r="X1566" t="str">
            <v/>
          </cell>
          <cell r="Y1566" t="str">
            <v/>
          </cell>
          <cell r="Z1566" t="str">
            <v/>
          </cell>
          <cell r="AA1566" t="str">
            <v/>
          </cell>
          <cell r="AB1566" t="str">
            <v>PA_4565119-UA.7005-1</v>
          </cell>
          <cell r="AC1566">
            <v>1</v>
          </cell>
          <cell r="AD1566" t="str">
            <v/>
          </cell>
          <cell r="AE1566">
            <v>0</v>
          </cell>
          <cell r="AF1566" t="str">
            <v/>
          </cell>
          <cell r="AG1566" t="str">
            <v>12518475</v>
          </cell>
          <cell r="AH1566">
            <v>44957.914386574077</v>
          </cell>
          <cell r="AI1566" t="str">
            <v>E19</v>
          </cell>
          <cell r="AJ1566" t="str">
            <v>F</v>
          </cell>
          <cell r="AK1566" t="str">
            <v/>
          </cell>
        </row>
        <row r="1567">
          <cell r="A1567" t="str">
            <v>12634029820541</v>
          </cell>
          <cell r="B1567" t="str">
            <v>Übergabe Task Force</v>
          </cell>
          <cell r="C1567" t="e">
            <v>#N/A</v>
          </cell>
          <cell r="D1567" t="str">
            <v>EK65</v>
          </cell>
          <cell r="E1567" t="str">
            <v>705438</v>
          </cell>
          <cell r="F1567" t="str">
            <v>E</v>
          </cell>
          <cell r="G1567" t="str">
            <v>12634029</v>
          </cell>
          <cell r="H1567" t="str">
            <v>Pultplatte Schrank kpl. Wg. A</v>
          </cell>
          <cell r="I1567">
            <v>44</v>
          </cell>
          <cell r="J1567" t="str">
            <v>Stk</v>
          </cell>
          <cell r="K1567">
            <v>45111</v>
          </cell>
          <cell r="L1567" t="str">
            <v>820541</v>
          </cell>
          <cell r="M1567" t="str">
            <v/>
          </cell>
          <cell r="N1567" t="str">
            <v/>
          </cell>
          <cell r="O1567" t="str">
            <v/>
          </cell>
          <cell r="P1567" t="str">
            <v/>
          </cell>
          <cell r="Q1567" t="str">
            <v/>
          </cell>
          <cell r="R1567" t="str">
            <v/>
          </cell>
          <cell r="S1567" t="str">
            <v/>
          </cell>
          <cell r="T1567" t="str">
            <v/>
          </cell>
          <cell r="U1567" t="str">
            <v/>
          </cell>
          <cell r="V1567" t="str">
            <v>I25</v>
          </cell>
          <cell r="W1567" t="str">
            <v/>
          </cell>
          <cell r="X1567" t="str">
            <v/>
          </cell>
          <cell r="Y1567" t="str">
            <v/>
          </cell>
          <cell r="Z1567" t="str">
            <v/>
          </cell>
          <cell r="AA1567" t="str">
            <v/>
          </cell>
          <cell r="AB1567" t="str">
            <v>PA_5116000-TD.3048-3</v>
          </cell>
          <cell r="AC1567">
            <v>1</v>
          </cell>
          <cell r="AD1567" t="str">
            <v/>
          </cell>
          <cell r="AE1567">
            <v>0</v>
          </cell>
          <cell r="AF1567" t="str">
            <v/>
          </cell>
          <cell r="AG1567" t="str">
            <v>12634029</v>
          </cell>
          <cell r="AH1567">
            <v>44957.915011574078</v>
          </cell>
          <cell r="AI1567" t="str">
            <v>I25</v>
          </cell>
          <cell r="AJ1567" t="str">
            <v>F</v>
          </cell>
          <cell r="AK1567" t="str">
            <v/>
          </cell>
        </row>
        <row r="1568">
          <cell r="A1568" t="str">
            <v>0208780820541</v>
          </cell>
          <cell r="B1568" t="str">
            <v>Übergabe Task Force</v>
          </cell>
          <cell r="C1568" t="e">
            <v>#N/A</v>
          </cell>
          <cell r="D1568" t="str">
            <v>EK65</v>
          </cell>
          <cell r="E1568" t="str">
            <v>705593</v>
          </cell>
          <cell r="F1568" t="str">
            <v>E</v>
          </cell>
          <cell r="G1568" t="str">
            <v>0208780</v>
          </cell>
          <cell r="H1568" t="str">
            <v>Verteiler 2XG3/4"2XG1/4"</v>
          </cell>
          <cell r="I1568">
            <v>88</v>
          </cell>
          <cell r="J1568" t="str">
            <v>Stk</v>
          </cell>
          <cell r="K1568">
            <v>45142</v>
          </cell>
          <cell r="L1568" t="str">
            <v>820541</v>
          </cell>
          <cell r="M1568" t="str">
            <v/>
          </cell>
          <cell r="N1568" t="str">
            <v/>
          </cell>
          <cell r="O1568" t="str">
            <v/>
          </cell>
          <cell r="P1568" t="str">
            <v/>
          </cell>
          <cell r="Q1568" t="str">
            <v/>
          </cell>
          <cell r="R1568" t="str">
            <v/>
          </cell>
          <cell r="S1568" t="str">
            <v/>
          </cell>
          <cell r="T1568" t="str">
            <v/>
          </cell>
          <cell r="U1568" t="str">
            <v/>
          </cell>
          <cell r="V1568" t="str">
            <v>N52</v>
          </cell>
          <cell r="W1568" t="str">
            <v/>
          </cell>
          <cell r="X1568" t="str">
            <v/>
          </cell>
          <cell r="Y1568" t="str">
            <v/>
          </cell>
          <cell r="Z1568" t="str">
            <v/>
          </cell>
          <cell r="AA1568" t="str">
            <v/>
          </cell>
          <cell r="AB1568" t="str">
            <v>PA_2152695-QE.3037-3</v>
          </cell>
          <cell r="AC1568">
            <v>1</v>
          </cell>
          <cell r="AD1568" t="str">
            <v/>
          </cell>
          <cell r="AE1568">
            <v>0</v>
          </cell>
          <cell r="AF1568" t="str">
            <v/>
          </cell>
          <cell r="AG1568" t="str">
            <v>0208780</v>
          </cell>
          <cell r="AH1568">
            <v>44957.924826388888</v>
          </cell>
          <cell r="AI1568" t="str">
            <v>N52</v>
          </cell>
          <cell r="AJ1568" t="str">
            <v>F</v>
          </cell>
          <cell r="AK1568" t="str">
            <v/>
          </cell>
        </row>
        <row r="1569">
          <cell r="A1569" t="str">
            <v>1319789</v>
          </cell>
          <cell r="B1569" t="str">
            <v>BL20230413-2</v>
          </cell>
          <cell r="C1569" t="e">
            <v>#N/A</v>
          </cell>
          <cell r="D1569" t="str">
            <v>EK65</v>
          </cell>
          <cell r="E1569" t="str">
            <v>705661</v>
          </cell>
          <cell r="F1569" t="str">
            <v>B</v>
          </cell>
          <cell r="G1569" t="str">
            <v>1319789</v>
          </cell>
          <cell r="H1569" t="str">
            <v>Beilage 2 mm</v>
          </cell>
          <cell r="I1569">
            <v>600</v>
          </cell>
          <cell r="J1569" t="str">
            <v>Stk</v>
          </cell>
          <cell r="K1569">
            <v>44960</v>
          </cell>
          <cell r="L1569" t="str">
            <v/>
          </cell>
          <cell r="M1569" t="str">
            <v/>
          </cell>
          <cell r="N1569" t="str">
            <v/>
          </cell>
          <cell r="O1569" t="str">
            <v/>
          </cell>
          <cell r="P1569" t="str">
            <v/>
          </cell>
          <cell r="Q1569" t="str">
            <v/>
          </cell>
          <cell r="R1569" t="str">
            <v/>
          </cell>
          <cell r="S1569" t="str">
            <v/>
          </cell>
          <cell r="T1569" t="str">
            <v/>
          </cell>
          <cell r="U1569" t="str">
            <v/>
          </cell>
          <cell r="V1569" t="str">
            <v>N52</v>
          </cell>
          <cell r="W1569" t="str">
            <v/>
          </cell>
          <cell r="X1569" t="str">
            <v/>
          </cell>
          <cell r="Y1569" t="str">
            <v/>
          </cell>
          <cell r="Z1569" t="str">
            <v/>
          </cell>
          <cell r="AA1569" t="str">
            <v/>
          </cell>
          <cell r="AB1569" t="str">
            <v>PA_2195538-UA.7500-4</v>
          </cell>
          <cell r="AC1569">
            <v>4</v>
          </cell>
          <cell r="AD1569" t="str">
            <v/>
          </cell>
          <cell r="AE1569">
            <v>0</v>
          </cell>
          <cell r="AF1569" t="str">
            <v/>
          </cell>
          <cell r="AG1569" t="str">
            <v>1319789</v>
          </cell>
          <cell r="AH1569">
            <v>44958.835300925923</v>
          </cell>
          <cell r="AI1569" t="str">
            <v>N52</v>
          </cell>
          <cell r="AJ1569" t="str">
            <v>F</v>
          </cell>
          <cell r="AK1569" t="str">
            <v/>
          </cell>
        </row>
        <row r="1570">
          <cell r="A1570" t="str">
            <v>0155739820531</v>
          </cell>
          <cell r="B1570" t="str">
            <v>Übergabe Task Force</v>
          </cell>
          <cell r="C1570" t="e">
            <v>#N/A</v>
          </cell>
          <cell r="D1570" t="str">
            <v>EK65</v>
          </cell>
          <cell r="E1570" t="str">
            <v>705884</v>
          </cell>
          <cell r="F1570" t="str">
            <v>E</v>
          </cell>
          <cell r="G1570" t="str">
            <v>0155739</v>
          </cell>
          <cell r="H1570" t="str">
            <v>Dehnhuelse</v>
          </cell>
          <cell r="I1570">
            <v>2</v>
          </cell>
          <cell r="J1570" t="str">
            <v>Stk</v>
          </cell>
          <cell r="K1570">
            <v>45223</v>
          </cell>
          <cell r="L1570" t="str">
            <v>820531</v>
          </cell>
          <cell r="M1570" t="str">
            <v/>
          </cell>
          <cell r="N1570" t="str">
            <v/>
          </cell>
          <cell r="O1570" t="str">
            <v/>
          </cell>
          <cell r="P1570" t="str">
            <v/>
          </cell>
          <cell r="Q1570" t="str">
            <v/>
          </cell>
          <cell r="R1570" t="str">
            <v/>
          </cell>
          <cell r="S1570" t="str">
            <v/>
          </cell>
          <cell r="T1570" t="str">
            <v/>
          </cell>
          <cell r="U1570" t="str">
            <v/>
          </cell>
          <cell r="V1570" t="str">
            <v>N52</v>
          </cell>
          <cell r="W1570" t="str">
            <v/>
          </cell>
          <cell r="X1570" t="str">
            <v/>
          </cell>
          <cell r="Y1570" t="str">
            <v/>
          </cell>
          <cell r="Z1570" t="str">
            <v/>
          </cell>
          <cell r="AA1570" t="str">
            <v/>
          </cell>
          <cell r="AB1570" t="str">
            <v>PR_2152016-CF.3034-4</v>
          </cell>
          <cell r="AC1570">
            <v>1</v>
          </cell>
          <cell r="AD1570" t="str">
            <v/>
          </cell>
          <cell r="AE1570">
            <v>0</v>
          </cell>
          <cell r="AF1570" t="str">
            <v/>
          </cell>
          <cell r="AG1570" t="str">
            <v>0155739</v>
          </cell>
          <cell r="AH1570">
            <v>44959.730138888888</v>
          </cell>
          <cell r="AI1570" t="str">
            <v>N52</v>
          </cell>
          <cell r="AJ1570" t="str">
            <v>F</v>
          </cell>
          <cell r="AK1570" t="str">
            <v/>
          </cell>
        </row>
        <row r="1571">
          <cell r="A1571" t="str">
            <v>0736049</v>
          </cell>
          <cell r="B1571">
            <v>0</v>
          </cell>
          <cell r="C1571" t="e">
            <v>#N/A</v>
          </cell>
          <cell r="D1571" t="str">
            <v>EK65</v>
          </cell>
          <cell r="E1571" t="str">
            <v>705892</v>
          </cell>
          <cell r="F1571" t="str">
            <v>B</v>
          </cell>
          <cell r="G1571" t="str">
            <v>0736049</v>
          </cell>
          <cell r="H1571" t="str">
            <v>Dehnhuelse 20mm M12</v>
          </cell>
          <cell r="I1571">
            <v>72</v>
          </cell>
          <cell r="J1571" t="str">
            <v>Stk</v>
          </cell>
          <cell r="K1571">
            <v>44961</v>
          </cell>
          <cell r="L1571" t="str">
            <v/>
          </cell>
          <cell r="M1571" t="str">
            <v/>
          </cell>
          <cell r="N1571" t="str">
            <v/>
          </cell>
          <cell r="O1571" t="str">
            <v/>
          </cell>
          <cell r="P1571" t="str">
            <v/>
          </cell>
          <cell r="Q1571" t="str">
            <v/>
          </cell>
          <cell r="R1571" t="str">
            <v/>
          </cell>
          <cell r="S1571" t="str">
            <v/>
          </cell>
          <cell r="T1571" t="str">
            <v/>
          </cell>
          <cell r="U1571" t="str">
            <v/>
          </cell>
          <cell r="V1571" t="str">
            <v>N52</v>
          </cell>
          <cell r="W1571" t="str">
            <v/>
          </cell>
          <cell r="X1571" t="str">
            <v/>
          </cell>
          <cell r="Y1571" t="str">
            <v/>
          </cell>
          <cell r="Z1571" t="str">
            <v/>
          </cell>
          <cell r="AA1571" t="str">
            <v/>
          </cell>
          <cell r="AB1571" t="str">
            <v>PA_2177795-TB.7500-4</v>
          </cell>
          <cell r="AC1571">
            <v>4</v>
          </cell>
          <cell r="AD1571" t="str">
            <v/>
          </cell>
          <cell r="AE1571">
            <v>0</v>
          </cell>
          <cell r="AF1571" t="str">
            <v/>
          </cell>
          <cell r="AG1571" t="str">
            <v>0736049</v>
          </cell>
          <cell r="AH1571">
            <v>44959.834490740737</v>
          </cell>
          <cell r="AI1571" t="str">
            <v>N52</v>
          </cell>
          <cell r="AJ1571" t="str">
            <v>F</v>
          </cell>
          <cell r="AK1571" t="str">
            <v/>
          </cell>
        </row>
        <row r="1572">
          <cell r="A1572" t="str">
            <v>1188289820531</v>
          </cell>
          <cell r="B1572" t="str">
            <v>Übergabe Task Force</v>
          </cell>
          <cell r="C1572" t="e">
            <v>#N/A</v>
          </cell>
          <cell r="D1572" t="str">
            <v>EK65</v>
          </cell>
          <cell r="E1572" t="str">
            <v>706160</v>
          </cell>
          <cell r="F1572" t="str">
            <v>E</v>
          </cell>
          <cell r="G1572" t="str">
            <v>1188289</v>
          </cell>
          <cell r="H1572" t="str">
            <v>Dehnhuelse L45 D25/11</v>
          </cell>
          <cell r="I1572">
            <v>4</v>
          </cell>
          <cell r="J1572" t="str">
            <v>Stk</v>
          </cell>
          <cell r="K1572">
            <v>45215</v>
          </cell>
          <cell r="L1572" t="str">
            <v>820531</v>
          </cell>
          <cell r="M1572" t="str">
            <v/>
          </cell>
          <cell r="N1572" t="str">
            <v/>
          </cell>
          <cell r="O1572" t="str">
            <v/>
          </cell>
          <cell r="P1572" t="str">
            <v/>
          </cell>
          <cell r="Q1572" t="str">
            <v/>
          </cell>
          <cell r="R1572" t="str">
            <v/>
          </cell>
          <cell r="S1572" t="str">
            <v/>
          </cell>
          <cell r="T1572" t="str">
            <v/>
          </cell>
          <cell r="U1572" t="str">
            <v/>
          </cell>
          <cell r="V1572" t="str">
            <v>K62</v>
          </cell>
          <cell r="W1572" t="str">
            <v/>
          </cell>
          <cell r="X1572" t="str">
            <v/>
          </cell>
          <cell r="Y1572" t="str">
            <v/>
          </cell>
          <cell r="Z1572" t="str">
            <v/>
          </cell>
          <cell r="AA1572" t="str">
            <v/>
          </cell>
          <cell r="AB1572" t="str">
            <v>PA_2277863-QD.6005-4</v>
          </cell>
          <cell r="AC1572">
            <v>1</v>
          </cell>
          <cell r="AD1572" t="str">
            <v/>
          </cell>
          <cell r="AE1572">
            <v>0</v>
          </cell>
          <cell r="AF1572" t="str">
            <v/>
          </cell>
          <cell r="AG1572" t="str">
            <v>1188289</v>
          </cell>
          <cell r="AH1572">
            <v>44959.915555555555</v>
          </cell>
          <cell r="AI1572" t="str">
            <v>K62</v>
          </cell>
          <cell r="AJ1572" t="str">
            <v>F</v>
          </cell>
          <cell r="AK1572" t="str">
            <v/>
          </cell>
        </row>
        <row r="1573">
          <cell r="A1573" t="str">
            <v>1236382820531</v>
          </cell>
          <cell r="B1573" t="str">
            <v>Übergabe Task Force</v>
          </cell>
          <cell r="C1573" t="e">
            <v>#N/A</v>
          </cell>
          <cell r="D1573" t="str">
            <v>EK65</v>
          </cell>
          <cell r="E1573" t="str">
            <v>706162</v>
          </cell>
          <cell r="F1573" t="str">
            <v>E</v>
          </cell>
          <cell r="G1573" t="str">
            <v>1236382</v>
          </cell>
          <cell r="H1573" t="str">
            <v>Halter vollst.</v>
          </cell>
          <cell r="I1573">
            <v>10</v>
          </cell>
          <cell r="J1573" t="str">
            <v>Stk</v>
          </cell>
          <cell r="K1573">
            <v>45195</v>
          </cell>
          <cell r="L1573" t="str">
            <v>820531</v>
          </cell>
          <cell r="M1573" t="str">
            <v/>
          </cell>
          <cell r="N1573" t="str">
            <v/>
          </cell>
          <cell r="O1573" t="str">
            <v/>
          </cell>
          <cell r="P1573" t="str">
            <v/>
          </cell>
          <cell r="Q1573" t="str">
            <v/>
          </cell>
          <cell r="R1573" t="str">
            <v/>
          </cell>
          <cell r="S1573" t="str">
            <v/>
          </cell>
          <cell r="T1573" t="str">
            <v/>
          </cell>
          <cell r="U1573" t="str">
            <v/>
          </cell>
          <cell r="V1573" t="str">
            <v>N38</v>
          </cell>
          <cell r="W1573" t="str">
            <v/>
          </cell>
          <cell r="X1573" t="str">
            <v/>
          </cell>
          <cell r="Y1573" t="str">
            <v/>
          </cell>
          <cell r="Z1573" t="str">
            <v/>
          </cell>
          <cell r="AA1573" t="str">
            <v/>
          </cell>
          <cell r="AB1573" t="str">
            <v>PA_2330844-DD.3046-4</v>
          </cell>
          <cell r="AC1573">
            <v>1</v>
          </cell>
          <cell r="AD1573" t="str">
            <v/>
          </cell>
          <cell r="AE1573">
            <v>0</v>
          </cell>
          <cell r="AF1573" t="str">
            <v/>
          </cell>
          <cell r="AG1573" t="str">
            <v>1236382</v>
          </cell>
          <cell r="AH1573">
            <v>44959.917326388888</v>
          </cell>
          <cell r="AI1573" t="str">
            <v>N38</v>
          </cell>
          <cell r="AJ1573" t="str">
            <v>F</v>
          </cell>
          <cell r="AK1573" t="str">
            <v/>
          </cell>
        </row>
        <row r="1574">
          <cell r="A1574" t="str">
            <v>12545518829051</v>
          </cell>
          <cell r="B1574" t="str">
            <v>BL20230413-2</v>
          </cell>
          <cell r="C1574" t="e">
            <v>#N/A</v>
          </cell>
          <cell r="D1574" t="str">
            <v>EK65</v>
          </cell>
          <cell r="E1574" t="str">
            <v>706175</v>
          </cell>
          <cell r="F1574" t="str">
            <v>E</v>
          </cell>
          <cell r="G1574" t="str">
            <v>12545518</v>
          </cell>
          <cell r="H1574" t="str">
            <v>Leitungshalter vollst.</v>
          </cell>
          <cell r="I1574">
            <v>84</v>
          </cell>
          <cell r="J1574" t="str">
            <v>Stk</v>
          </cell>
          <cell r="K1574">
            <v>45344</v>
          </cell>
          <cell r="L1574" t="str">
            <v>829051</v>
          </cell>
          <cell r="M1574" t="str">
            <v/>
          </cell>
          <cell r="N1574" t="str">
            <v/>
          </cell>
          <cell r="O1574" t="str">
            <v/>
          </cell>
          <cell r="P1574" t="str">
            <v/>
          </cell>
          <cell r="Q1574" t="str">
            <v/>
          </cell>
          <cell r="R1574" t="str">
            <v/>
          </cell>
          <cell r="S1574" t="str">
            <v/>
          </cell>
          <cell r="T1574" t="str">
            <v/>
          </cell>
          <cell r="U1574" t="str">
            <v/>
          </cell>
          <cell r="V1574" t="str">
            <v>N38</v>
          </cell>
          <cell r="W1574" t="str">
            <v/>
          </cell>
          <cell r="X1574" t="str">
            <v/>
          </cell>
          <cell r="Y1574" t="str">
            <v/>
          </cell>
          <cell r="Z1574" t="str">
            <v/>
          </cell>
          <cell r="AA1574" t="str">
            <v/>
          </cell>
          <cell r="AB1574" t="str">
            <v>PA_4643723-UA.7004-3</v>
          </cell>
          <cell r="AC1574">
            <v>1</v>
          </cell>
          <cell r="AD1574" t="str">
            <v/>
          </cell>
          <cell r="AE1574">
            <v>0</v>
          </cell>
          <cell r="AF1574" t="str">
            <v/>
          </cell>
          <cell r="AG1574" t="str">
            <v>12545518</v>
          </cell>
          <cell r="AH1574">
            <v>44959.95890046296</v>
          </cell>
          <cell r="AI1574" t="str">
            <v>N38</v>
          </cell>
          <cell r="AJ1574" t="str">
            <v>F</v>
          </cell>
          <cell r="AK1574" t="str">
            <v/>
          </cell>
        </row>
        <row r="1575">
          <cell r="A1575" t="str">
            <v>12545518829052</v>
          </cell>
          <cell r="B1575" t="str">
            <v>BL20230413-2</v>
          </cell>
          <cell r="C1575" t="e">
            <v>#N/A</v>
          </cell>
          <cell r="D1575" t="str">
            <v>EK65</v>
          </cell>
          <cell r="E1575" t="str">
            <v>706176</v>
          </cell>
          <cell r="F1575" t="str">
            <v>E</v>
          </cell>
          <cell r="G1575" t="str">
            <v>12545518</v>
          </cell>
          <cell r="H1575" t="str">
            <v>Leitungshalter vollst.</v>
          </cell>
          <cell r="I1575">
            <v>62</v>
          </cell>
          <cell r="J1575" t="str">
            <v>Stk</v>
          </cell>
          <cell r="K1575">
            <v>45345</v>
          </cell>
          <cell r="L1575" t="str">
            <v>829052</v>
          </cell>
          <cell r="M1575" t="str">
            <v/>
          </cell>
          <cell r="N1575" t="str">
            <v/>
          </cell>
          <cell r="O1575" t="str">
            <v/>
          </cell>
          <cell r="P1575" t="str">
            <v/>
          </cell>
          <cell r="Q1575" t="str">
            <v/>
          </cell>
          <cell r="R1575" t="str">
            <v/>
          </cell>
          <cell r="S1575" t="str">
            <v/>
          </cell>
          <cell r="T1575" t="str">
            <v/>
          </cell>
          <cell r="U1575" t="str">
            <v/>
          </cell>
          <cell r="V1575" t="str">
            <v>N38</v>
          </cell>
          <cell r="W1575" t="str">
            <v/>
          </cell>
          <cell r="X1575" t="str">
            <v/>
          </cell>
          <cell r="Y1575" t="str">
            <v/>
          </cell>
          <cell r="Z1575" t="str">
            <v/>
          </cell>
          <cell r="AA1575" t="str">
            <v/>
          </cell>
          <cell r="AB1575" t="str">
            <v>PA_4643723-UA.7004-3</v>
          </cell>
          <cell r="AC1575">
            <v>1</v>
          </cell>
          <cell r="AD1575" t="str">
            <v/>
          </cell>
          <cell r="AE1575">
            <v>0</v>
          </cell>
          <cell r="AF1575" t="str">
            <v/>
          </cell>
          <cell r="AG1575" t="str">
            <v>12545518</v>
          </cell>
          <cell r="AH1575">
            <v>44959.95890046296</v>
          </cell>
          <cell r="AI1575" t="str">
            <v>N38</v>
          </cell>
          <cell r="AJ1575" t="str">
            <v>F</v>
          </cell>
          <cell r="AK1575" t="str">
            <v/>
          </cell>
        </row>
        <row r="1576">
          <cell r="A1576" t="str">
            <v>12554401829051</v>
          </cell>
          <cell r="B1576" t="str">
            <v>Übergabe Task Force</v>
          </cell>
          <cell r="C1576" t="e">
            <v>#N/A</v>
          </cell>
          <cell r="D1576" t="str">
            <v>EK65</v>
          </cell>
          <cell r="E1576" t="str">
            <v>706177</v>
          </cell>
          <cell r="F1576" t="str">
            <v>E</v>
          </cell>
          <cell r="G1576" t="str">
            <v>12554401</v>
          </cell>
          <cell r="H1576" t="str">
            <v>Winkelblech vollst.</v>
          </cell>
          <cell r="I1576">
            <v>2086</v>
          </cell>
          <cell r="J1576" t="str">
            <v>Stk</v>
          </cell>
          <cell r="K1576">
            <v>45317</v>
          </cell>
          <cell r="L1576" t="str">
            <v>829051</v>
          </cell>
          <cell r="M1576" t="str">
            <v/>
          </cell>
          <cell r="N1576" t="str">
            <v/>
          </cell>
          <cell r="O1576" t="str">
            <v/>
          </cell>
          <cell r="P1576" t="str">
            <v/>
          </cell>
          <cell r="Q1576" t="str">
            <v/>
          </cell>
          <cell r="R1576" t="str">
            <v/>
          </cell>
          <cell r="S1576" t="str">
            <v/>
          </cell>
          <cell r="T1576" t="str">
            <v/>
          </cell>
          <cell r="U1576" t="str">
            <v/>
          </cell>
          <cell r="V1576" t="str">
            <v>N38</v>
          </cell>
          <cell r="W1576" t="str">
            <v/>
          </cell>
          <cell r="X1576" t="str">
            <v/>
          </cell>
          <cell r="Y1576" t="str">
            <v/>
          </cell>
          <cell r="Z1576" t="str">
            <v/>
          </cell>
          <cell r="AA1576" t="str">
            <v/>
          </cell>
          <cell r="AB1576" t="str">
            <v>BU_4708595-UA.7004-4</v>
          </cell>
          <cell r="AC1576">
            <v>1</v>
          </cell>
          <cell r="AD1576" t="str">
            <v/>
          </cell>
          <cell r="AE1576">
            <v>0</v>
          </cell>
          <cell r="AF1576" t="str">
            <v/>
          </cell>
          <cell r="AG1576" t="str">
            <v>12554401</v>
          </cell>
          <cell r="AH1576">
            <v>44959.963206018518</v>
          </cell>
          <cell r="AI1576" t="str">
            <v>N38</v>
          </cell>
          <cell r="AJ1576" t="str">
            <v>F</v>
          </cell>
          <cell r="AK1576" t="str">
            <v/>
          </cell>
        </row>
        <row r="1577">
          <cell r="A1577" t="str">
            <v>12554401829052</v>
          </cell>
          <cell r="B1577" t="str">
            <v>Übergabe Task Force</v>
          </cell>
          <cell r="C1577" t="e">
            <v>#N/A</v>
          </cell>
          <cell r="D1577" t="str">
            <v>EK65</v>
          </cell>
          <cell r="E1577" t="str">
            <v>706178</v>
          </cell>
          <cell r="F1577" t="str">
            <v>E</v>
          </cell>
          <cell r="G1577" t="str">
            <v>12554401</v>
          </cell>
          <cell r="H1577" t="str">
            <v>Winkelblech vollst.</v>
          </cell>
          <cell r="I1577">
            <v>1595</v>
          </cell>
          <cell r="J1577" t="str">
            <v>Stk</v>
          </cell>
          <cell r="K1577">
            <v>45351</v>
          </cell>
          <cell r="L1577" t="str">
            <v>829052</v>
          </cell>
          <cell r="M1577" t="str">
            <v/>
          </cell>
          <cell r="N1577" t="str">
            <v/>
          </cell>
          <cell r="O1577" t="str">
            <v/>
          </cell>
          <cell r="P1577" t="str">
            <v/>
          </cell>
          <cell r="Q1577" t="str">
            <v/>
          </cell>
          <cell r="R1577" t="str">
            <v/>
          </cell>
          <cell r="S1577" t="str">
            <v/>
          </cell>
          <cell r="T1577" t="str">
            <v/>
          </cell>
          <cell r="U1577" t="str">
            <v/>
          </cell>
          <cell r="V1577" t="str">
            <v>N38</v>
          </cell>
          <cell r="W1577" t="str">
            <v/>
          </cell>
          <cell r="X1577" t="str">
            <v/>
          </cell>
          <cell r="Y1577" t="str">
            <v/>
          </cell>
          <cell r="Z1577" t="str">
            <v/>
          </cell>
          <cell r="AA1577" t="str">
            <v/>
          </cell>
          <cell r="AB1577" t="str">
            <v>BU_4708595-UA.7004-4</v>
          </cell>
          <cell r="AC1577">
            <v>1</v>
          </cell>
          <cell r="AD1577" t="str">
            <v/>
          </cell>
          <cell r="AE1577">
            <v>0</v>
          </cell>
          <cell r="AF1577" t="str">
            <v/>
          </cell>
          <cell r="AG1577" t="str">
            <v>12554401</v>
          </cell>
          <cell r="AH1577">
            <v>44959.963206018518</v>
          </cell>
          <cell r="AI1577" t="str">
            <v>N38</v>
          </cell>
          <cell r="AJ1577" t="str">
            <v>F</v>
          </cell>
          <cell r="AK1577" t="str">
            <v/>
          </cell>
        </row>
        <row r="1578">
          <cell r="A1578" t="str">
            <v>12564178829051</v>
          </cell>
          <cell r="B1578" t="str">
            <v>Übergabe Task Force</v>
          </cell>
          <cell r="C1578" t="e">
            <v>#N/A</v>
          </cell>
          <cell r="D1578" t="str">
            <v>EK65</v>
          </cell>
          <cell r="E1578" t="str">
            <v>706179</v>
          </cell>
          <cell r="F1578" t="str">
            <v>E</v>
          </cell>
          <cell r="G1578" t="str">
            <v>12564178</v>
          </cell>
          <cell r="H1578" t="str">
            <v>Halter, vollst.</v>
          </cell>
          <cell r="I1578">
            <v>362</v>
          </cell>
          <cell r="J1578" t="str">
            <v>Stk</v>
          </cell>
          <cell r="K1578">
            <v>45317</v>
          </cell>
          <cell r="L1578" t="str">
            <v>829051</v>
          </cell>
          <cell r="M1578" t="str">
            <v/>
          </cell>
          <cell r="N1578" t="str">
            <v/>
          </cell>
          <cell r="O1578" t="str">
            <v/>
          </cell>
          <cell r="P1578" t="str">
            <v/>
          </cell>
          <cell r="Q1578" t="str">
            <v/>
          </cell>
          <cell r="R1578" t="str">
            <v/>
          </cell>
          <cell r="S1578" t="str">
            <v/>
          </cell>
          <cell r="T1578" t="str">
            <v/>
          </cell>
          <cell r="U1578" t="str">
            <v/>
          </cell>
          <cell r="V1578" t="str">
            <v>N38</v>
          </cell>
          <cell r="W1578" t="str">
            <v/>
          </cell>
          <cell r="X1578" t="str">
            <v/>
          </cell>
          <cell r="Y1578" t="str">
            <v>CL2</v>
          </cell>
          <cell r="Z1578" t="str">
            <v/>
          </cell>
          <cell r="AA1578" t="str">
            <v/>
          </cell>
          <cell r="AB1578" t="str">
            <v>PA_4674772-QE.7004-4</v>
          </cell>
          <cell r="AC1578">
            <v>1</v>
          </cell>
          <cell r="AD1578" t="str">
            <v/>
          </cell>
          <cell r="AE1578">
            <v>0</v>
          </cell>
          <cell r="AF1578" t="str">
            <v/>
          </cell>
          <cell r="AG1578" t="str">
            <v>12564178</v>
          </cell>
          <cell r="AH1578">
            <v>44959.965601851851</v>
          </cell>
          <cell r="AI1578" t="str">
            <v>N38</v>
          </cell>
          <cell r="AJ1578" t="str">
            <v>F</v>
          </cell>
          <cell r="AK1578" t="str">
            <v/>
          </cell>
        </row>
        <row r="1579">
          <cell r="A1579" t="str">
            <v>2586751820531</v>
          </cell>
          <cell r="B1579" t="str">
            <v>Übergabe Task Force</v>
          </cell>
          <cell r="C1579" t="e">
            <v>#N/A</v>
          </cell>
          <cell r="D1579" t="str">
            <v>EK65</v>
          </cell>
          <cell r="E1579" t="str">
            <v>706201</v>
          </cell>
          <cell r="F1579" t="str">
            <v>E</v>
          </cell>
          <cell r="G1579" t="str">
            <v>2586751</v>
          </cell>
          <cell r="H1579" t="str">
            <v>Halter Temperaturfuehler kpl.</v>
          </cell>
          <cell r="I1579">
            <v>52</v>
          </cell>
          <cell r="J1579" t="str">
            <v>Stk</v>
          </cell>
          <cell r="K1579">
            <v>45169</v>
          </cell>
          <cell r="L1579" t="str">
            <v>820531</v>
          </cell>
          <cell r="M1579" t="str">
            <v/>
          </cell>
          <cell r="N1579" t="str">
            <v/>
          </cell>
          <cell r="O1579" t="str">
            <v/>
          </cell>
          <cell r="P1579" t="str">
            <v/>
          </cell>
          <cell r="Q1579" t="str">
            <v/>
          </cell>
          <cell r="R1579" t="str">
            <v/>
          </cell>
          <cell r="S1579" t="str">
            <v/>
          </cell>
          <cell r="T1579" t="str">
            <v/>
          </cell>
          <cell r="U1579" t="str">
            <v/>
          </cell>
          <cell r="V1579" t="str">
            <v>N38</v>
          </cell>
          <cell r="W1579" t="str">
            <v/>
          </cell>
          <cell r="X1579" t="str">
            <v/>
          </cell>
          <cell r="Y1579" t="str">
            <v/>
          </cell>
          <cell r="Z1579" t="str">
            <v/>
          </cell>
          <cell r="AA1579" t="str">
            <v/>
          </cell>
          <cell r="AB1579" t="str">
            <v>PA_2256267-CD.3044-4</v>
          </cell>
          <cell r="AC1579">
            <v>1</v>
          </cell>
          <cell r="AD1579" t="str">
            <v/>
          </cell>
          <cell r="AE1579">
            <v>0</v>
          </cell>
          <cell r="AF1579" t="str">
            <v/>
          </cell>
          <cell r="AG1579" t="str">
            <v>2586751</v>
          </cell>
          <cell r="AH1579">
            <v>44959.978935185187</v>
          </cell>
          <cell r="AI1579" t="str">
            <v>N38</v>
          </cell>
          <cell r="AJ1579" t="str">
            <v>F</v>
          </cell>
          <cell r="AK1579" t="str">
            <v/>
          </cell>
        </row>
        <row r="1580">
          <cell r="A1580" t="str">
            <v>12519774829053</v>
          </cell>
          <cell r="B1580">
            <v>0</v>
          </cell>
          <cell r="C1580">
            <v>24</v>
          </cell>
          <cell r="D1580" t="str">
            <v>EK65</v>
          </cell>
          <cell r="E1580" t="str">
            <v>706646</v>
          </cell>
          <cell r="F1580" t="str">
            <v>E</v>
          </cell>
          <cell r="G1580" t="str">
            <v>12519774</v>
          </cell>
          <cell r="H1580" t="str">
            <v>Schirmblech E6Mod</v>
          </cell>
          <cell r="I1580">
            <v>529</v>
          </cell>
          <cell r="J1580" t="str">
            <v>Stk</v>
          </cell>
          <cell r="K1580">
            <v>45086</v>
          </cell>
          <cell r="L1580" t="str">
            <v>829053</v>
          </cell>
          <cell r="M1580" t="str">
            <v/>
          </cell>
          <cell r="N1580" t="str">
            <v/>
          </cell>
          <cell r="O1580" t="str">
            <v/>
          </cell>
          <cell r="P1580" t="str">
            <v/>
          </cell>
          <cell r="Q1580" t="str">
            <v/>
          </cell>
          <cell r="R1580" t="str">
            <v/>
          </cell>
          <cell r="S1580" t="str">
            <v/>
          </cell>
          <cell r="T1580" t="str">
            <v/>
          </cell>
          <cell r="U1580" t="str">
            <v/>
          </cell>
          <cell r="V1580" t="str">
            <v>N52</v>
          </cell>
          <cell r="W1580" t="str">
            <v/>
          </cell>
          <cell r="X1580" t="str">
            <v/>
          </cell>
          <cell r="Y1580" t="str">
            <v/>
          </cell>
          <cell r="Z1580" t="str">
            <v/>
          </cell>
          <cell r="AA1580" t="str">
            <v/>
          </cell>
          <cell r="AB1580" t="str">
            <v>PA_4571755-UA.7005-2</v>
          </cell>
          <cell r="AC1580">
            <v>1</v>
          </cell>
          <cell r="AD1580" t="str">
            <v/>
          </cell>
          <cell r="AE1580">
            <v>0</v>
          </cell>
          <cell r="AF1580" t="str">
            <v/>
          </cell>
          <cell r="AG1580" t="str">
            <v>12519774</v>
          </cell>
          <cell r="AH1580">
            <v>44960.896793981483</v>
          </cell>
          <cell r="AI1580" t="str">
            <v>N52</v>
          </cell>
          <cell r="AJ1580" t="str">
            <v>F</v>
          </cell>
          <cell r="AK1580" t="str">
            <v/>
          </cell>
        </row>
        <row r="1581">
          <cell r="A1581" t="str">
            <v>1144283820531</v>
          </cell>
          <cell r="B1581" t="str">
            <v>Übergabe Task Force</v>
          </cell>
          <cell r="C1581" t="e">
            <v>#N/A</v>
          </cell>
          <cell r="D1581" t="str">
            <v>EK65</v>
          </cell>
          <cell r="E1581" t="str">
            <v>706652</v>
          </cell>
          <cell r="F1581" t="str">
            <v>E</v>
          </cell>
          <cell r="G1581" t="str">
            <v>1144283</v>
          </cell>
          <cell r="H1581" t="str">
            <v>Konsole vollst.</v>
          </cell>
          <cell r="I1581">
            <v>10</v>
          </cell>
          <cell r="J1581" t="str">
            <v>Stk</v>
          </cell>
          <cell r="K1581">
            <v>45194</v>
          </cell>
          <cell r="L1581" t="str">
            <v>820531</v>
          </cell>
          <cell r="M1581" t="str">
            <v/>
          </cell>
          <cell r="N1581" t="str">
            <v/>
          </cell>
          <cell r="O1581" t="str">
            <v/>
          </cell>
          <cell r="P1581" t="str">
            <v/>
          </cell>
          <cell r="Q1581" t="str">
            <v/>
          </cell>
          <cell r="R1581" t="str">
            <v/>
          </cell>
          <cell r="S1581" t="str">
            <v/>
          </cell>
          <cell r="T1581" t="str">
            <v/>
          </cell>
          <cell r="U1581" t="str">
            <v/>
          </cell>
          <cell r="V1581" t="str">
            <v>N38</v>
          </cell>
          <cell r="W1581" t="str">
            <v/>
          </cell>
          <cell r="X1581" t="str">
            <v/>
          </cell>
          <cell r="Y1581" t="str">
            <v/>
          </cell>
          <cell r="Z1581" t="str">
            <v/>
          </cell>
          <cell r="AA1581" t="str">
            <v/>
          </cell>
          <cell r="AB1581" t="str">
            <v>PA_2262947-LA.3044-3</v>
          </cell>
          <cell r="AC1581">
            <v>1</v>
          </cell>
          <cell r="AD1581" t="str">
            <v/>
          </cell>
          <cell r="AE1581">
            <v>0</v>
          </cell>
          <cell r="AF1581" t="str">
            <v/>
          </cell>
          <cell r="AG1581" t="str">
            <v>1144283</v>
          </cell>
          <cell r="AH1581">
            <v>44960.920023148145</v>
          </cell>
          <cell r="AI1581" t="str">
            <v>N38</v>
          </cell>
          <cell r="AJ1581" t="str">
            <v>F</v>
          </cell>
          <cell r="AK1581" t="str">
            <v/>
          </cell>
        </row>
        <row r="1582">
          <cell r="A1582" t="str">
            <v>70000495828521</v>
          </cell>
          <cell r="B1582" t="str">
            <v>BL20230418-1</v>
          </cell>
          <cell r="C1582" t="e">
            <v>#N/A</v>
          </cell>
          <cell r="D1582" t="str">
            <v>EK65</v>
          </cell>
          <cell r="E1582" t="str">
            <v>706748</v>
          </cell>
          <cell r="F1582" t="str">
            <v>E</v>
          </cell>
          <cell r="G1582" t="str">
            <v>70000495</v>
          </cell>
          <cell r="H1582" t="str">
            <v>PLATE</v>
          </cell>
          <cell r="I1582">
            <v>900</v>
          </cell>
          <cell r="J1582" t="str">
            <v>Stk</v>
          </cell>
          <cell r="K1582">
            <v>45072</v>
          </cell>
          <cell r="L1582" t="str">
            <v>828521</v>
          </cell>
          <cell r="M1582" t="str">
            <v/>
          </cell>
          <cell r="N1582" t="str">
            <v/>
          </cell>
          <cell r="O1582" t="str">
            <v/>
          </cell>
          <cell r="P1582" t="str">
            <v/>
          </cell>
          <cell r="Q1582" t="str">
            <v>X6Cr17</v>
          </cell>
          <cell r="R1582" t="str">
            <v>EN 10088</v>
          </cell>
          <cell r="S1582" t="str">
            <v/>
          </cell>
          <cell r="T1582" t="str">
            <v/>
          </cell>
          <cell r="U1582" t="str">
            <v>BB19023010024</v>
          </cell>
          <cell r="V1582" t="str">
            <v>B00</v>
          </cell>
          <cell r="W1582" t="str">
            <v/>
          </cell>
          <cell r="X1582" t="str">
            <v/>
          </cell>
          <cell r="Y1582" t="str">
            <v/>
          </cell>
          <cell r="Z1582" t="str">
            <v/>
          </cell>
          <cell r="AA1582" t="str">
            <v/>
          </cell>
          <cell r="AB1582" t="str">
            <v>70000495</v>
          </cell>
          <cell r="AC1582">
            <v>1</v>
          </cell>
          <cell r="AD1582" t="str">
            <v/>
          </cell>
          <cell r="AE1582">
            <v>0</v>
          </cell>
          <cell r="AF1582" t="str">
            <v/>
          </cell>
          <cell r="AG1582" t="str">
            <v>70000495</v>
          </cell>
          <cell r="AH1582">
            <v>44960.995555555557</v>
          </cell>
          <cell r="AI1582" t="str">
            <v>B00</v>
          </cell>
          <cell r="AJ1582" t="str">
            <v>F</v>
          </cell>
          <cell r="AK1582" t="str">
            <v>--</v>
          </cell>
        </row>
        <row r="1583">
          <cell r="A1583" t="str">
            <v>70000841828521</v>
          </cell>
          <cell r="B1583" t="str">
            <v>BL20230418-1</v>
          </cell>
          <cell r="C1583" t="e">
            <v>#N/A</v>
          </cell>
          <cell r="D1583" t="str">
            <v>EK65</v>
          </cell>
          <cell r="E1583" t="str">
            <v>706776</v>
          </cell>
          <cell r="F1583" t="str">
            <v>E</v>
          </cell>
          <cell r="G1583" t="str">
            <v>70000841</v>
          </cell>
          <cell r="H1583" t="str">
            <v>CLAMP</v>
          </cell>
          <cell r="I1583">
            <v>540</v>
          </cell>
          <cell r="J1583" t="str">
            <v>Stk</v>
          </cell>
          <cell r="K1583">
            <v>45072</v>
          </cell>
          <cell r="L1583" t="str">
            <v>828521</v>
          </cell>
          <cell r="M1583" t="str">
            <v/>
          </cell>
          <cell r="N1583" t="str">
            <v/>
          </cell>
          <cell r="O1583" t="str">
            <v/>
          </cell>
          <cell r="P1583" t="str">
            <v/>
          </cell>
          <cell r="Q1583" t="str">
            <v/>
          </cell>
          <cell r="R1583" t="str">
            <v/>
          </cell>
          <cell r="S1583" t="str">
            <v/>
          </cell>
          <cell r="T1583" t="str">
            <v/>
          </cell>
          <cell r="U1583" t="str">
            <v>BB20446210001</v>
          </cell>
          <cell r="V1583" t="str">
            <v>B50</v>
          </cell>
          <cell r="W1583" t="str">
            <v/>
          </cell>
          <cell r="X1583" t="str">
            <v/>
          </cell>
          <cell r="Y1583" t="str">
            <v/>
          </cell>
          <cell r="Z1583" t="str">
            <v/>
          </cell>
          <cell r="AA1583" t="str">
            <v/>
          </cell>
          <cell r="AB1583" t="str">
            <v>70000841</v>
          </cell>
          <cell r="AC1583">
            <v>1</v>
          </cell>
          <cell r="AD1583" t="str">
            <v/>
          </cell>
          <cell r="AE1583">
            <v>0</v>
          </cell>
          <cell r="AF1583" t="str">
            <v/>
          </cell>
          <cell r="AG1583" t="str">
            <v>70000841</v>
          </cell>
          <cell r="AH1583">
            <v>44961.001250000001</v>
          </cell>
          <cell r="AI1583" t="str">
            <v>B50</v>
          </cell>
          <cell r="AJ1583" t="str">
            <v>F</v>
          </cell>
          <cell r="AK1583" t="str">
            <v>--</v>
          </cell>
        </row>
        <row r="1584">
          <cell r="A1584" t="str">
            <v>70001785828521</v>
          </cell>
          <cell r="B1584" t="str">
            <v>BL20230418-1</v>
          </cell>
          <cell r="C1584" t="e">
            <v>#N/A</v>
          </cell>
          <cell r="D1584" t="str">
            <v>EK65</v>
          </cell>
          <cell r="E1584" t="str">
            <v>706870</v>
          </cell>
          <cell r="F1584" t="str">
            <v>E</v>
          </cell>
          <cell r="G1584" t="str">
            <v>70001785</v>
          </cell>
          <cell r="H1584" t="str">
            <v>SHEET</v>
          </cell>
          <cell r="I1584">
            <v>180</v>
          </cell>
          <cell r="J1584" t="str">
            <v>Stk</v>
          </cell>
          <cell r="K1584">
            <v>45072</v>
          </cell>
          <cell r="L1584" t="str">
            <v>828521</v>
          </cell>
          <cell r="M1584" t="str">
            <v/>
          </cell>
          <cell r="N1584" t="str">
            <v/>
          </cell>
          <cell r="O1584" t="str">
            <v/>
          </cell>
          <cell r="P1584" t="str">
            <v/>
          </cell>
          <cell r="Q1584" t="str">
            <v>X2CrNi18-9</v>
          </cell>
          <cell r="R1584" t="str">
            <v>EN 10088</v>
          </cell>
          <cell r="S1584" t="str">
            <v/>
          </cell>
          <cell r="T1584" t="str">
            <v/>
          </cell>
          <cell r="U1584" t="str">
            <v>BB20034610030</v>
          </cell>
          <cell r="V1584" t="str">
            <v>B00</v>
          </cell>
          <cell r="W1584" t="str">
            <v/>
          </cell>
          <cell r="X1584" t="str">
            <v/>
          </cell>
          <cell r="Y1584" t="str">
            <v/>
          </cell>
          <cell r="Z1584" t="str">
            <v/>
          </cell>
          <cell r="AA1584" t="str">
            <v/>
          </cell>
          <cell r="AB1584" t="str">
            <v>70001785</v>
          </cell>
          <cell r="AC1584">
            <v>1</v>
          </cell>
          <cell r="AD1584" t="str">
            <v/>
          </cell>
          <cell r="AE1584">
            <v>0</v>
          </cell>
          <cell r="AF1584" t="str">
            <v/>
          </cell>
          <cell r="AG1584" t="str">
            <v>70001785</v>
          </cell>
          <cell r="AH1584">
            <v>44961.010254629633</v>
          </cell>
          <cell r="AI1584" t="str">
            <v>B00</v>
          </cell>
          <cell r="AJ1584" t="str">
            <v>F</v>
          </cell>
          <cell r="AK1584" t="str">
            <v>A0</v>
          </cell>
        </row>
        <row r="1585">
          <cell r="A1585" t="str">
            <v>70001786828521</v>
          </cell>
          <cell r="B1585" t="str">
            <v>BL20230418-1</v>
          </cell>
          <cell r="C1585" t="e">
            <v>#N/A</v>
          </cell>
          <cell r="D1585" t="str">
            <v>EK65</v>
          </cell>
          <cell r="E1585" t="str">
            <v>706871</v>
          </cell>
          <cell r="F1585" t="str">
            <v>E</v>
          </cell>
          <cell r="G1585" t="str">
            <v>70001786</v>
          </cell>
          <cell r="H1585" t="str">
            <v>SHEET</v>
          </cell>
          <cell r="I1585">
            <v>90</v>
          </cell>
          <cell r="J1585" t="str">
            <v>Stk</v>
          </cell>
          <cell r="K1585">
            <v>45072</v>
          </cell>
          <cell r="L1585" t="str">
            <v>828521</v>
          </cell>
          <cell r="M1585" t="str">
            <v/>
          </cell>
          <cell r="N1585" t="str">
            <v/>
          </cell>
          <cell r="O1585" t="str">
            <v/>
          </cell>
          <cell r="P1585" t="str">
            <v/>
          </cell>
          <cell r="Q1585" t="str">
            <v/>
          </cell>
          <cell r="R1585" t="str">
            <v/>
          </cell>
          <cell r="S1585" t="str">
            <v/>
          </cell>
          <cell r="T1585" t="str">
            <v/>
          </cell>
          <cell r="U1585" t="str">
            <v>BB20034610040</v>
          </cell>
          <cell r="V1585" t="str">
            <v>B00</v>
          </cell>
          <cell r="W1585" t="str">
            <v/>
          </cell>
          <cell r="X1585" t="str">
            <v/>
          </cell>
          <cell r="Y1585" t="str">
            <v/>
          </cell>
          <cell r="Z1585" t="str">
            <v/>
          </cell>
          <cell r="AA1585" t="str">
            <v/>
          </cell>
          <cell r="AB1585" t="str">
            <v>70001786</v>
          </cell>
          <cell r="AC1585">
            <v>1</v>
          </cell>
          <cell r="AD1585" t="str">
            <v/>
          </cell>
          <cell r="AE1585">
            <v>0</v>
          </cell>
          <cell r="AF1585" t="str">
            <v/>
          </cell>
          <cell r="AG1585" t="str">
            <v>70001786</v>
          </cell>
          <cell r="AH1585">
            <v>44961.010266203702</v>
          </cell>
          <cell r="AI1585" t="str">
            <v>B00</v>
          </cell>
          <cell r="AJ1585" t="str">
            <v>F</v>
          </cell>
          <cell r="AK1585" t="str">
            <v>--</v>
          </cell>
        </row>
        <row r="1586">
          <cell r="A1586" t="str">
            <v>70001787828521</v>
          </cell>
          <cell r="B1586" t="str">
            <v>BL20230418-1</v>
          </cell>
          <cell r="C1586" t="e">
            <v>#N/A</v>
          </cell>
          <cell r="D1586" t="str">
            <v>EK65</v>
          </cell>
          <cell r="E1586" t="str">
            <v>706872</v>
          </cell>
          <cell r="F1586" t="str">
            <v>E</v>
          </cell>
          <cell r="G1586" t="str">
            <v>70001787</v>
          </cell>
          <cell r="H1586" t="str">
            <v>SHEET</v>
          </cell>
          <cell r="I1586">
            <v>180</v>
          </cell>
          <cell r="J1586" t="str">
            <v>Stk</v>
          </cell>
          <cell r="K1586">
            <v>45072</v>
          </cell>
          <cell r="L1586" t="str">
            <v>828521</v>
          </cell>
          <cell r="M1586" t="str">
            <v/>
          </cell>
          <cell r="N1586" t="str">
            <v/>
          </cell>
          <cell r="O1586" t="str">
            <v/>
          </cell>
          <cell r="P1586" t="str">
            <v/>
          </cell>
          <cell r="Q1586" t="str">
            <v/>
          </cell>
          <cell r="R1586" t="str">
            <v/>
          </cell>
          <cell r="S1586" t="str">
            <v/>
          </cell>
          <cell r="T1586" t="str">
            <v/>
          </cell>
          <cell r="U1586" t="str">
            <v>BB20034610033</v>
          </cell>
          <cell r="V1586" t="str">
            <v>B00</v>
          </cell>
          <cell r="W1586" t="str">
            <v/>
          </cell>
          <cell r="X1586" t="str">
            <v/>
          </cell>
          <cell r="Y1586" t="str">
            <v/>
          </cell>
          <cell r="Z1586" t="str">
            <v/>
          </cell>
          <cell r="AA1586" t="str">
            <v/>
          </cell>
          <cell r="AB1586" t="str">
            <v>70001787</v>
          </cell>
          <cell r="AC1586">
            <v>1</v>
          </cell>
          <cell r="AD1586" t="str">
            <v/>
          </cell>
          <cell r="AE1586">
            <v>0</v>
          </cell>
          <cell r="AF1586" t="str">
            <v/>
          </cell>
          <cell r="AG1586" t="str">
            <v>70001787</v>
          </cell>
          <cell r="AH1586">
            <v>44961.010277777779</v>
          </cell>
          <cell r="AI1586" t="str">
            <v>B00</v>
          </cell>
          <cell r="AJ1586" t="str">
            <v>F</v>
          </cell>
          <cell r="AK1586" t="str">
            <v>--</v>
          </cell>
        </row>
        <row r="1587">
          <cell r="A1587" t="str">
            <v>70001788828521</v>
          </cell>
          <cell r="B1587" t="str">
            <v>BL20230418-1</v>
          </cell>
          <cell r="C1587" t="e">
            <v>#N/A</v>
          </cell>
          <cell r="D1587" t="str">
            <v>EK65</v>
          </cell>
          <cell r="E1587" t="str">
            <v>706873</v>
          </cell>
          <cell r="F1587" t="str">
            <v>E</v>
          </cell>
          <cell r="G1587" t="str">
            <v>70001788</v>
          </cell>
          <cell r="H1587" t="str">
            <v>SHEET</v>
          </cell>
          <cell r="I1587">
            <v>90</v>
          </cell>
          <cell r="J1587" t="str">
            <v>Stk</v>
          </cell>
          <cell r="K1587">
            <v>45072</v>
          </cell>
          <cell r="L1587" t="str">
            <v>828521</v>
          </cell>
          <cell r="M1587" t="str">
            <v/>
          </cell>
          <cell r="N1587" t="str">
            <v/>
          </cell>
          <cell r="O1587" t="str">
            <v/>
          </cell>
          <cell r="P1587" t="str">
            <v/>
          </cell>
          <cell r="Q1587" t="str">
            <v/>
          </cell>
          <cell r="R1587" t="str">
            <v/>
          </cell>
          <cell r="S1587" t="str">
            <v/>
          </cell>
          <cell r="T1587" t="str">
            <v/>
          </cell>
          <cell r="U1587" t="str">
            <v>BB20034610036</v>
          </cell>
          <cell r="V1587" t="str">
            <v>B00</v>
          </cell>
          <cell r="W1587" t="str">
            <v/>
          </cell>
          <cell r="X1587" t="str">
            <v/>
          </cell>
          <cell r="Y1587" t="str">
            <v/>
          </cell>
          <cell r="Z1587" t="str">
            <v/>
          </cell>
          <cell r="AA1587" t="str">
            <v/>
          </cell>
          <cell r="AB1587" t="str">
            <v>70001788</v>
          </cell>
          <cell r="AC1587">
            <v>1</v>
          </cell>
          <cell r="AD1587" t="str">
            <v/>
          </cell>
          <cell r="AE1587">
            <v>0</v>
          </cell>
          <cell r="AF1587" t="str">
            <v/>
          </cell>
          <cell r="AG1587" t="str">
            <v>70001788</v>
          </cell>
          <cell r="AH1587">
            <v>44961.010300925926</v>
          </cell>
          <cell r="AI1587" t="str">
            <v>B00</v>
          </cell>
          <cell r="AJ1587" t="str">
            <v>F</v>
          </cell>
          <cell r="AK1587" t="str">
            <v>--</v>
          </cell>
        </row>
        <row r="1588">
          <cell r="A1588" t="str">
            <v>70001789828521</v>
          </cell>
          <cell r="B1588" t="str">
            <v>BL20230418-1</v>
          </cell>
          <cell r="C1588" t="e">
            <v>#N/A</v>
          </cell>
          <cell r="D1588" t="str">
            <v>EK65</v>
          </cell>
          <cell r="E1588" t="str">
            <v>706874</v>
          </cell>
          <cell r="F1588" t="str">
            <v>E</v>
          </cell>
          <cell r="G1588" t="str">
            <v>70001789</v>
          </cell>
          <cell r="H1588" t="str">
            <v>SHEET</v>
          </cell>
          <cell r="I1588">
            <v>90</v>
          </cell>
          <cell r="J1588" t="str">
            <v>Stk</v>
          </cell>
          <cell r="K1588">
            <v>45072</v>
          </cell>
          <cell r="L1588" t="str">
            <v>828521</v>
          </cell>
          <cell r="M1588" t="str">
            <v/>
          </cell>
          <cell r="N1588" t="str">
            <v/>
          </cell>
          <cell r="O1588" t="str">
            <v/>
          </cell>
          <cell r="P1588" t="str">
            <v/>
          </cell>
          <cell r="Q1588" t="str">
            <v/>
          </cell>
          <cell r="R1588" t="str">
            <v/>
          </cell>
          <cell r="S1588" t="str">
            <v/>
          </cell>
          <cell r="T1588" t="str">
            <v/>
          </cell>
          <cell r="U1588" t="str">
            <v>BB20034610037</v>
          </cell>
          <cell r="V1588" t="str">
            <v>B00</v>
          </cell>
          <cell r="W1588" t="str">
            <v/>
          </cell>
          <cell r="X1588" t="str">
            <v/>
          </cell>
          <cell r="Y1588" t="str">
            <v/>
          </cell>
          <cell r="Z1588" t="str">
            <v/>
          </cell>
          <cell r="AA1588" t="str">
            <v/>
          </cell>
          <cell r="AB1588" t="str">
            <v>70001789</v>
          </cell>
          <cell r="AC1588">
            <v>1</v>
          </cell>
          <cell r="AD1588" t="str">
            <v/>
          </cell>
          <cell r="AE1588">
            <v>0</v>
          </cell>
          <cell r="AF1588" t="str">
            <v/>
          </cell>
          <cell r="AG1588" t="str">
            <v>70001789</v>
          </cell>
          <cell r="AH1588">
            <v>44961.010312500002</v>
          </cell>
          <cell r="AI1588" t="str">
            <v>B00</v>
          </cell>
          <cell r="AJ1588" t="str">
            <v>F</v>
          </cell>
          <cell r="AK1588" t="str">
            <v>--</v>
          </cell>
        </row>
        <row r="1589">
          <cell r="A1589" t="str">
            <v>70001790828521</v>
          </cell>
          <cell r="B1589" t="str">
            <v>BL20230418-1</v>
          </cell>
          <cell r="C1589" t="e">
            <v>#N/A</v>
          </cell>
          <cell r="D1589" t="str">
            <v>EK65</v>
          </cell>
          <cell r="E1589" t="str">
            <v>706875</v>
          </cell>
          <cell r="F1589" t="str">
            <v>E</v>
          </cell>
          <cell r="G1589" t="str">
            <v>70001790</v>
          </cell>
          <cell r="H1589" t="str">
            <v>SHEET</v>
          </cell>
          <cell r="I1589">
            <v>90</v>
          </cell>
          <cell r="J1589" t="str">
            <v>Stk</v>
          </cell>
          <cell r="K1589">
            <v>45072</v>
          </cell>
          <cell r="L1589" t="str">
            <v>828521</v>
          </cell>
          <cell r="M1589" t="str">
            <v/>
          </cell>
          <cell r="N1589" t="str">
            <v/>
          </cell>
          <cell r="O1589" t="str">
            <v/>
          </cell>
          <cell r="P1589" t="str">
            <v/>
          </cell>
          <cell r="Q1589" t="str">
            <v/>
          </cell>
          <cell r="R1589" t="str">
            <v/>
          </cell>
          <cell r="S1589" t="str">
            <v/>
          </cell>
          <cell r="T1589" t="str">
            <v/>
          </cell>
          <cell r="U1589" t="str">
            <v>BB20034610035</v>
          </cell>
          <cell r="V1589" t="str">
            <v>B00</v>
          </cell>
          <cell r="W1589" t="str">
            <v/>
          </cell>
          <cell r="X1589" t="str">
            <v/>
          </cell>
          <cell r="Y1589" t="str">
            <v/>
          </cell>
          <cell r="Z1589" t="str">
            <v/>
          </cell>
          <cell r="AA1589" t="str">
            <v/>
          </cell>
          <cell r="AB1589" t="str">
            <v>70001790</v>
          </cell>
          <cell r="AC1589">
            <v>1</v>
          </cell>
          <cell r="AD1589" t="str">
            <v/>
          </cell>
          <cell r="AE1589">
            <v>0</v>
          </cell>
          <cell r="AF1589" t="str">
            <v/>
          </cell>
          <cell r="AG1589" t="str">
            <v>70001790</v>
          </cell>
          <cell r="AH1589">
            <v>44961.010324074072</v>
          </cell>
          <cell r="AI1589" t="str">
            <v>B00</v>
          </cell>
          <cell r="AJ1589" t="str">
            <v>F</v>
          </cell>
          <cell r="AK1589" t="str">
            <v>--</v>
          </cell>
        </row>
        <row r="1590">
          <cell r="A1590" t="str">
            <v>70001791828521</v>
          </cell>
          <cell r="B1590" t="str">
            <v>BL20230418-1</v>
          </cell>
          <cell r="C1590" t="e">
            <v>#N/A</v>
          </cell>
          <cell r="D1590" t="str">
            <v>EK65</v>
          </cell>
          <cell r="E1590" t="str">
            <v>706876</v>
          </cell>
          <cell r="F1590" t="str">
            <v>E</v>
          </cell>
          <cell r="G1590" t="str">
            <v>70001791</v>
          </cell>
          <cell r="H1590" t="str">
            <v>SHEET</v>
          </cell>
          <cell r="I1590">
            <v>90</v>
          </cell>
          <cell r="J1590" t="str">
            <v>Stk</v>
          </cell>
          <cell r="K1590">
            <v>45072</v>
          </cell>
          <cell r="L1590" t="str">
            <v>828521</v>
          </cell>
          <cell r="M1590" t="str">
            <v/>
          </cell>
          <cell r="N1590" t="str">
            <v/>
          </cell>
          <cell r="O1590" t="str">
            <v/>
          </cell>
          <cell r="P1590" t="str">
            <v/>
          </cell>
          <cell r="Q1590" t="str">
            <v/>
          </cell>
          <cell r="R1590" t="str">
            <v/>
          </cell>
          <cell r="S1590" t="str">
            <v/>
          </cell>
          <cell r="T1590" t="str">
            <v/>
          </cell>
          <cell r="U1590" t="str">
            <v>BB20034610042</v>
          </cell>
          <cell r="V1590" t="str">
            <v>B00</v>
          </cell>
          <cell r="W1590" t="str">
            <v/>
          </cell>
          <cell r="X1590" t="str">
            <v/>
          </cell>
          <cell r="Y1590" t="str">
            <v/>
          </cell>
          <cell r="Z1590" t="str">
            <v/>
          </cell>
          <cell r="AA1590" t="str">
            <v/>
          </cell>
          <cell r="AB1590" t="str">
            <v>70001791</v>
          </cell>
          <cell r="AC1590">
            <v>1</v>
          </cell>
          <cell r="AD1590" t="str">
            <v/>
          </cell>
          <cell r="AE1590">
            <v>0</v>
          </cell>
          <cell r="AF1590" t="str">
            <v/>
          </cell>
          <cell r="AG1590" t="str">
            <v>70001791</v>
          </cell>
          <cell r="AH1590">
            <v>44961.010335648149</v>
          </cell>
          <cell r="AI1590" t="str">
            <v>B00</v>
          </cell>
          <cell r="AJ1590" t="str">
            <v>F</v>
          </cell>
          <cell r="AK1590" t="str">
            <v>--</v>
          </cell>
        </row>
        <row r="1591">
          <cell r="A1591" t="str">
            <v>70000849828521</v>
          </cell>
          <cell r="B1591" t="str">
            <v>BL20230418-1</v>
          </cell>
          <cell r="C1591" t="e">
            <v>#N/A</v>
          </cell>
          <cell r="D1591" t="str">
            <v>EK65</v>
          </cell>
          <cell r="E1591" t="str">
            <v>707743</v>
          </cell>
          <cell r="F1591" t="str">
            <v>E</v>
          </cell>
          <cell r="G1591" t="str">
            <v>70000849</v>
          </cell>
          <cell r="H1591" t="str">
            <v>PLATE</v>
          </cell>
          <cell r="I1591">
            <v>45</v>
          </cell>
          <cell r="J1591" t="str">
            <v>Stk</v>
          </cell>
          <cell r="K1591">
            <v>45072</v>
          </cell>
          <cell r="L1591" t="str">
            <v>828521</v>
          </cell>
          <cell r="M1591" t="str">
            <v/>
          </cell>
          <cell r="N1591" t="str">
            <v/>
          </cell>
          <cell r="O1591" t="str">
            <v/>
          </cell>
          <cell r="P1591" t="str">
            <v/>
          </cell>
          <cell r="Q1591" t="str">
            <v/>
          </cell>
          <cell r="R1591" t="str">
            <v/>
          </cell>
          <cell r="S1591" t="str">
            <v/>
          </cell>
          <cell r="T1591" t="str">
            <v/>
          </cell>
          <cell r="U1591" t="str">
            <v>BB20020030105</v>
          </cell>
          <cell r="V1591" t="str">
            <v>B00</v>
          </cell>
          <cell r="W1591" t="str">
            <v/>
          </cell>
          <cell r="X1591" t="str">
            <v/>
          </cell>
          <cell r="Y1591" t="str">
            <v/>
          </cell>
          <cell r="Z1591" t="str">
            <v/>
          </cell>
          <cell r="AA1591" t="str">
            <v/>
          </cell>
          <cell r="AB1591" t="str">
            <v>70000849</v>
          </cell>
          <cell r="AC1591">
            <v>1</v>
          </cell>
          <cell r="AD1591" t="str">
            <v/>
          </cell>
          <cell r="AE1591">
            <v>0</v>
          </cell>
          <cell r="AF1591" t="str">
            <v/>
          </cell>
          <cell r="AG1591" t="str">
            <v>70000849</v>
          </cell>
          <cell r="AH1591">
            <v>44961.057708333334</v>
          </cell>
          <cell r="AI1591" t="str">
            <v>B00</v>
          </cell>
          <cell r="AJ1591" t="str">
            <v>F</v>
          </cell>
          <cell r="AK1591" t="str">
            <v>--</v>
          </cell>
        </row>
        <row r="1592">
          <cell r="A1592" t="str">
            <v>70000860828521</v>
          </cell>
          <cell r="B1592" t="str">
            <v>BL20230418-1</v>
          </cell>
          <cell r="C1592" t="e">
            <v>#N/A</v>
          </cell>
          <cell r="D1592" t="str">
            <v>EK65</v>
          </cell>
          <cell r="E1592" t="str">
            <v>707744</v>
          </cell>
          <cell r="F1592" t="str">
            <v>E</v>
          </cell>
          <cell r="G1592" t="str">
            <v>70000860</v>
          </cell>
          <cell r="H1592" t="str">
            <v>PLATE</v>
          </cell>
          <cell r="I1592">
            <v>90</v>
          </cell>
          <cell r="J1592" t="str">
            <v>Stk</v>
          </cell>
          <cell r="K1592">
            <v>45072</v>
          </cell>
          <cell r="L1592" t="str">
            <v>828521</v>
          </cell>
          <cell r="M1592" t="str">
            <v/>
          </cell>
          <cell r="N1592" t="str">
            <v/>
          </cell>
          <cell r="O1592" t="str">
            <v/>
          </cell>
          <cell r="P1592" t="str">
            <v/>
          </cell>
          <cell r="Q1592" t="str">
            <v/>
          </cell>
          <cell r="R1592" t="str">
            <v/>
          </cell>
          <cell r="S1592" t="str">
            <v/>
          </cell>
          <cell r="T1592" t="str">
            <v/>
          </cell>
          <cell r="U1592" t="str">
            <v>BB20020030501</v>
          </cell>
          <cell r="V1592" t="str">
            <v>B00</v>
          </cell>
          <cell r="W1592" t="str">
            <v/>
          </cell>
          <cell r="X1592" t="str">
            <v/>
          </cell>
          <cell r="Y1592" t="str">
            <v/>
          </cell>
          <cell r="Z1592" t="str">
            <v/>
          </cell>
          <cell r="AA1592" t="str">
            <v/>
          </cell>
          <cell r="AB1592" t="str">
            <v>70000860</v>
          </cell>
          <cell r="AC1592">
            <v>1</v>
          </cell>
          <cell r="AD1592" t="str">
            <v/>
          </cell>
          <cell r="AE1592">
            <v>0</v>
          </cell>
          <cell r="AF1592" t="str">
            <v/>
          </cell>
          <cell r="AG1592" t="str">
            <v>70000860</v>
          </cell>
          <cell r="AH1592">
            <v>44961.057893518519</v>
          </cell>
          <cell r="AI1592" t="str">
            <v>B00</v>
          </cell>
          <cell r="AJ1592" t="str">
            <v>F</v>
          </cell>
          <cell r="AK1592" t="str">
            <v>--</v>
          </cell>
        </row>
        <row r="1593">
          <cell r="A1593" t="str">
            <v>70002594828521</v>
          </cell>
          <cell r="B1593" t="str">
            <v>BL20230418-1</v>
          </cell>
          <cell r="C1593" t="e">
            <v>#N/A</v>
          </cell>
          <cell r="D1593" t="str">
            <v>EK65</v>
          </cell>
          <cell r="E1593" t="str">
            <v>707760</v>
          </cell>
          <cell r="F1593" t="str">
            <v>E</v>
          </cell>
          <cell r="G1593" t="str">
            <v>70002594</v>
          </cell>
          <cell r="H1593" t="str">
            <v>PLATE</v>
          </cell>
          <cell r="I1593">
            <v>180</v>
          </cell>
          <cell r="J1593" t="str">
            <v>Stk</v>
          </cell>
          <cell r="K1593">
            <v>45072</v>
          </cell>
          <cell r="L1593" t="str">
            <v>828521</v>
          </cell>
          <cell r="M1593" t="str">
            <v/>
          </cell>
          <cell r="N1593" t="str">
            <v/>
          </cell>
          <cell r="O1593" t="str">
            <v/>
          </cell>
          <cell r="P1593" t="str">
            <v/>
          </cell>
          <cell r="Q1593" t="str">
            <v>X2CrNi18-9</v>
          </cell>
          <cell r="R1593" t="str">
            <v>EN 10088</v>
          </cell>
          <cell r="S1593" t="str">
            <v/>
          </cell>
          <cell r="T1593" t="str">
            <v/>
          </cell>
          <cell r="U1593" t="str">
            <v>BB20031610012</v>
          </cell>
          <cell r="V1593" t="str">
            <v>B00</v>
          </cell>
          <cell r="W1593" t="str">
            <v/>
          </cell>
          <cell r="X1593" t="str">
            <v/>
          </cell>
          <cell r="Y1593" t="str">
            <v/>
          </cell>
          <cell r="Z1593" t="str">
            <v/>
          </cell>
          <cell r="AA1593" t="str">
            <v/>
          </cell>
          <cell r="AB1593" t="str">
            <v>70002594</v>
          </cell>
          <cell r="AC1593">
            <v>1</v>
          </cell>
          <cell r="AD1593" t="str">
            <v/>
          </cell>
          <cell r="AE1593">
            <v>0</v>
          </cell>
          <cell r="AF1593" t="str">
            <v/>
          </cell>
          <cell r="AG1593" t="str">
            <v>70002594</v>
          </cell>
          <cell r="AH1593">
            <v>44961.059502314813</v>
          </cell>
          <cell r="AI1593" t="str">
            <v>B00</v>
          </cell>
          <cell r="AJ1593" t="str">
            <v>F</v>
          </cell>
          <cell r="AK1593" t="str">
            <v>--</v>
          </cell>
        </row>
        <row r="1594">
          <cell r="A1594" t="str">
            <v>70002595828521</v>
          </cell>
          <cell r="B1594" t="str">
            <v>BL20230418-1</v>
          </cell>
          <cell r="C1594" t="e">
            <v>#N/A</v>
          </cell>
          <cell r="D1594" t="str">
            <v>EK65</v>
          </cell>
          <cell r="E1594" t="str">
            <v>707761</v>
          </cell>
          <cell r="F1594" t="str">
            <v>E</v>
          </cell>
          <cell r="G1594" t="str">
            <v>70002595</v>
          </cell>
          <cell r="H1594" t="str">
            <v>PLATE</v>
          </cell>
          <cell r="I1594">
            <v>180</v>
          </cell>
          <cell r="J1594" t="str">
            <v>Stk</v>
          </cell>
          <cell r="K1594">
            <v>45072</v>
          </cell>
          <cell r="L1594" t="str">
            <v>828521</v>
          </cell>
          <cell r="M1594" t="str">
            <v/>
          </cell>
          <cell r="N1594" t="str">
            <v/>
          </cell>
          <cell r="O1594" t="str">
            <v/>
          </cell>
          <cell r="P1594" t="str">
            <v/>
          </cell>
          <cell r="Q1594" t="str">
            <v>X2CrNi18-9</v>
          </cell>
          <cell r="R1594" t="str">
            <v>EN 10088</v>
          </cell>
          <cell r="S1594" t="str">
            <v/>
          </cell>
          <cell r="T1594" t="str">
            <v/>
          </cell>
          <cell r="U1594" t="str">
            <v>BB20031610018</v>
          </cell>
          <cell r="V1594" t="str">
            <v>B00</v>
          </cell>
          <cell r="W1594" t="str">
            <v/>
          </cell>
          <cell r="X1594" t="str">
            <v/>
          </cell>
          <cell r="Y1594" t="str">
            <v/>
          </cell>
          <cell r="Z1594" t="str">
            <v/>
          </cell>
          <cell r="AA1594" t="str">
            <v/>
          </cell>
          <cell r="AB1594" t="str">
            <v>70002595</v>
          </cell>
          <cell r="AC1594">
            <v>1</v>
          </cell>
          <cell r="AD1594" t="str">
            <v/>
          </cell>
          <cell r="AE1594">
            <v>0</v>
          </cell>
          <cell r="AF1594" t="str">
            <v/>
          </cell>
          <cell r="AG1594" t="str">
            <v>70002595</v>
          </cell>
          <cell r="AH1594">
            <v>44961.059513888889</v>
          </cell>
          <cell r="AI1594" t="str">
            <v>B00</v>
          </cell>
          <cell r="AJ1594" t="str">
            <v>F</v>
          </cell>
          <cell r="AK1594" t="str">
            <v>--</v>
          </cell>
        </row>
        <row r="1595">
          <cell r="A1595" t="str">
            <v>70001794828521</v>
          </cell>
          <cell r="B1595" t="str">
            <v>BL20230418-1</v>
          </cell>
          <cell r="C1595" t="e">
            <v>#N/A</v>
          </cell>
          <cell r="D1595" t="str">
            <v>EK65</v>
          </cell>
          <cell r="E1595" t="str">
            <v>723436</v>
          </cell>
          <cell r="F1595" t="str">
            <v>E</v>
          </cell>
          <cell r="G1595" t="str">
            <v>70001794</v>
          </cell>
          <cell r="H1595" t="str">
            <v>SHEET</v>
          </cell>
          <cell r="I1595">
            <v>90</v>
          </cell>
          <cell r="J1595" t="str">
            <v>Stk</v>
          </cell>
          <cell r="K1595">
            <v>45072</v>
          </cell>
          <cell r="L1595" t="str">
            <v>828521</v>
          </cell>
          <cell r="M1595" t="str">
            <v/>
          </cell>
          <cell r="N1595" t="str">
            <v/>
          </cell>
          <cell r="O1595" t="str">
            <v/>
          </cell>
          <cell r="P1595" t="str">
            <v/>
          </cell>
          <cell r="Q1595" t="str">
            <v>X2CrNi18-9</v>
          </cell>
          <cell r="R1595" t="str">
            <v>EN 10088</v>
          </cell>
          <cell r="S1595" t="str">
            <v/>
          </cell>
          <cell r="T1595" t="str">
            <v/>
          </cell>
          <cell r="U1595" t="str">
            <v>BB20034610062</v>
          </cell>
          <cell r="V1595" t="str">
            <v>A00</v>
          </cell>
          <cell r="W1595" t="str">
            <v/>
          </cell>
          <cell r="X1595" t="str">
            <v/>
          </cell>
          <cell r="Y1595" t="str">
            <v/>
          </cell>
          <cell r="Z1595" t="str">
            <v/>
          </cell>
          <cell r="AA1595" t="str">
            <v/>
          </cell>
          <cell r="AB1595" t="str">
            <v>70001794</v>
          </cell>
          <cell r="AC1595">
            <v>1</v>
          </cell>
          <cell r="AD1595" t="str">
            <v/>
          </cell>
          <cell r="AE1595">
            <v>0</v>
          </cell>
          <cell r="AF1595" t="str">
            <v/>
          </cell>
          <cell r="AG1595" t="str">
            <v>70001794</v>
          </cell>
          <cell r="AH1595">
            <v>45016.921527777777</v>
          </cell>
          <cell r="AI1595" t="str">
            <v>A00</v>
          </cell>
          <cell r="AJ1595" t="str">
            <v>F</v>
          </cell>
          <cell r="AK1595" t="str">
            <v>--</v>
          </cell>
        </row>
        <row r="1596">
          <cell r="A1596" t="str">
            <v>70001795828521</v>
          </cell>
          <cell r="B1596" t="str">
            <v>BL20230418-1</v>
          </cell>
          <cell r="C1596" t="e">
            <v>#N/A</v>
          </cell>
          <cell r="D1596" t="str">
            <v>EK65</v>
          </cell>
          <cell r="E1596" t="str">
            <v>723437</v>
          </cell>
          <cell r="F1596" t="str">
            <v>E</v>
          </cell>
          <cell r="G1596" t="str">
            <v>70001795</v>
          </cell>
          <cell r="H1596" t="str">
            <v>SHEET</v>
          </cell>
          <cell r="I1596">
            <v>90</v>
          </cell>
          <cell r="J1596" t="str">
            <v>Stk</v>
          </cell>
          <cell r="K1596">
            <v>45072</v>
          </cell>
          <cell r="L1596" t="str">
            <v>828521</v>
          </cell>
          <cell r="M1596" t="str">
            <v/>
          </cell>
          <cell r="N1596" t="str">
            <v/>
          </cell>
          <cell r="O1596" t="str">
            <v/>
          </cell>
          <cell r="P1596" t="str">
            <v/>
          </cell>
          <cell r="Q1596" t="str">
            <v>X2CrNi18-9</v>
          </cell>
          <cell r="R1596" t="str">
            <v>EN 10088</v>
          </cell>
          <cell r="S1596" t="str">
            <v/>
          </cell>
          <cell r="T1596" t="str">
            <v/>
          </cell>
          <cell r="U1596" t="str">
            <v>BB20034610063</v>
          </cell>
          <cell r="V1596" t="str">
            <v>A00</v>
          </cell>
          <cell r="W1596" t="str">
            <v/>
          </cell>
          <cell r="X1596" t="str">
            <v/>
          </cell>
          <cell r="Y1596" t="str">
            <v/>
          </cell>
          <cell r="Z1596" t="str">
            <v/>
          </cell>
          <cell r="AA1596" t="str">
            <v/>
          </cell>
          <cell r="AB1596" t="str">
            <v>70001795</v>
          </cell>
          <cell r="AC1596">
            <v>1</v>
          </cell>
          <cell r="AD1596" t="str">
            <v/>
          </cell>
          <cell r="AE1596">
            <v>0</v>
          </cell>
          <cell r="AF1596" t="str">
            <v/>
          </cell>
          <cell r="AG1596" t="str">
            <v>70001795</v>
          </cell>
          <cell r="AH1596">
            <v>45016.921550925923</v>
          </cell>
          <cell r="AI1596" t="str">
            <v>A00</v>
          </cell>
          <cell r="AJ1596" t="str">
            <v>F</v>
          </cell>
          <cell r="AK1596" t="str">
            <v>--</v>
          </cell>
        </row>
        <row r="1597">
          <cell r="A1597" t="str">
            <v>70000275828521</v>
          </cell>
          <cell r="B1597">
            <v>0</v>
          </cell>
          <cell r="C1597" t="e">
            <v>#N/A</v>
          </cell>
          <cell r="D1597" t="str">
            <v>EK65</v>
          </cell>
          <cell r="E1597" t="str">
            <v>706706</v>
          </cell>
          <cell r="F1597" t="str">
            <v>E</v>
          </cell>
          <cell r="G1597" t="str">
            <v>70000275</v>
          </cell>
          <cell r="H1597" t="str">
            <v>PLATE</v>
          </cell>
          <cell r="I1597">
            <v>360</v>
          </cell>
          <cell r="J1597" t="str">
            <v>Stk</v>
          </cell>
          <cell r="K1597">
            <v>45076</v>
          </cell>
          <cell r="L1597" t="str">
            <v>828521</v>
          </cell>
          <cell r="M1597" t="str">
            <v/>
          </cell>
          <cell r="N1597" t="str">
            <v/>
          </cell>
          <cell r="O1597" t="str">
            <v/>
          </cell>
          <cell r="P1597" t="str">
            <v/>
          </cell>
          <cell r="Q1597" t="str">
            <v>AW 5083 H111</v>
          </cell>
          <cell r="R1597" t="str">
            <v>EN 485</v>
          </cell>
          <cell r="S1597" t="str">
            <v/>
          </cell>
          <cell r="T1597" t="str">
            <v/>
          </cell>
          <cell r="U1597" t="str">
            <v>BB20032710202</v>
          </cell>
          <cell r="V1597" t="str">
            <v>B00</v>
          </cell>
          <cell r="W1597" t="str">
            <v/>
          </cell>
          <cell r="X1597" t="str">
            <v/>
          </cell>
          <cell r="Y1597" t="str">
            <v/>
          </cell>
          <cell r="Z1597" t="str">
            <v/>
          </cell>
          <cell r="AA1597" t="str">
            <v/>
          </cell>
          <cell r="AB1597" t="str">
            <v>70000275</v>
          </cell>
          <cell r="AC1597">
            <v>1</v>
          </cell>
          <cell r="AD1597" t="str">
            <v/>
          </cell>
          <cell r="AE1597">
            <v>0</v>
          </cell>
          <cell r="AF1597" t="str">
            <v/>
          </cell>
          <cell r="AG1597" t="str">
            <v>70000275</v>
          </cell>
          <cell r="AH1597">
            <v>44960.992905092593</v>
          </cell>
          <cell r="AI1597" t="str">
            <v>B00</v>
          </cell>
          <cell r="AJ1597" t="str">
            <v>F</v>
          </cell>
          <cell r="AK1597" t="str">
            <v>B0</v>
          </cell>
        </row>
        <row r="1598">
          <cell r="A1598" t="str">
            <v>70000419828521</v>
          </cell>
          <cell r="B1598">
            <v>0</v>
          </cell>
          <cell r="C1598" t="e">
            <v>#N/A</v>
          </cell>
          <cell r="D1598" t="str">
            <v>EK65</v>
          </cell>
          <cell r="E1598" t="str">
            <v>706714</v>
          </cell>
          <cell r="F1598" t="str">
            <v>E</v>
          </cell>
          <cell r="G1598" t="str">
            <v>70000419</v>
          </cell>
          <cell r="H1598" t="str">
            <v>PLATE</v>
          </cell>
          <cell r="I1598">
            <v>90</v>
          </cell>
          <cell r="J1598" t="str">
            <v>Stk</v>
          </cell>
          <cell r="K1598">
            <v>45076</v>
          </cell>
          <cell r="L1598" t="str">
            <v>828521</v>
          </cell>
          <cell r="M1598" t="str">
            <v/>
          </cell>
          <cell r="N1598" t="str">
            <v/>
          </cell>
          <cell r="O1598" t="str">
            <v/>
          </cell>
          <cell r="P1598" t="str">
            <v/>
          </cell>
          <cell r="Q1598" t="str">
            <v/>
          </cell>
          <cell r="R1598" t="str">
            <v/>
          </cell>
          <cell r="S1598" t="str">
            <v/>
          </cell>
          <cell r="T1598" t="str">
            <v/>
          </cell>
          <cell r="U1598" t="str">
            <v>BB20034630015</v>
          </cell>
          <cell r="V1598" t="str">
            <v>B00</v>
          </cell>
          <cell r="W1598" t="str">
            <v/>
          </cell>
          <cell r="X1598" t="str">
            <v/>
          </cell>
          <cell r="Y1598" t="str">
            <v/>
          </cell>
          <cell r="Z1598" t="str">
            <v/>
          </cell>
          <cell r="AA1598" t="str">
            <v/>
          </cell>
          <cell r="AB1598" t="str">
            <v>70000419</v>
          </cell>
          <cell r="AC1598">
            <v>1</v>
          </cell>
          <cell r="AD1598" t="str">
            <v/>
          </cell>
          <cell r="AE1598">
            <v>0</v>
          </cell>
          <cell r="AF1598" t="str">
            <v/>
          </cell>
          <cell r="AG1598" t="str">
            <v>70000419</v>
          </cell>
          <cell r="AH1598">
            <v>44960.993900462963</v>
          </cell>
          <cell r="AI1598" t="str">
            <v>B00</v>
          </cell>
          <cell r="AJ1598" t="str">
            <v>F</v>
          </cell>
          <cell r="AK1598" t="str">
            <v>--</v>
          </cell>
        </row>
        <row r="1599">
          <cell r="A1599" t="str">
            <v>70000420828521</v>
          </cell>
          <cell r="B1599">
            <v>0</v>
          </cell>
          <cell r="C1599" t="e">
            <v>#N/A</v>
          </cell>
          <cell r="D1599" t="str">
            <v>EK65</v>
          </cell>
          <cell r="E1599" t="str">
            <v>706715</v>
          </cell>
          <cell r="F1599" t="str">
            <v>E</v>
          </cell>
          <cell r="G1599" t="str">
            <v>70000420</v>
          </cell>
          <cell r="H1599" t="str">
            <v>PLATE</v>
          </cell>
          <cell r="I1599">
            <v>90</v>
          </cell>
          <cell r="J1599" t="str">
            <v>Stk</v>
          </cell>
          <cell r="K1599">
            <v>45076</v>
          </cell>
          <cell r="L1599" t="str">
            <v>828521</v>
          </cell>
          <cell r="M1599" t="str">
            <v/>
          </cell>
          <cell r="N1599" t="str">
            <v/>
          </cell>
          <cell r="O1599" t="str">
            <v/>
          </cell>
          <cell r="P1599" t="str">
            <v/>
          </cell>
          <cell r="Q1599" t="str">
            <v/>
          </cell>
          <cell r="R1599" t="str">
            <v/>
          </cell>
          <cell r="S1599" t="str">
            <v/>
          </cell>
          <cell r="T1599" t="str">
            <v/>
          </cell>
          <cell r="U1599" t="str">
            <v>BB20034630016</v>
          </cell>
          <cell r="V1599" t="str">
            <v>B00</v>
          </cell>
          <cell r="W1599" t="str">
            <v/>
          </cell>
          <cell r="X1599" t="str">
            <v/>
          </cell>
          <cell r="Y1599" t="str">
            <v/>
          </cell>
          <cell r="Z1599" t="str">
            <v/>
          </cell>
          <cell r="AA1599" t="str">
            <v/>
          </cell>
          <cell r="AB1599" t="str">
            <v>70000420</v>
          </cell>
          <cell r="AC1599">
            <v>1</v>
          </cell>
          <cell r="AD1599" t="str">
            <v/>
          </cell>
          <cell r="AE1599">
            <v>0</v>
          </cell>
          <cell r="AF1599" t="str">
            <v/>
          </cell>
          <cell r="AG1599" t="str">
            <v>70000420</v>
          </cell>
          <cell r="AH1599">
            <v>44960.99391203704</v>
          </cell>
          <cell r="AI1599" t="str">
            <v>B00</v>
          </cell>
          <cell r="AJ1599" t="str">
            <v>F</v>
          </cell>
          <cell r="AK1599" t="str">
            <v>--</v>
          </cell>
        </row>
        <row r="1600">
          <cell r="A1600" t="str">
            <v>70000421828521</v>
          </cell>
          <cell r="B1600">
            <v>0</v>
          </cell>
          <cell r="C1600" t="e">
            <v>#N/A</v>
          </cell>
          <cell r="D1600" t="str">
            <v>EK65</v>
          </cell>
          <cell r="E1600" t="str">
            <v>706716</v>
          </cell>
          <cell r="F1600" t="str">
            <v>E</v>
          </cell>
          <cell r="G1600" t="str">
            <v>70000421</v>
          </cell>
          <cell r="H1600" t="str">
            <v>CHAPA</v>
          </cell>
          <cell r="I1600">
            <v>90</v>
          </cell>
          <cell r="J1600" t="str">
            <v>Stk</v>
          </cell>
          <cell r="K1600">
            <v>45076</v>
          </cell>
          <cell r="L1600" t="str">
            <v>828521</v>
          </cell>
          <cell r="M1600" t="str">
            <v/>
          </cell>
          <cell r="N1600" t="str">
            <v/>
          </cell>
          <cell r="O1600" t="str">
            <v/>
          </cell>
          <cell r="P1600" t="str">
            <v/>
          </cell>
          <cell r="Q1600" t="str">
            <v/>
          </cell>
          <cell r="R1600" t="str">
            <v/>
          </cell>
          <cell r="S1600" t="str">
            <v/>
          </cell>
          <cell r="T1600" t="str">
            <v/>
          </cell>
          <cell r="U1600" t="str">
            <v>BB20034630017</v>
          </cell>
          <cell r="V1600" t="str">
            <v>B00</v>
          </cell>
          <cell r="W1600" t="str">
            <v/>
          </cell>
          <cell r="X1600" t="str">
            <v/>
          </cell>
          <cell r="Y1600" t="str">
            <v/>
          </cell>
          <cell r="Z1600" t="str">
            <v/>
          </cell>
          <cell r="AA1600" t="str">
            <v/>
          </cell>
          <cell r="AB1600" t="str">
            <v>70000421</v>
          </cell>
          <cell r="AC1600">
            <v>1</v>
          </cell>
          <cell r="AD1600" t="str">
            <v/>
          </cell>
          <cell r="AE1600">
            <v>0</v>
          </cell>
          <cell r="AF1600" t="str">
            <v/>
          </cell>
          <cell r="AG1600" t="str">
            <v>70000421</v>
          </cell>
          <cell r="AH1600">
            <v>44960.993923611109</v>
          </cell>
          <cell r="AI1600" t="str">
            <v>B00</v>
          </cell>
          <cell r="AJ1600" t="str">
            <v>F</v>
          </cell>
          <cell r="AK1600" t="str">
            <v>--</v>
          </cell>
        </row>
        <row r="1601">
          <cell r="A1601" t="str">
            <v>70000422828521</v>
          </cell>
          <cell r="B1601">
            <v>0</v>
          </cell>
          <cell r="C1601" t="e">
            <v>#N/A</v>
          </cell>
          <cell r="D1601" t="str">
            <v>EK65</v>
          </cell>
          <cell r="E1601" t="str">
            <v>706717</v>
          </cell>
          <cell r="F1601" t="str">
            <v>E</v>
          </cell>
          <cell r="G1601" t="str">
            <v>70000422</v>
          </cell>
          <cell r="H1601" t="str">
            <v>PLATE</v>
          </cell>
          <cell r="I1601">
            <v>90</v>
          </cell>
          <cell r="J1601" t="str">
            <v>Stk</v>
          </cell>
          <cell r="K1601">
            <v>45076</v>
          </cell>
          <cell r="L1601" t="str">
            <v>828521</v>
          </cell>
          <cell r="M1601" t="str">
            <v/>
          </cell>
          <cell r="N1601" t="str">
            <v/>
          </cell>
          <cell r="O1601" t="str">
            <v/>
          </cell>
          <cell r="P1601" t="str">
            <v/>
          </cell>
          <cell r="Q1601" t="str">
            <v/>
          </cell>
          <cell r="R1601" t="str">
            <v/>
          </cell>
          <cell r="S1601" t="str">
            <v/>
          </cell>
          <cell r="T1601" t="str">
            <v/>
          </cell>
          <cell r="U1601" t="str">
            <v>BB20034630020</v>
          </cell>
          <cell r="V1601" t="str">
            <v>B00</v>
          </cell>
          <cell r="W1601" t="str">
            <v/>
          </cell>
          <cell r="X1601" t="str">
            <v/>
          </cell>
          <cell r="Y1601" t="str">
            <v/>
          </cell>
          <cell r="Z1601" t="str">
            <v/>
          </cell>
          <cell r="AA1601" t="str">
            <v/>
          </cell>
          <cell r="AB1601" t="str">
            <v>70000422</v>
          </cell>
          <cell r="AC1601">
            <v>1</v>
          </cell>
          <cell r="AD1601" t="str">
            <v/>
          </cell>
          <cell r="AE1601">
            <v>0</v>
          </cell>
          <cell r="AF1601" t="str">
            <v/>
          </cell>
          <cell r="AG1601" t="str">
            <v>70000422</v>
          </cell>
          <cell r="AH1601">
            <v>44960.993923611109</v>
          </cell>
          <cell r="AI1601" t="str">
            <v>B00</v>
          </cell>
          <cell r="AJ1601" t="str">
            <v>F</v>
          </cell>
          <cell r="AK1601" t="str">
            <v>--</v>
          </cell>
        </row>
        <row r="1602">
          <cell r="A1602" t="str">
            <v>70000423828521</v>
          </cell>
          <cell r="B1602">
            <v>0</v>
          </cell>
          <cell r="C1602" t="e">
            <v>#N/A</v>
          </cell>
          <cell r="D1602" t="str">
            <v>EK65</v>
          </cell>
          <cell r="E1602" t="str">
            <v>706718</v>
          </cell>
          <cell r="F1602" t="str">
            <v>E</v>
          </cell>
          <cell r="G1602" t="str">
            <v>70000423</v>
          </cell>
          <cell r="H1602" t="str">
            <v>PLATE</v>
          </cell>
          <cell r="I1602">
            <v>90</v>
          </cell>
          <cell r="J1602" t="str">
            <v>Stk</v>
          </cell>
          <cell r="K1602">
            <v>45076</v>
          </cell>
          <cell r="L1602" t="str">
            <v>828521</v>
          </cell>
          <cell r="M1602" t="str">
            <v/>
          </cell>
          <cell r="N1602" t="str">
            <v/>
          </cell>
          <cell r="O1602" t="str">
            <v/>
          </cell>
          <cell r="P1602" t="str">
            <v/>
          </cell>
          <cell r="Q1602" t="str">
            <v/>
          </cell>
          <cell r="R1602" t="str">
            <v/>
          </cell>
          <cell r="S1602" t="str">
            <v/>
          </cell>
          <cell r="T1602" t="str">
            <v/>
          </cell>
          <cell r="U1602" t="str">
            <v>BB20034630021</v>
          </cell>
          <cell r="V1602" t="str">
            <v>B00</v>
          </cell>
          <cell r="W1602" t="str">
            <v/>
          </cell>
          <cell r="X1602" t="str">
            <v/>
          </cell>
          <cell r="Y1602" t="str">
            <v/>
          </cell>
          <cell r="Z1602" t="str">
            <v/>
          </cell>
          <cell r="AA1602" t="str">
            <v/>
          </cell>
          <cell r="AB1602" t="str">
            <v>70000423</v>
          </cell>
          <cell r="AC1602">
            <v>1</v>
          </cell>
          <cell r="AD1602" t="str">
            <v/>
          </cell>
          <cell r="AE1602">
            <v>0</v>
          </cell>
          <cell r="AF1602" t="str">
            <v/>
          </cell>
          <cell r="AG1602" t="str">
            <v>70000423</v>
          </cell>
          <cell r="AH1602">
            <v>44960.993935185186</v>
          </cell>
          <cell r="AI1602" t="str">
            <v>B00</v>
          </cell>
          <cell r="AJ1602" t="str">
            <v>F</v>
          </cell>
          <cell r="AK1602" t="str">
            <v>--</v>
          </cell>
        </row>
        <row r="1603">
          <cell r="A1603" t="str">
            <v>70000424828521</v>
          </cell>
          <cell r="B1603">
            <v>0</v>
          </cell>
          <cell r="C1603" t="e">
            <v>#N/A</v>
          </cell>
          <cell r="D1603" t="str">
            <v>EK65</v>
          </cell>
          <cell r="E1603" t="str">
            <v>706719</v>
          </cell>
          <cell r="F1603" t="str">
            <v>E</v>
          </cell>
          <cell r="G1603" t="str">
            <v>70000424</v>
          </cell>
          <cell r="H1603" t="str">
            <v>CHAPA</v>
          </cell>
          <cell r="I1603">
            <v>90</v>
          </cell>
          <cell r="J1603" t="str">
            <v>Stk</v>
          </cell>
          <cell r="K1603">
            <v>45076</v>
          </cell>
          <cell r="L1603" t="str">
            <v>828521</v>
          </cell>
          <cell r="M1603" t="str">
            <v/>
          </cell>
          <cell r="N1603" t="str">
            <v/>
          </cell>
          <cell r="O1603" t="str">
            <v/>
          </cell>
          <cell r="P1603" t="str">
            <v/>
          </cell>
          <cell r="Q1603" t="str">
            <v/>
          </cell>
          <cell r="R1603" t="str">
            <v/>
          </cell>
          <cell r="S1603" t="str">
            <v/>
          </cell>
          <cell r="T1603" t="str">
            <v/>
          </cell>
          <cell r="U1603" t="str">
            <v>BB20034630022</v>
          </cell>
          <cell r="V1603" t="str">
            <v>B00</v>
          </cell>
          <cell r="W1603" t="str">
            <v/>
          </cell>
          <cell r="X1603" t="str">
            <v/>
          </cell>
          <cell r="Y1603" t="str">
            <v/>
          </cell>
          <cell r="Z1603" t="str">
            <v/>
          </cell>
          <cell r="AA1603" t="str">
            <v/>
          </cell>
          <cell r="AB1603" t="str">
            <v>70000424</v>
          </cell>
          <cell r="AC1603">
            <v>1</v>
          </cell>
          <cell r="AD1603" t="str">
            <v/>
          </cell>
          <cell r="AE1603">
            <v>0</v>
          </cell>
          <cell r="AF1603" t="str">
            <v/>
          </cell>
          <cell r="AG1603" t="str">
            <v>70000424</v>
          </cell>
          <cell r="AH1603">
            <v>44960.993946759256</v>
          </cell>
          <cell r="AI1603" t="str">
            <v>B00</v>
          </cell>
          <cell r="AJ1603" t="str">
            <v>F</v>
          </cell>
          <cell r="AK1603" t="str">
            <v>--</v>
          </cell>
        </row>
        <row r="1604">
          <cell r="A1604" t="str">
            <v>70000425828521</v>
          </cell>
          <cell r="B1604">
            <v>0</v>
          </cell>
          <cell r="C1604" t="e">
            <v>#N/A</v>
          </cell>
          <cell r="D1604" t="str">
            <v>EK65</v>
          </cell>
          <cell r="E1604" t="str">
            <v>706720</v>
          </cell>
          <cell r="F1604" t="str">
            <v>E</v>
          </cell>
          <cell r="G1604" t="str">
            <v>70000425</v>
          </cell>
          <cell r="H1604" t="str">
            <v>PLATE</v>
          </cell>
          <cell r="I1604">
            <v>90</v>
          </cell>
          <cell r="J1604" t="str">
            <v>Stk</v>
          </cell>
          <cell r="K1604">
            <v>45076</v>
          </cell>
          <cell r="L1604" t="str">
            <v>828521</v>
          </cell>
          <cell r="M1604" t="str">
            <v/>
          </cell>
          <cell r="N1604" t="str">
            <v/>
          </cell>
          <cell r="O1604" t="str">
            <v/>
          </cell>
          <cell r="P1604" t="str">
            <v/>
          </cell>
          <cell r="Q1604" t="str">
            <v/>
          </cell>
          <cell r="R1604" t="str">
            <v/>
          </cell>
          <cell r="S1604" t="str">
            <v/>
          </cell>
          <cell r="T1604" t="str">
            <v/>
          </cell>
          <cell r="U1604" t="str">
            <v>BB20034630023</v>
          </cell>
          <cell r="V1604" t="str">
            <v>B00</v>
          </cell>
          <cell r="W1604" t="str">
            <v/>
          </cell>
          <cell r="X1604" t="str">
            <v/>
          </cell>
          <cell r="Y1604" t="str">
            <v/>
          </cell>
          <cell r="Z1604" t="str">
            <v/>
          </cell>
          <cell r="AA1604" t="str">
            <v/>
          </cell>
          <cell r="AB1604" t="str">
            <v>70000425</v>
          </cell>
          <cell r="AC1604">
            <v>1</v>
          </cell>
          <cell r="AD1604" t="str">
            <v/>
          </cell>
          <cell r="AE1604">
            <v>0</v>
          </cell>
          <cell r="AF1604" t="str">
            <v/>
          </cell>
          <cell r="AG1604" t="str">
            <v>70000425</v>
          </cell>
          <cell r="AH1604">
            <v>44960.993958333333</v>
          </cell>
          <cell r="AI1604" t="str">
            <v>B00</v>
          </cell>
          <cell r="AJ1604" t="str">
            <v>F</v>
          </cell>
          <cell r="AK1604" t="str">
            <v>--</v>
          </cell>
        </row>
        <row r="1605">
          <cell r="A1605" t="str">
            <v>70000426828521</v>
          </cell>
          <cell r="B1605">
            <v>0</v>
          </cell>
          <cell r="C1605" t="e">
            <v>#N/A</v>
          </cell>
          <cell r="D1605" t="str">
            <v>EK65</v>
          </cell>
          <cell r="E1605" t="str">
            <v>706721</v>
          </cell>
          <cell r="F1605" t="str">
            <v>E</v>
          </cell>
          <cell r="G1605" t="str">
            <v>70000426</v>
          </cell>
          <cell r="H1605" t="str">
            <v>PLATE</v>
          </cell>
          <cell r="I1605">
            <v>90</v>
          </cell>
          <cell r="J1605" t="str">
            <v>Stk</v>
          </cell>
          <cell r="K1605">
            <v>45076</v>
          </cell>
          <cell r="L1605" t="str">
            <v>828521</v>
          </cell>
          <cell r="M1605" t="str">
            <v/>
          </cell>
          <cell r="N1605" t="str">
            <v/>
          </cell>
          <cell r="O1605" t="str">
            <v/>
          </cell>
          <cell r="P1605" t="str">
            <v/>
          </cell>
          <cell r="Q1605" t="str">
            <v/>
          </cell>
          <cell r="R1605" t="str">
            <v/>
          </cell>
          <cell r="S1605" t="str">
            <v/>
          </cell>
          <cell r="T1605" t="str">
            <v/>
          </cell>
          <cell r="U1605" t="str">
            <v>BB20034630024</v>
          </cell>
          <cell r="V1605" t="str">
            <v>B00</v>
          </cell>
          <cell r="W1605" t="str">
            <v/>
          </cell>
          <cell r="X1605" t="str">
            <v/>
          </cell>
          <cell r="Y1605" t="str">
            <v/>
          </cell>
          <cell r="Z1605" t="str">
            <v/>
          </cell>
          <cell r="AA1605" t="str">
            <v/>
          </cell>
          <cell r="AB1605" t="str">
            <v>70000426</v>
          </cell>
          <cell r="AC1605">
            <v>1</v>
          </cell>
          <cell r="AD1605" t="str">
            <v/>
          </cell>
          <cell r="AE1605">
            <v>0</v>
          </cell>
          <cell r="AF1605" t="str">
            <v/>
          </cell>
          <cell r="AG1605" t="str">
            <v>70000426</v>
          </cell>
          <cell r="AH1605">
            <v>44960.993969907409</v>
          </cell>
          <cell r="AI1605" t="str">
            <v>B00</v>
          </cell>
          <cell r="AJ1605" t="str">
            <v>F</v>
          </cell>
          <cell r="AK1605" t="str">
            <v>--</v>
          </cell>
        </row>
        <row r="1606">
          <cell r="A1606" t="str">
            <v>70000427828521</v>
          </cell>
          <cell r="B1606">
            <v>0</v>
          </cell>
          <cell r="C1606" t="e">
            <v>#N/A</v>
          </cell>
          <cell r="D1606" t="str">
            <v>EK65</v>
          </cell>
          <cell r="E1606" t="str">
            <v>706722</v>
          </cell>
          <cell r="F1606" t="str">
            <v>E</v>
          </cell>
          <cell r="G1606" t="str">
            <v>70000427</v>
          </cell>
          <cell r="H1606" t="str">
            <v>PLATE</v>
          </cell>
          <cell r="I1606">
            <v>90</v>
          </cell>
          <cell r="J1606" t="str">
            <v>Stk</v>
          </cell>
          <cell r="K1606">
            <v>45076</v>
          </cell>
          <cell r="L1606" t="str">
            <v>828521</v>
          </cell>
          <cell r="M1606" t="str">
            <v/>
          </cell>
          <cell r="N1606" t="str">
            <v/>
          </cell>
          <cell r="O1606" t="str">
            <v/>
          </cell>
          <cell r="P1606" t="str">
            <v/>
          </cell>
          <cell r="Q1606" t="str">
            <v/>
          </cell>
          <cell r="R1606" t="str">
            <v/>
          </cell>
          <cell r="S1606" t="str">
            <v/>
          </cell>
          <cell r="T1606" t="str">
            <v/>
          </cell>
          <cell r="U1606" t="str">
            <v>BB20034630025</v>
          </cell>
          <cell r="V1606" t="str">
            <v>B00</v>
          </cell>
          <cell r="W1606" t="str">
            <v/>
          </cell>
          <cell r="X1606" t="str">
            <v/>
          </cell>
          <cell r="Y1606" t="str">
            <v/>
          </cell>
          <cell r="Z1606" t="str">
            <v/>
          </cell>
          <cell r="AA1606" t="str">
            <v/>
          </cell>
          <cell r="AB1606" t="str">
            <v>70000427</v>
          </cell>
          <cell r="AC1606">
            <v>1</v>
          </cell>
          <cell r="AD1606" t="str">
            <v/>
          </cell>
          <cell r="AE1606">
            <v>0</v>
          </cell>
          <cell r="AF1606" t="str">
            <v/>
          </cell>
          <cell r="AG1606" t="str">
            <v>70000427</v>
          </cell>
          <cell r="AH1606">
            <v>44960.993969907409</v>
          </cell>
          <cell r="AI1606" t="str">
            <v>B00</v>
          </cell>
          <cell r="AJ1606" t="str">
            <v>F</v>
          </cell>
          <cell r="AK1606" t="str">
            <v>--</v>
          </cell>
        </row>
        <row r="1607">
          <cell r="A1607" t="str">
            <v>70000428828521</v>
          </cell>
          <cell r="B1607">
            <v>0</v>
          </cell>
          <cell r="C1607" t="e">
            <v>#N/A</v>
          </cell>
          <cell r="D1607" t="str">
            <v>EK65</v>
          </cell>
          <cell r="E1607" t="str">
            <v>706723</v>
          </cell>
          <cell r="F1607" t="str">
            <v>E</v>
          </cell>
          <cell r="G1607" t="str">
            <v>70000428</v>
          </cell>
          <cell r="H1607" t="str">
            <v>PLATE</v>
          </cell>
          <cell r="I1607">
            <v>90</v>
          </cell>
          <cell r="J1607" t="str">
            <v>Stk</v>
          </cell>
          <cell r="K1607">
            <v>45076</v>
          </cell>
          <cell r="L1607" t="str">
            <v>828521</v>
          </cell>
          <cell r="M1607" t="str">
            <v/>
          </cell>
          <cell r="N1607" t="str">
            <v/>
          </cell>
          <cell r="O1607" t="str">
            <v/>
          </cell>
          <cell r="P1607" t="str">
            <v/>
          </cell>
          <cell r="Q1607" t="str">
            <v/>
          </cell>
          <cell r="R1607" t="str">
            <v/>
          </cell>
          <cell r="S1607" t="str">
            <v/>
          </cell>
          <cell r="T1607" t="str">
            <v/>
          </cell>
          <cell r="U1607" t="str">
            <v>BB20034630026</v>
          </cell>
          <cell r="V1607" t="str">
            <v>B00</v>
          </cell>
          <cell r="W1607" t="str">
            <v/>
          </cell>
          <cell r="X1607" t="str">
            <v/>
          </cell>
          <cell r="Y1607" t="str">
            <v/>
          </cell>
          <cell r="Z1607" t="str">
            <v/>
          </cell>
          <cell r="AA1607" t="str">
            <v/>
          </cell>
          <cell r="AB1607" t="str">
            <v>70000428</v>
          </cell>
          <cell r="AC1607">
            <v>1</v>
          </cell>
          <cell r="AD1607" t="str">
            <v/>
          </cell>
          <cell r="AE1607">
            <v>0</v>
          </cell>
          <cell r="AF1607" t="str">
            <v/>
          </cell>
          <cell r="AG1607" t="str">
            <v>70000428</v>
          </cell>
          <cell r="AH1607">
            <v>44960.993981481479</v>
          </cell>
          <cell r="AI1607" t="str">
            <v>B00</v>
          </cell>
          <cell r="AJ1607" t="str">
            <v>F</v>
          </cell>
          <cell r="AK1607" t="str">
            <v>--</v>
          </cell>
        </row>
        <row r="1608">
          <cell r="A1608" t="str">
            <v>70000429828521</v>
          </cell>
          <cell r="B1608">
            <v>0</v>
          </cell>
          <cell r="C1608" t="e">
            <v>#N/A</v>
          </cell>
          <cell r="D1608" t="str">
            <v>EK65</v>
          </cell>
          <cell r="E1608" t="str">
            <v>706724</v>
          </cell>
          <cell r="F1608" t="str">
            <v>E</v>
          </cell>
          <cell r="G1608" t="str">
            <v>70000429</v>
          </cell>
          <cell r="H1608" t="str">
            <v>PLATE</v>
          </cell>
          <cell r="I1608">
            <v>90</v>
          </cell>
          <cell r="J1608" t="str">
            <v>Stk</v>
          </cell>
          <cell r="K1608">
            <v>45076</v>
          </cell>
          <cell r="L1608" t="str">
            <v>828521</v>
          </cell>
          <cell r="M1608" t="str">
            <v/>
          </cell>
          <cell r="N1608" t="str">
            <v/>
          </cell>
          <cell r="O1608" t="str">
            <v/>
          </cell>
          <cell r="P1608" t="str">
            <v/>
          </cell>
          <cell r="Q1608" t="str">
            <v>X2CrNi18-9</v>
          </cell>
          <cell r="R1608" t="str">
            <v>EN 10088</v>
          </cell>
          <cell r="S1608" t="str">
            <v/>
          </cell>
          <cell r="T1608" t="str">
            <v/>
          </cell>
          <cell r="U1608" t="str">
            <v>BB20034630027</v>
          </cell>
          <cell r="V1608" t="str">
            <v>B00</v>
          </cell>
          <cell r="W1608" t="str">
            <v/>
          </cell>
          <cell r="X1608" t="str">
            <v/>
          </cell>
          <cell r="Y1608" t="str">
            <v/>
          </cell>
          <cell r="Z1608" t="str">
            <v/>
          </cell>
          <cell r="AA1608" t="str">
            <v/>
          </cell>
          <cell r="AB1608" t="str">
            <v>70000429</v>
          </cell>
          <cell r="AC1608">
            <v>1</v>
          </cell>
          <cell r="AD1608" t="str">
            <v/>
          </cell>
          <cell r="AE1608">
            <v>0</v>
          </cell>
          <cell r="AF1608" t="str">
            <v/>
          </cell>
          <cell r="AG1608" t="str">
            <v>70000429</v>
          </cell>
          <cell r="AH1608">
            <v>44960.993993055556</v>
          </cell>
          <cell r="AI1608" t="str">
            <v>B00</v>
          </cell>
          <cell r="AJ1608" t="str">
            <v>F</v>
          </cell>
          <cell r="AK1608" t="str">
            <v>--</v>
          </cell>
        </row>
        <row r="1609">
          <cell r="A1609" t="str">
            <v>70000430828521</v>
          </cell>
          <cell r="B1609">
            <v>0</v>
          </cell>
          <cell r="C1609" t="e">
            <v>#N/A</v>
          </cell>
          <cell r="D1609" t="str">
            <v>EK65</v>
          </cell>
          <cell r="E1609" t="str">
            <v>706725</v>
          </cell>
          <cell r="F1609" t="str">
            <v>E</v>
          </cell>
          <cell r="G1609" t="str">
            <v>70000430</v>
          </cell>
          <cell r="H1609" t="str">
            <v>PLATE</v>
          </cell>
          <cell r="I1609">
            <v>90</v>
          </cell>
          <cell r="J1609" t="str">
            <v>Stk</v>
          </cell>
          <cell r="K1609">
            <v>45076</v>
          </cell>
          <cell r="L1609" t="str">
            <v>828521</v>
          </cell>
          <cell r="M1609" t="str">
            <v/>
          </cell>
          <cell r="N1609" t="str">
            <v/>
          </cell>
          <cell r="O1609" t="str">
            <v/>
          </cell>
          <cell r="P1609" t="str">
            <v/>
          </cell>
          <cell r="Q1609" t="str">
            <v>X2CrNi18-9</v>
          </cell>
          <cell r="R1609" t="str">
            <v>EN 10088</v>
          </cell>
          <cell r="S1609" t="str">
            <v/>
          </cell>
          <cell r="T1609" t="str">
            <v/>
          </cell>
          <cell r="U1609" t="str">
            <v>BB20034630028</v>
          </cell>
          <cell r="V1609" t="str">
            <v>B00</v>
          </cell>
          <cell r="W1609" t="str">
            <v/>
          </cell>
          <cell r="X1609" t="str">
            <v/>
          </cell>
          <cell r="Y1609" t="str">
            <v/>
          </cell>
          <cell r="Z1609" t="str">
            <v/>
          </cell>
          <cell r="AA1609" t="str">
            <v/>
          </cell>
          <cell r="AB1609" t="str">
            <v>70000430</v>
          </cell>
          <cell r="AC1609">
            <v>1</v>
          </cell>
          <cell r="AD1609" t="str">
            <v/>
          </cell>
          <cell r="AE1609">
            <v>0</v>
          </cell>
          <cell r="AF1609" t="str">
            <v/>
          </cell>
          <cell r="AG1609" t="str">
            <v>70000430</v>
          </cell>
          <cell r="AH1609">
            <v>44960.994004629632</v>
          </cell>
          <cell r="AI1609" t="str">
            <v>B00</v>
          </cell>
          <cell r="AJ1609" t="str">
            <v>F</v>
          </cell>
          <cell r="AK1609" t="str">
            <v>--</v>
          </cell>
        </row>
        <row r="1610">
          <cell r="A1610" t="str">
            <v>70000252828521</v>
          </cell>
          <cell r="B1610">
            <v>0</v>
          </cell>
          <cell r="C1610" t="e">
            <v>#N/A</v>
          </cell>
          <cell r="D1610" t="str">
            <v>EK65</v>
          </cell>
          <cell r="E1610" t="str">
            <v>706699</v>
          </cell>
          <cell r="F1610" t="str">
            <v>E</v>
          </cell>
          <cell r="G1610" t="str">
            <v>70000252</v>
          </cell>
          <cell r="H1610" t="str">
            <v>KEEPER</v>
          </cell>
          <cell r="I1610">
            <v>270</v>
          </cell>
          <cell r="J1610" t="str">
            <v>Stk</v>
          </cell>
          <cell r="K1610">
            <v>45077</v>
          </cell>
          <cell r="L1610" t="str">
            <v>828521</v>
          </cell>
          <cell r="M1610" t="str">
            <v/>
          </cell>
          <cell r="N1610" t="str">
            <v/>
          </cell>
          <cell r="O1610" t="str">
            <v/>
          </cell>
          <cell r="P1610" t="str">
            <v/>
          </cell>
          <cell r="Q1610" t="str">
            <v/>
          </cell>
          <cell r="R1610" t="str">
            <v/>
          </cell>
          <cell r="S1610" t="str">
            <v/>
          </cell>
          <cell r="T1610" t="str">
            <v/>
          </cell>
          <cell r="U1610" t="str">
            <v>BB20032630003</v>
          </cell>
          <cell r="V1610" t="str">
            <v>B00</v>
          </cell>
          <cell r="W1610" t="str">
            <v/>
          </cell>
          <cell r="X1610" t="str">
            <v/>
          </cell>
          <cell r="Y1610" t="str">
            <v/>
          </cell>
          <cell r="Z1610" t="str">
            <v/>
          </cell>
          <cell r="AA1610" t="str">
            <v/>
          </cell>
          <cell r="AB1610" t="str">
            <v>70000252</v>
          </cell>
          <cell r="AC1610">
            <v>1</v>
          </cell>
          <cell r="AD1610" t="str">
            <v/>
          </cell>
          <cell r="AE1610">
            <v>0</v>
          </cell>
          <cell r="AF1610" t="str">
            <v/>
          </cell>
          <cell r="AG1610" t="str">
            <v>70000252</v>
          </cell>
          <cell r="AH1610">
            <v>44960.992442129631</v>
          </cell>
          <cell r="AI1610" t="str">
            <v>B00</v>
          </cell>
          <cell r="AJ1610" t="str">
            <v>F</v>
          </cell>
          <cell r="AK1610" t="str">
            <v>--</v>
          </cell>
        </row>
        <row r="1611">
          <cell r="A1611" t="str">
            <v>70000253828521</v>
          </cell>
          <cell r="B1611">
            <v>0</v>
          </cell>
          <cell r="C1611" t="e">
            <v>#N/A</v>
          </cell>
          <cell r="D1611" t="str">
            <v>EK65</v>
          </cell>
          <cell r="E1611" t="str">
            <v>706700</v>
          </cell>
          <cell r="F1611" t="str">
            <v>E</v>
          </cell>
          <cell r="G1611" t="str">
            <v>70000253</v>
          </cell>
          <cell r="H1611" t="str">
            <v>PLATE</v>
          </cell>
          <cell r="I1611">
            <v>180</v>
          </cell>
          <cell r="J1611" t="str">
            <v>Stk</v>
          </cell>
          <cell r="K1611">
            <v>45077</v>
          </cell>
          <cell r="L1611" t="str">
            <v>828521</v>
          </cell>
          <cell r="M1611" t="str">
            <v/>
          </cell>
          <cell r="N1611" t="str">
            <v/>
          </cell>
          <cell r="O1611" t="str">
            <v/>
          </cell>
          <cell r="P1611" t="str">
            <v/>
          </cell>
          <cell r="Q1611" t="str">
            <v>1.4162</v>
          </cell>
          <cell r="R1611" t="str">
            <v>EN 10088</v>
          </cell>
          <cell r="S1611" t="str">
            <v/>
          </cell>
          <cell r="T1611" t="str">
            <v/>
          </cell>
          <cell r="U1611" t="str">
            <v>BB20032630004</v>
          </cell>
          <cell r="V1611" t="str">
            <v>B00</v>
          </cell>
          <cell r="W1611" t="str">
            <v/>
          </cell>
          <cell r="X1611" t="str">
            <v/>
          </cell>
          <cell r="Y1611" t="str">
            <v/>
          </cell>
          <cell r="Z1611" t="str">
            <v/>
          </cell>
          <cell r="AA1611" t="str">
            <v/>
          </cell>
          <cell r="AB1611" t="str">
            <v>70000253</v>
          </cell>
          <cell r="AC1611">
            <v>1</v>
          </cell>
          <cell r="AD1611" t="str">
            <v/>
          </cell>
          <cell r="AE1611">
            <v>0</v>
          </cell>
          <cell r="AF1611" t="str">
            <v/>
          </cell>
          <cell r="AG1611" t="str">
            <v>70000253</v>
          </cell>
          <cell r="AH1611">
            <v>44960.9924537037</v>
          </cell>
          <cell r="AI1611" t="str">
            <v>B00</v>
          </cell>
          <cell r="AJ1611" t="str">
            <v>F</v>
          </cell>
          <cell r="AK1611" t="str">
            <v>A0</v>
          </cell>
        </row>
        <row r="1612">
          <cell r="A1612" t="str">
            <v>70000259828521</v>
          </cell>
          <cell r="B1612">
            <v>0</v>
          </cell>
          <cell r="C1612" t="e">
            <v>#N/A</v>
          </cell>
          <cell r="D1612" t="str">
            <v>EK65</v>
          </cell>
          <cell r="E1612" t="str">
            <v>706703</v>
          </cell>
          <cell r="F1612" t="str">
            <v>E</v>
          </cell>
          <cell r="G1612" t="str">
            <v>70000259</v>
          </cell>
          <cell r="H1612" t="str">
            <v>SUPPORT ASSEMBLY</v>
          </cell>
          <cell r="I1612">
            <v>180</v>
          </cell>
          <cell r="J1612" t="str">
            <v>Stk</v>
          </cell>
          <cell r="K1612">
            <v>45077</v>
          </cell>
          <cell r="L1612" t="str">
            <v>828521</v>
          </cell>
          <cell r="M1612" t="str">
            <v/>
          </cell>
          <cell r="N1612" t="str">
            <v/>
          </cell>
          <cell r="O1612" t="str">
            <v/>
          </cell>
          <cell r="P1612" t="str">
            <v/>
          </cell>
          <cell r="Q1612" t="str">
            <v/>
          </cell>
          <cell r="R1612" t="str">
            <v/>
          </cell>
          <cell r="S1612" t="str">
            <v/>
          </cell>
          <cell r="T1612" t="str">
            <v/>
          </cell>
          <cell r="U1612" t="str">
            <v>BB20032630900</v>
          </cell>
          <cell r="V1612" t="str">
            <v>B00</v>
          </cell>
          <cell r="W1612" t="str">
            <v/>
          </cell>
          <cell r="X1612" t="str">
            <v/>
          </cell>
          <cell r="Y1612" t="str">
            <v/>
          </cell>
          <cell r="Z1612" t="str">
            <v/>
          </cell>
          <cell r="AA1612" t="str">
            <v/>
          </cell>
          <cell r="AB1612" t="str">
            <v>70000259</v>
          </cell>
          <cell r="AC1612">
            <v>1</v>
          </cell>
          <cell r="AD1612" t="str">
            <v/>
          </cell>
          <cell r="AE1612">
            <v>0</v>
          </cell>
          <cell r="AF1612" t="str">
            <v/>
          </cell>
          <cell r="AG1612" t="str">
            <v>70000259</v>
          </cell>
          <cell r="AH1612">
            <v>44960.992534722223</v>
          </cell>
          <cell r="AI1612" t="str">
            <v>B00</v>
          </cell>
          <cell r="AJ1612" t="str">
            <v>F</v>
          </cell>
          <cell r="AK1612" t="str">
            <v>--</v>
          </cell>
        </row>
        <row r="1613">
          <cell r="A1613" t="str">
            <v>70002089828521</v>
          </cell>
          <cell r="B1613">
            <v>0</v>
          </cell>
          <cell r="C1613" t="e">
            <v>#N/A</v>
          </cell>
          <cell r="D1613" t="str">
            <v>EK65</v>
          </cell>
          <cell r="E1613" t="str">
            <v>701233</v>
          </cell>
          <cell r="F1613" t="str">
            <v>E</v>
          </cell>
          <cell r="G1613" t="str">
            <v>70002089</v>
          </cell>
          <cell r="H1613" t="str">
            <v>3 CABLES CLAMP SET</v>
          </cell>
          <cell r="I1613">
            <v>90</v>
          </cell>
          <cell r="J1613" t="str">
            <v>Stk</v>
          </cell>
          <cell r="K1613">
            <v>45078</v>
          </cell>
          <cell r="L1613" t="str">
            <v>828521</v>
          </cell>
          <cell r="M1613" t="str">
            <v/>
          </cell>
          <cell r="N1613" t="str">
            <v/>
          </cell>
          <cell r="O1613" t="str">
            <v/>
          </cell>
          <cell r="P1613" t="str">
            <v/>
          </cell>
          <cell r="Q1613" t="str">
            <v/>
          </cell>
          <cell r="R1613" t="str">
            <v/>
          </cell>
          <cell r="S1613" t="str">
            <v/>
          </cell>
          <cell r="T1613" t="str">
            <v/>
          </cell>
          <cell r="U1613" t="str">
            <v>BB20077210100</v>
          </cell>
          <cell r="V1613" t="str">
            <v>N32</v>
          </cell>
          <cell r="W1613" t="str">
            <v/>
          </cell>
          <cell r="X1613" t="str">
            <v/>
          </cell>
          <cell r="Y1613" t="str">
            <v/>
          </cell>
          <cell r="Z1613" t="str">
            <v/>
          </cell>
          <cell r="AA1613" t="str">
            <v/>
          </cell>
          <cell r="AB1613" t="str">
            <v>70002089</v>
          </cell>
          <cell r="AC1613">
            <v>1</v>
          </cell>
          <cell r="AD1613" t="str">
            <v/>
          </cell>
          <cell r="AE1613">
            <v>0</v>
          </cell>
          <cell r="AF1613" t="str">
            <v/>
          </cell>
          <cell r="AG1613" t="str">
            <v>70002089</v>
          </cell>
          <cell r="AH1613">
            <v>44946.965439814812</v>
          </cell>
          <cell r="AI1613" t="str">
            <v>N32</v>
          </cell>
          <cell r="AJ1613" t="str">
            <v>F</v>
          </cell>
          <cell r="AK1613" t="str">
            <v>--</v>
          </cell>
        </row>
        <row r="1614">
          <cell r="A1614" t="str">
            <v>70002090828521</v>
          </cell>
          <cell r="B1614">
            <v>0</v>
          </cell>
          <cell r="C1614" t="e">
            <v>#N/A</v>
          </cell>
          <cell r="D1614" t="str">
            <v>EK65</v>
          </cell>
          <cell r="E1614" t="str">
            <v>701234</v>
          </cell>
          <cell r="F1614" t="str">
            <v>E</v>
          </cell>
          <cell r="G1614" t="str">
            <v>70002090</v>
          </cell>
          <cell r="H1614" t="str">
            <v>4 CABLES CLAMP SET</v>
          </cell>
          <cell r="I1614">
            <v>360</v>
          </cell>
          <cell r="J1614" t="str">
            <v>Stk</v>
          </cell>
          <cell r="K1614">
            <v>45078</v>
          </cell>
          <cell r="L1614" t="str">
            <v>828521</v>
          </cell>
          <cell r="M1614" t="str">
            <v/>
          </cell>
          <cell r="N1614" t="str">
            <v/>
          </cell>
          <cell r="O1614" t="str">
            <v/>
          </cell>
          <cell r="P1614" t="str">
            <v/>
          </cell>
          <cell r="Q1614" t="str">
            <v/>
          </cell>
          <cell r="R1614" t="str">
            <v/>
          </cell>
          <cell r="S1614" t="str">
            <v/>
          </cell>
          <cell r="T1614" t="str">
            <v/>
          </cell>
          <cell r="U1614" t="str">
            <v>BB20077210200</v>
          </cell>
          <cell r="V1614" t="str">
            <v>N32</v>
          </cell>
          <cell r="W1614" t="str">
            <v/>
          </cell>
          <cell r="X1614" t="str">
            <v/>
          </cell>
          <cell r="Y1614" t="str">
            <v/>
          </cell>
          <cell r="Z1614" t="str">
            <v/>
          </cell>
          <cell r="AA1614" t="str">
            <v/>
          </cell>
          <cell r="AB1614" t="str">
            <v>70002090</v>
          </cell>
          <cell r="AC1614">
            <v>1</v>
          </cell>
          <cell r="AD1614" t="str">
            <v/>
          </cell>
          <cell r="AE1614">
            <v>0</v>
          </cell>
          <cell r="AF1614" t="str">
            <v/>
          </cell>
          <cell r="AG1614" t="str">
            <v>70002090</v>
          </cell>
          <cell r="AH1614">
            <v>44946.965451388889</v>
          </cell>
          <cell r="AI1614" t="str">
            <v>N32</v>
          </cell>
          <cell r="AJ1614" t="str">
            <v>F</v>
          </cell>
          <cell r="AK1614" t="str">
            <v>--</v>
          </cell>
        </row>
        <row r="1615">
          <cell r="A1615" t="str">
            <v>70002080828521</v>
          </cell>
          <cell r="B1615">
            <v>0</v>
          </cell>
          <cell r="C1615" t="e">
            <v>#N/A</v>
          </cell>
          <cell r="D1615" t="str">
            <v>EK65</v>
          </cell>
          <cell r="E1615" t="str">
            <v>706912</v>
          </cell>
          <cell r="F1615" t="str">
            <v>E</v>
          </cell>
          <cell r="G1615" t="str">
            <v>70002080</v>
          </cell>
          <cell r="H1615" t="str">
            <v>COVER ASSEMBLY</v>
          </cell>
          <cell r="I1615">
            <v>90</v>
          </cell>
          <cell r="J1615" t="str">
            <v>Stk</v>
          </cell>
          <cell r="K1615">
            <v>45078</v>
          </cell>
          <cell r="L1615" t="str">
            <v>828521</v>
          </cell>
          <cell r="M1615" t="str">
            <v/>
          </cell>
          <cell r="N1615" t="str">
            <v/>
          </cell>
          <cell r="O1615" t="str">
            <v/>
          </cell>
          <cell r="P1615" t="str">
            <v/>
          </cell>
          <cell r="Q1615" t="str">
            <v/>
          </cell>
          <cell r="R1615" t="str">
            <v/>
          </cell>
          <cell r="S1615" t="str">
            <v/>
          </cell>
          <cell r="T1615" t="str">
            <v/>
          </cell>
          <cell r="U1615" t="str">
            <v>BB20042510400</v>
          </cell>
          <cell r="V1615" t="str">
            <v>B00</v>
          </cell>
          <cell r="W1615" t="str">
            <v/>
          </cell>
          <cell r="X1615" t="str">
            <v/>
          </cell>
          <cell r="Y1615" t="str">
            <v/>
          </cell>
          <cell r="Z1615" t="str">
            <v/>
          </cell>
          <cell r="AA1615" t="str">
            <v/>
          </cell>
          <cell r="AB1615" t="str">
            <v>70002080</v>
          </cell>
          <cell r="AC1615">
            <v>1</v>
          </cell>
          <cell r="AD1615" t="str">
            <v/>
          </cell>
          <cell r="AE1615">
            <v>0</v>
          </cell>
          <cell r="AF1615" t="str">
            <v/>
          </cell>
          <cell r="AG1615" t="str">
            <v>70002080</v>
          </cell>
          <cell r="AH1615">
            <v>44961.014374999999</v>
          </cell>
          <cell r="AI1615" t="str">
            <v>B00</v>
          </cell>
          <cell r="AJ1615" t="str">
            <v>F</v>
          </cell>
          <cell r="AK1615" t="str">
            <v>--</v>
          </cell>
        </row>
        <row r="1616">
          <cell r="A1616" t="str">
            <v>70002085828521</v>
          </cell>
          <cell r="B1616">
            <v>0</v>
          </cell>
          <cell r="C1616" t="e">
            <v>#N/A</v>
          </cell>
          <cell r="D1616" t="str">
            <v>EK65</v>
          </cell>
          <cell r="E1616" t="str">
            <v>706914</v>
          </cell>
          <cell r="F1616" t="str">
            <v>E</v>
          </cell>
          <cell r="G1616" t="str">
            <v>70002085</v>
          </cell>
          <cell r="H1616" t="str">
            <v>PLATE</v>
          </cell>
          <cell r="I1616">
            <v>90</v>
          </cell>
          <cell r="J1616" t="str">
            <v>Stk</v>
          </cell>
          <cell r="K1616">
            <v>45078</v>
          </cell>
          <cell r="L1616" t="str">
            <v>828521</v>
          </cell>
          <cell r="M1616" t="str">
            <v/>
          </cell>
          <cell r="N1616" t="str">
            <v/>
          </cell>
          <cell r="O1616" t="str">
            <v/>
          </cell>
          <cell r="P1616" t="str">
            <v/>
          </cell>
          <cell r="Q1616" t="str">
            <v/>
          </cell>
          <cell r="R1616" t="str">
            <v/>
          </cell>
          <cell r="S1616" t="str">
            <v/>
          </cell>
          <cell r="T1616" t="str">
            <v/>
          </cell>
          <cell r="U1616" t="str">
            <v>BB20042510004</v>
          </cell>
          <cell r="V1616" t="str">
            <v>B00</v>
          </cell>
          <cell r="W1616" t="str">
            <v/>
          </cell>
          <cell r="X1616" t="str">
            <v/>
          </cell>
          <cell r="Y1616" t="str">
            <v/>
          </cell>
          <cell r="Z1616" t="str">
            <v/>
          </cell>
          <cell r="AA1616" t="str">
            <v/>
          </cell>
          <cell r="AB1616" t="str">
            <v>70002085</v>
          </cell>
          <cell r="AC1616">
            <v>1</v>
          </cell>
          <cell r="AD1616" t="str">
            <v/>
          </cell>
          <cell r="AE1616">
            <v>0</v>
          </cell>
          <cell r="AF1616" t="str">
            <v/>
          </cell>
          <cell r="AG1616" t="str">
            <v>70002085</v>
          </cell>
          <cell r="AH1616">
            <v>44961.014456018522</v>
          </cell>
          <cell r="AI1616" t="str">
            <v>B00</v>
          </cell>
          <cell r="AJ1616" t="str">
            <v>F</v>
          </cell>
          <cell r="AK1616" t="str">
            <v>--</v>
          </cell>
        </row>
        <row r="1617">
          <cell r="A1617" t="str">
            <v>70002087828521</v>
          </cell>
          <cell r="B1617">
            <v>0</v>
          </cell>
          <cell r="C1617" t="e">
            <v>#N/A</v>
          </cell>
          <cell r="D1617" t="str">
            <v>EK65</v>
          </cell>
          <cell r="E1617" t="str">
            <v>706916</v>
          </cell>
          <cell r="F1617" t="str">
            <v>E</v>
          </cell>
          <cell r="G1617" t="str">
            <v>70002087</v>
          </cell>
          <cell r="H1617" t="str">
            <v>SHIM 2MM</v>
          </cell>
          <cell r="I1617">
            <v>90</v>
          </cell>
          <cell r="J1617" t="str">
            <v>Stk</v>
          </cell>
          <cell r="K1617">
            <v>45078</v>
          </cell>
          <cell r="L1617" t="str">
            <v>828521</v>
          </cell>
          <cell r="M1617" t="str">
            <v/>
          </cell>
          <cell r="N1617" t="str">
            <v/>
          </cell>
          <cell r="O1617" t="str">
            <v/>
          </cell>
          <cell r="P1617" t="str">
            <v/>
          </cell>
          <cell r="Q1617" t="str">
            <v/>
          </cell>
          <cell r="R1617" t="str">
            <v/>
          </cell>
          <cell r="S1617" t="str">
            <v/>
          </cell>
          <cell r="T1617" t="str">
            <v/>
          </cell>
          <cell r="U1617" t="str">
            <v>BB20042510008</v>
          </cell>
          <cell r="V1617" t="str">
            <v>B00</v>
          </cell>
          <cell r="W1617" t="str">
            <v/>
          </cell>
          <cell r="X1617" t="str">
            <v/>
          </cell>
          <cell r="Y1617" t="str">
            <v/>
          </cell>
          <cell r="Z1617" t="str">
            <v/>
          </cell>
          <cell r="AA1617" t="str">
            <v/>
          </cell>
          <cell r="AB1617" t="str">
            <v>70002087</v>
          </cell>
          <cell r="AC1617">
            <v>1</v>
          </cell>
          <cell r="AD1617" t="str">
            <v/>
          </cell>
          <cell r="AE1617">
            <v>0</v>
          </cell>
          <cell r="AF1617" t="str">
            <v/>
          </cell>
          <cell r="AG1617" t="str">
            <v>70002087</v>
          </cell>
          <cell r="AH1617">
            <v>44961.014490740738</v>
          </cell>
          <cell r="AI1617" t="str">
            <v>B00</v>
          </cell>
          <cell r="AJ1617" t="str">
            <v>F</v>
          </cell>
          <cell r="AK1617" t="str">
            <v>--</v>
          </cell>
        </row>
        <row r="1618">
          <cell r="A1618" t="str">
            <v>70002088828521</v>
          </cell>
          <cell r="B1618">
            <v>0</v>
          </cell>
          <cell r="C1618" t="e">
            <v>#N/A</v>
          </cell>
          <cell r="D1618" t="str">
            <v>EK65</v>
          </cell>
          <cell r="E1618" t="str">
            <v>706917</v>
          </cell>
          <cell r="F1618" t="str">
            <v>E</v>
          </cell>
          <cell r="G1618" t="str">
            <v>70002088</v>
          </cell>
          <cell r="H1618" t="str">
            <v>SHIM 1MM</v>
          </cell>
          <cell r="I1618">
            <v>90</v>
          </cell>
          <cell r="J1618" t="str">
            <v>Stk</v>
          </cell>
          <cell r="K1618">
            <v>45078</v>
          </cell>
          <cell r="L1618" t="str">
            <v>828521</v>
          </cell>
          <cell r="M1618" t="str">
            <v/>
          </cell>
          <cell r="N1618" t="str">
            <v/>
          </cell>
          <cell r="O1618" t="str">
            <v/>
          </cell>
          <cell r="P1618" t="str">
            <v/>
          </cell>
          <cell r="Q1618" t="str">
            <v/>
          </cell>
          <cell r="R1618" t="str">
            <v/>
          </cell>
          <cell r="S1618" t="str">
            <v/>
          </cell>
          <cell r="T1618" t="str">
            <v/>
          </cell>
          <cell r="U1618" t="str">
            <v>BB20042510009</v>
          </cell>
          <cell r="V1618" t="str">
            <v>B00</v>
          </cell>
          <cell r="W1618" t="str">
            <v/>
          </cell>
          <cell r="X1618" t="str">
            <v/>
          </cell>
          <cell r="Y1618" t="str">
            <v/>
          </cell>
          <cell r="Z1618" t="str">
            <v/>
          </cell>
          <cell r="AA1618" t="str">
            <v/>
          </cell>
          <cell r="AB1618" t="str">
            <v>70002088</v>
          </cell>
          <cell r="AC1618">
            <v>1</v>
          </cell>
          <cell r="AD1618" t="str">
            <v/>
          </cell>
          <cell r="AE1618">
            <v>0</v>
          </cell>
          <cell r="AF1618" t="str">
            <v/>
          </cell>
          <cell r="AG1618" t="str">
            <v>70002088</v>
          </cell>
          <cell r="AH1618">
            <v>44961.014502314814</v>
          </cell>
          <cell r="AI1618" t="str">
            <v>B00</v>
          </cell>
          <cell r="AJ1618" t="str">
            <v>F</v>
          </cell>
          <cell r="AK1618" t="str">
            <v>--</v>
          </cell>
        </row>
        <row r="1619">
          <cell r="A1619" t="str">
            <v>70002092828521</v>
          </cell>
          <cell r="B1619">
            <v>0</v>
          </cell>
          <cell r="C1619" t="e">
            <v>#N/A</v>
          </cell>
          <cell r="D1619" t="str">
            <v>EK65</v>
          </cell>
          <cell r="E1619" t="str">
            <v>706918</v>
          </cell>
          <cell r="F1619" t="str">
            <v>E</v>
          </cell>
          <cell r="G1619" t="str">
            <v>70002092</v>
          </cell>
          <cell r="H1619" t="str">
            <v>SHEET</v>
          </cell>
          <cell r="I1619">
            <v>90</v>
          </cell>
          <cell r="J1619" t="str">
            <v>Stk</v>
          </cell>
          <cell r="K1619">
            <v>45078</v>
          </cell>
          <cell r="L1619" t="str">
            <v>828521</v>
          </cell>
          <cell r="M1619" t="str">
            <v/>
          </cell>
          <cell r="N1619" t="str">
            <v/>
          </cell>
          <cell r="O1619" t="str">
            <v/>
          </cell>
          <cell r="P1619" t="str">
            <v/>
          </cell>
          <cell r="Q1619" t="str">
            <v>S355J2+N</v>
          </cell>
          <cell r="R1619" t="str">
            <v>EN 10025</v>
          </cell>
          <cell r="S1619" t="str">
            <v/>
          </cell>
          <cell r="T1619" t="str">
            <v/>
          </cell>
          <cell r="U1619" t="str">
            <v>BB20077210102</v>
          </cell>
          <cell r="V1619" t="str">
            <v>B00</v>
          </cell>
          <cell r="W1619" t="str">
            <v/>
          </cell>
          <cell r="X1619" t="str">
            <v/>
          </cell>
          <cell r="Y1619" t="str">
            <v/>
          </cell>
          <cell r="Z1619" t="str">
            <v/>
          </cell>
          <cell r="AA1619" t="str">
            <v/>
          </cell>
          <cell r="AB1619" t="str">
            <v>70002092</v>
          </cell>
          <cell r="AC1619">
            <v>1</v>
          </cell>
          <cell r="AD1619" t="str">
            <v/>
          </cell>
          <cell r="AE1619">
            <v>0</v>
          </cell>
          <cell r="AF1619" t="str">
            <v/>
          </cell>
          <cell r="AG1619" t="str">
            <v>70002092</v>
          </cell>
          <cell r="AH1619">
            <v>44961.01457175926</v>
          </cell>
          <cell r="AI1619" t="str">
            <v>B00</v>
          </cell>
          <cell r="AJ1619" t="str">
            <v>F</v>
          </cell>
          <cell r="AK1619" t="str">
            <v>--</v>
          </cell>
        </row>
        <row r="1620">
          <cell r="A1620" t="str">
            <v>70002093828521</v>
          </cell>
          <cell r="B1620">
            <v>0</v>
          </cell>
          <cell r="C1620" t="e">
            <v>#N/A</v>
          </cell>
          <cell r="D1620" t="str">
            <v>EK65</v>
          </cell>
          <cell r="E1620" t="str">
            <v>706919</v>
          </cell>
          <cell r="F1620" t="str">
            <v>E</v>
          </cell>
          <cell r="G1620" t="str">
            <v>70002093</v>
          </cell>
          <cell r="H1620" t="str">
            <v>SHEET</v>
          </cell>
          <cell r="I1620">
            <v>270</v>
          </cell>
          <cell r="J1620" t="str">
            <v>Stk</v>
          </cell>
          <cell r="K1620">
            <v>45078</v>
          </cell>
          <cell r="L1620" t="str">
            <v>828521</v>
          </cell>
          <cell r="M1620" t="str">
            <v/>
          </cell>
          <cell r="N1620" t="str">
            <v/>
          </cell>
          <cell r="O1620" t="str">
            <v/>
          </cell>
          <cell r="P1620" t="str">
            <v/>
          </cell>
          <cell r="Q1620" t="str">
            <v>S355J2+N</v>
          </cell>
          <cell r="R1620" t="str">
            <v>EN 10025</v>
          </cell>
          <cell r="S1620" t="str">
            <v/>
          </cell>
          <cell r="T1620" t="str">
            <v/>
          </cell>
          <cell r="U1620" t="str">
            <v>BB20077210202</v>
          </cell>
          <cell r="V1620" t="str">
            <v>B00</v>
          </cell>
          <cell r="W1620" t="str">
            <v/>
          </cell>
          <cell r="X1620" t="str">
            <v/>
          </cell>
          <cell r="Y1620" t="str">
            <v/>
          </cell>
          <cell r="Z1620" t="str">
            <v/>
          </cell>
          <cell r="AA1620" t="str">
            <v/>
          </cell>
          <cell r="AB1620" t="str">
            <v>70002093</v>
          </cell>
          <cell r="AC1620">
            <v>1</v>
          </cell>
          <cell r="AD1620" t="str">
            <v/>
          </cell>
          <cell r="AE1620">
            <v>0</v>
          </cell>
          <cell r="AF1620" t="str">
            <v/>
          </cell>
          <cell r="AG1620" t="str">
            <v>70002093</v>
          </cell>
          <cell r="AH1620">
            <v>44961.01458333333</v>
          </cell>
          <cell r="AI1620" t="str">
            <v>B00</v>
          </cell>
          <cell r="AJ1620" t="str">
            <v>F</v>
          </cell>
          <cell r="AK1620" t="str">
            <v>--</v>
          </cell>
        </row>
        <row r="1621">
          <cell r="A1621" t="str">
            <v>70002084828521</v>
          </cell>
          <cell r="B1621" t="str">
            <v>angefragt 24.03.23</v>
          </cell>
          <cell r="C1621" t="e">
            <v>#N/A</v>
          </cell>
          <cell r="D1621" t="str">
            <v>EK65</v>
          </cell>
          <cell r="E1621" t="str">
            <v>723463</v>
          </cell>
          <cell r="F1621" t="str">
            <v>E</v>
          </cell>
          <cell r="G1621" t="str">
            <v>70002084</v>
          </cell>
          <cell r="H1621" t="str">
            <v>PLATE</v>
          </cell>
          <cell r="I1621">
            <v>90</v>
          </cell>
          <cell r="J1621" t="str">
            <v>Stk</v>
          </cell>
          <cell r="K1621">
            <v>45078</v>
          </cell>
          <cell r="L1621" t="str">
            <v>828521</v>
          </cell>
          <cell r="M1621" t="str">
            <v/>
          </cell>
          <cell r="N1621" t="str">
            <v/>
          </cell>
          <cell r="O1621" t="str">
            <v/>
          </cell>
          <cell r="P1621" t="str">
            <v/>
          </cell>
          <cell r="Q1621" t="str">
            <v>X2CrNi18-9</v>
          </cell>
          <cell r="R1621" t="str">
            <v>EN 10088</v>
          </cell>
          <cell r="S1621" t="str">
            <v/>
          </cell>
          <cell r="T1621" t="str">
            <v/>
          </cell>
          <cell r="U1621" t="str">
            <v>BB20042510003</v>
          </cell>
          <cell r="V1621" t="str">
            <v>B00</v>
          </cell>
          <cell r="W1621" t="str">
            <v/>
          </cell>
          <cell r="X1621" t="str">
            <v/>
          </cell>
          <cell r="Y1621" t="str">
            <v/>
          </cell>
          <cell r="Z1621" t="str">
            <v/>
          </cell>
          <cell r="AA1621" t="str">
            <v/>
          </cell>
          <cell r="AB1621" t="str">
            <v>70002084</v>
          </cell>
          <cell r="AC1621">
            <v>1</v>
          </cell>
          <cell r="AD1621" t="str">
            <v/>
          </cell>
          <cell r="AE1621">
            <v>0</v>
          </cell>
          <cell r="AF1621" t="str">
            <v/>
          </cell>
          <cell r="AG1621" t="str">
            <v>70002084</v>
          </cell>
          <cell r="AH1621">
            <v>45016.924108796295</v>
          </cell>
          <cell r="AI1621" t="str">
            <v>B00</v>
          </cell>
          <cell r="AJ1621" t="str">
            <v>F</v>
          </cell>
          <cell r="AK1621" t="str">
            <v>A0</v>
          </cell>
        </row>
        <row r="1622">
          <cell r="A1622" t="str">
            <v>70002755828521</v>
          </cell>
          <cell r="B1622" t="e">
            <v>#N/A</v>
          </cell>
          <cell r="C1622" t="e">
            <v>#N/A</v>
          </cell>
          <cell r="D1622" t="str">
            <v>EK65</v>
          </cell>
          <cell r="E1622" t="str">
            <v>723570</v>
          </cell>
          <cell r="F1622" t="str">
            <v>E</v>
          </cell>
          <cell r="G1622" t="str">
            <v>70002755</v>
          </cell>
          <cell r="H1622" t="str">
            <v>PLATE ASSEMBLY</v>
          </cell>
          <cell r="I1622">
            <v>90</v>
          </cell>
          <cell r="J1622" t="str">
            <v>Stk</v>
          </cell>
          <cell r="K1622">
            <v>45078</v>
          </cell>
          <cell r="L1622" t="str">
            <v>828521</v>
          </cell>
          <cell r="M1622" t="str">
            <v/>
          </cell>
          <cell r="N1622" t="str">
            <v/>
          </cell>
          <cell r="O1622" t="str">
            <v/>
          </cell>
          <cell r="P1622" t="str">
            <v/>
          </cell>
          <cell r="Q1622" t="str">
            <v/>
          </cell>
          <cell r="R1622" t="str">
            <v/>
          </cell>
          <cell r="S1622" t="str">
            <v/>
          </cell>
          <cell r="T1622" t="str">
            <v/>
          </cell>
          <cell r="U1622" t="str">
            <v>BB20042511000</v>
          </cell>
          <cell r="V1622" t="str">
            <v>B00</v>
          </cell>
          <cell r="W1622" t="str">
            <v/>
          </cell>
          <cell r="X1622" t="str">
            <v/>
          </cell>
          <cell r="Y1622" t="str">
            <v/>
          </cell>
          <cell r="Z1622" t="str">
            <v/>
          </cell>
          <cell r="AA1622" t="str">
            <v/>
          </cell>
          <cell r="AB1622" t="str">
            <v>70002755</v>
          </cell>
          <cell r="AC1622">
            <v>1</v>
          </cell>
          <cell r="AD1622" t="str">
            <v/>
          </cell>
          <cell r="AE1622">
            <v>0</v>
          </cell>
          <cell r="AF1622" t="str">
            <v/>
          </cell>
          <cell r="AG1622" t="str">
            <v>70002755</v>
          </cell>
          <cell r="AH1622">
            <v>45016.930486111109</v>
          </cell>
          <cell r="AI1622" t="str">
            <v>B00</v>
          </cell>
          <cell r="AJ1622" t="str">
            <v>F</v>
          </cell>
          <cell r="AK1622" t="str">
            <v>1</v>
          </cell>
        </row>
        <row r="1623">
          <cell r="A1623" t="str">
            <v>70002019828521</v>
          </cell>
          <cell r="B1623">
            <v>0</v>
          </cell>
          <cell r="C1623" t="e">
            <v>#N/A</v>
          </cell>
          <cell r="D1623" t="str">
            <v>EK65</v>
          </cell>
          <cell r="E1623" t="str">
            <v>686947</v>
          </cell>
          <cell r="F1623" t="str">
            <v>E</v>
          </cell>
          <cell r="G1623" t="str">
            <v>70002019</v>
          </cell>
          <cell r="H1623" t="str">
            <v>BUSHING</v>
          </cell>
          <cell r="I1623">
            <v>360</v>
          </cell>
          <cell r="J1623" t="str">
            <v>Stk</v>
          </cell>
          <cell r="K1623">
            <v>45079</v>
          </cell>
          <cell r="L1623" t="str">
            <v>828521</v>
          </cell>
          <cell r="M1623" t="str">
            <v/>
          </cell>
          <cell r="N1623" t="str">
            <v/>
          </cell>
          <cell r="O1623" t="str">
            <v/>
          </cell>
          <cell r="P1623" t="str">
            <v/>
          </cell>
          <cell r="Q1623" t="str">
            <v/>
          </cell>
          <cell r="R1623" t="str">
            <v/>
          </cell>
          <cell r="S1623" t="str">
            <v/>
          </cell>
          <cell r="T1623" t="str">
            <v/>
          </cell>
          <cell r="U1623" t="str">
            <v>BB20046213006</v>
          </cell>
          <cell r="V1623" t="str">
            <v>N52</v>
          </cell>
          <cell r="W1623" t="str">
            <v/>
          </cell>
          <cell r="X1623" t="str">
            <v/>
          </cell>
          <cell r="Y1623" t="str">
            <v/>
          </cell>
          <cell r="Z1623" t="str">
            <v/>
          </cell>
          <cell r="AA1623" t="str">
            <v/>
          </cell>
          <cell r="AB1623" t="str">
            <v>70002019</v>
          </cell>
          <cell r="AC1623">
            <v>1</v>
          </cell>
          <cell r="AD1623" t="str">
            <v/>
          </cell>
          <cell r="AE1623">
            <v>0</v>
          </cell>
          <cell r="AF1623" t="str">
            <v/>
          </cell>
          <cell r="AG1623" t="str">
            <v>70002019</v>
          </cell>
          <cell r="AH1623">
            <v>44916.1328587963</v>
          </cell>
          <cell r="AI1623" t="str">
            <v>N52</v>
          </cell>
          <cell r="AJ1623" t="str">
            <v>F</v>
          </cell>
          <cell r="AK1623" t="str">
            <v>--</v>
          </cell>
        </row>
        <row r="1624">
          <cell r="A1624" t="str">
            <v>70002585828521</v>
          </cell>
          <cell r="B1624">
            <v>0</v>
          </cell>
          <cell r="C1624" t="e">
            <v>#N/A</v>
          </cell>
          <cell r="D1624" t="str">
            <v>EK65</v>
          </cell>
          <cell r="E1624" t="str">
            <v>687082</v>
          </cell>
          <cell r="F1624" t="str">
            <v>E</v>
          </cell>
          <cell r="G1624" t="str">
            <v>70002585</v>
          </cell>
          <cell r="H1624" t="str">
            <v>THRESHOLD</v>
          </cell>
          <cell r="I1624">
            <v>90</v>
          </cell>
          <cell r="J1624" t="str">
            <v>Stk</v>
          </cell>
          <cell r="K1624">
            <v>45079</v>
          </cell>
          <cell r="L1624" t="str">
            <v>828521</v>
          </cell>
          <cell r="M1624" t="str">
            <v/>
          </cell>
          <cell r="N1624" t="str">
            <v/>
          </cell>
          <cell r="O1624" t="str">
            <v/>
          </cell>
          <cell r="P1624" t="str">
            <v/>
          </cell>
          <cell r="Q1624" t="str">
            <v/>
          </cell>
          <cell r="R1624" t="str">
            <v/>
          </cell>
          <cell r="S1624" t="str">
            <v/>
          </cell>
          <cell r="T1624" t="str">
            <v/>
          </cell>
          <cell r="U1624" t="str">
            <v>BB20064210001</v>
          </cell>
          <cell r="V1624" t="str">
            <v>N52</v>
          </cell>
          <cell r="W1624" t="str">
            <v/>
          </cell>
          <cell r="X1624" t="str">
            <v/>
          </cell>
          <cell r="Y1624" t="str">
            <v/>
          </cell>
          <cell r="Z1624" t="str">
            <v/>
          </cell>
          <cell r="AA1624" t="str">
            <v/>
          </cell>
          <cell r="AB1624" t="str">
            <v>70002585</v>
          </cell>
          <cell r="AC1624">
            <v>1</v>
          </cell>
          <cell r="AD1624" t="str">
            <v/>
          </cell>
          <cell r="AE1624">
            <v>0</v>
          </cell>
          <cell r="AF1624" t="str">
            <v/>
          </cell>
          <cell r="AG1624" t="str">
            <v>70002585</v>
          </cell>
          <cell r="AH1624">
            <v>44916.137604166666</v>
          </cell>
          <cell r="AI1624" t="str">
            <v>N52</v>
          </cell>
          <cell r="AJ1624" t="str">
            <v>F</v>
          </cell>
          <cell r="AK1624" t="str">
            <v>--</v>
          </cell>
        </row>
        <row r="1625">
          <cell r="A1625" t="str">
            <v>70000046828521</v>
          </cell>
          <cell r="B1625">
            <v>0</v>
          </cell>
          <cell r="C1625" t="e">
            <v>#N/A</v>
          </cell>
          <cell r="D1625" t="str">
            <v>EK65</v>
          </cell>
          <cell r="E1625" t="str">
            <v>690165</v>
          </cell>
          <cell r="F1625" t="str">
            <v>E</v>
          </cell>
          <cell r="G1625" t="str">
            <v>70000046</v>
          </cell>
          <cell r="H1625" t="str">
            <v>SWING SEAT</v>
          </cell>
          <cell r="I1625">
            <v>360</v>
          </cell>
          <cell r="J1625" t="str">
            <v>Stk</v>
          </cell>
          <cell r="K1625">
            <v>45079</v>
          </cell>
          <cell r="L1625" t="str">
            <v>828521</v>
          </cell>
          <cell r="M1625" t="str">
            <v/>
          </cell>
          <cell r="N1625" t="str">
            <v/>
          </cell>
          <cell r="O1625" t="str">
            <v/>
          </cell>
          <cell r="P1625" t="str">
            <v/>
          </cell>
          <cell r="Q1625" t="str">
            <v>42CrMo4+QT</v>
          </cell>
          <cell r="R1625" t="str">
            <v>EN 10083</v>
          </cell>
          <cell r="S1625" t="str">
            <v/>
          </cell>
          <cell r="T1625" t="str">
            <v/>
          </cell>
          <cell r="U1625" t="str">
            <v>BB05277214006</v>
          </cell>
          <cell r="V1625" t="str">
            <v>N52</v>
          </cell>
          <cell r="W1625" t="str">
            <v/>
          </cell>
          <cell r="X1625" t="str">
            <v/>
          </cell>
          <cell r="Y1625" t="str">
            <v/>
          </cell>
          <cell r="Z1625" t="str">
            <v/>
          </cell>
          <cell r="AA1625" t="str">
            <v/>
          </cell>
          <cell r="AB1625" t="str">
            <v>70000046</v>
          </cell>
          <cell r="AC1625">
            <v>1</v>
          </cell>
          <cell r="AD1625" t="str">
            <v/>
          </cell>
          <cell r="AE1625">
            <v>0</v>
          </cell>
          <cell r="AF1625" t="str">
            <v/>
          </cell>
          <cell r="AG1625" t="str">
            <v>70000046</v>
          </cell>
          <cell r="AH1625">
            <v>44916.960162037038</v>
          </cell>
          <cell r="AI1625" t="str">
            <v>N52</v>
          </cell>
          <cell r="AJ1625" t="str">
            <v>F</v>
          </cell>
          <cell r="AK1625" t="str">
            <v>C0</v>
          </cell>
        </row>
        <row r="1626">
          <cell r="A1626" t="str">
            <v>70000055828521</v>
          </cell>
          <cell r="B1626">
            <v>0</v>
          </cell>
          <cell r="C1626" t="e">
            <v>#N/A</v>
          </cell>
          <cell r="D1626" t="str">
            <v>EK65</v>
          </cell>
          <cell r="E1626" t="str">
            <v>690166</v>
          </cell>
          <cell r="F1626" t="str">
            <v>E</v>
          </cell>
          <cell r="G1626" t="str">
            <v>70000055</v>
          </cell>
          <cell r="H1626" t="str">
            <v>SHIM</v>
          </cell>
          <cell r="I1626">
            <v>360</v>
          </cell>
          <cell r="J1626" t="str">
            <v>Stk</v>
          </cell>
          <cell r="K1626">
            <v>45079</v>
          </cell>
          <cell r="L1626" t="str">
            <v>828521</v>
          </cell>
          <cell r="M1626" t="str">
            <v/>
          </cell>
          <cell r="N1626" t="str">
            <v/>
          </cell>
          <cell r="O1626" t="str">
            <v/>
          </cell>
          <cell r="P1626" t="str">
            <v/>
          </cell>
          <cell r="Q1626" t="str">
            <v/>
          </cell>
          <cell r="R1626" t="str">
            <v/>
          </cell>
          <cell r="S1626" t="str">
            <v/>
          </cell>
          <cell r="T1626" t="str">
            <v/>
          </cell>
          <cell r="U1626" t="str">
            <v>BB20049133204</v>
          </cell>
          <cell r="V1626" t="str">
            <v>N52</v>
          </cell>
          <cell r="W1626" t="str">
            <v/>
          </cell>
          <cell r="X1626" t="str">
            <v/>
          </cell>
          <cell r="Y1626" t="str">
            <v/>
          </cell>
          <cell r="Z1626" t="str">
            <v/>
          </cell>
          <cell r="AA1626" t="str">
            <v/>
          </cell>
          <cell r="AB1626" t="str">
            <v>70000055</v>
          </cell>
          <cell r="AC1626">
            <v>1</v>
          </cell>
          <cell r="AD1626" t="str">
            <v/>
          </cell>
          <cell r="AE1626">
            <v>0</v>
          </cell>
          <cell r="AF1626" t="str">
            <v/>
          </cell>
          <cell r="AG1626" t="str">
            <v>70000055</v>
          </cell>
          <cell r="AH1626">
            <v>44916.960277777776</v>
          </cell>
          <cell r="AI1626" t="str">
            <v>N52</v>
          </cell>
          <cell r="AJ1626" t="str">
            <v>F</v>
          </cell>
          <cell r="AK1626" t="str">
            <v>--</v>
          </cell>
        </row>
        <row r="1627">
          <cell r="A1627" t="str">
            <v>70000056828521</v>
          </cell>
          <cell r="B1627">
            <v>0</v>
          </cell>
          <cell r="C1627" t="e">
            <v>#N/A</v>
          </cell>
          <cell r="D1627" t="str">
            <v>EK65</v>
          </cell>
          <cell r="E1627" t="str">
            <v>690167</v>
          </cell>
          <cell r="F1627" t="str">
            <v>E</v>
          </cell>
          <cell r="G1627" t="str">
            <v>70000056</v>
          </cell>
          <cell r="H1627" t="str">
            <v>SPACER</v>
          </cell>
          <cell r="I1627">
            <v>360</v>
          </cell>
          <cell r="J1627" t="str">
            <v>Stk</v>
          </cell>
          <cell r="K1627">
            <v>45079</v>
          </cell>
          <cell r="L1627" t="str">
            <v>828521</v>
          </cell>
          <cell r="M1627" t="str">
            <v/>
          </cell>
          <cell r="N1627" t="str">
            <v/>
          </cell>
          <cell r="O1627" t="str">
            <v/>
          </cell>
          <cell r="P1627" t="str">
            <v/>
          </cell>
          <cell r="Q1627" t="str">
            <v/>
          </cell>
          <cell r="R1627" t="str">
            <v/>
          </cell>
          <cell r="S1627" t="str">
            <v/>
          </cell>
          <cell r="T1627" t="str">
            <v/>
          </cell>
          <cell r="U1627" t="str">
            <v>BB20049133205</v>
          </cell>
          <cell r="V1627" t="str">
            <v>N52</v>
          </cell>
          <cell r="W1627" t="str">
            <v/>
          </cell>
          <cell r="X1627" t="str">
            <v/>
          </cell>
          <cell r="Y1627" t="str">
            <v/>
          </cell>
          <cell r="Z1627" t="str">
            <v/>
          </cell>
          <cell r="AA1627" t="str">
            <v/>
          </cell>
          <cell r="AB1627" t="str">
            <v>70000056</v>
          </cell>
          <cell r="AC1627">
            <v>1</v>
          </cell>
          <cell r="AD1627" t="str">
            <v/>
          </cell>
          <cell r="AE1627">
            <v>0</v>
          </cell>
          <cell r="AF1627" t="str">
            <v/>
          </cell>
          <cell r="AG1627" t="str">
            <v>70000056</v>
          </cell>
          <cell r="AH1627">
            <v>44916.960289351853</v>
          </cell>
          <cell r="AI1627" t="str">
            <v>N52</v>
          </cell>
          <cell r="AJ1627" t="str">
            <v>F</v>
          </cell>
          <cell r="AK1627" t="str">
            <v>--</v>
          </cell>
        </row>
        <row r="1628">
          <cell r="A1628" t="str">
            <v>70000057828521</v>
          </cell>
          <cell r="B1628">
            <v>0</v>
          </cell>
          <cell r="C1628" t="e">
            <v>#N/A</v>
          </cell>
          <cell r="D1628" t="str">
            <v>EK65</v>
          </cell>
          <cell r="E1628" t="str">
            <v>690168</v>
          </cell>
          <cell r="F1628" t="str">
            <v>E</v>
          </cell>
          <cell r="G1628" t="str">
            <v>70000057</v>
          </cell>
          <cell r="H1628" t="str">
            <v>DISTANCER</v>
          </cell>
          <cell r="I1628">
            <v>720</v>
          </cell>
          <cell r="J1628" t="str">
            <v>Stk</v>
          </cell>
          <cell r="K1628">
            <v>45079</v>
          </cell>
          <cell r="L1628" t="str">
            <v>828521</v>
          </cell>
          <cell r="M1628" t="str">
            <v/>
          </cell>
          <cell r="N1628" t="str">
            <v/>
          </cell>
          <cell r="O1628" t="str">
            <v/>
          </cell>
          <cell r="P1628" t="str">
            <v/>
          </cell>
          <cell r="Q1628" t="str">
            <v/>
          </cell>
          <cell r="R1628" t="str">
            <v/>
          </cell>
          <cell r="S1628" t="str">
            <v/>
          </cell>
          <cell r="T1628" t="str">
            <v/>
          </cell>
          <cell r="U1628" t="str">
            <v>BB20049133206</v>
          </cell>
          <cell r="V1628" t="str">
            <v>N52</v>
          </cell>
          <cell r="W1628" t="str">
            <v/>
          </cell>
          <cell r="X1628" t="str">
            <v/>
          </cell>
          <cell r="Y1628" t="str">
            <v/>
          </cell>
          <cell r="Z1628" t="str">
            <v/>
          </cell>
          <cell r="AA1628" t="str">
            <v/>
          </cell>
          <cell r="AB1628" t="str">
            <v>70000057</v>
          </cell>
          <cell r="AC1628">
            <v>1</v>
          </cell>
          <cell r="AD1628" t="str">
            <v/>
          </cell>
          <cell r="AE1628">
            <v>0</v>
          </cell>
          <cell r="AF1628" t="str">
            <v/>
          </cell>
          <cell r="AG1628" t="str">
            <v>70000057</v>
          </cell>
          <cell r="AH1628">
            <v>44916.960289351853</v>
          </cell>
          <cell r="AI1628" t="str">
            <v>N52</v>
          </cell>
          <cell r="AJ1628" t="str">
            <v>F</v>
          </cell>
          <cell r="AK1628" t="str">
            <v>--</v>
          </cell>
        </row>
        <row r="1629">
          <cell r="A1629" t="str">
            <v>70000097828521</v>
          </cell>
          <cell r="B1629">
            <v>0</v>
          </cell>
          <cell r="C1629" t="e">
            <v>#N/A</v>
          </cell>
          <cell r="D1629" t="str">
            <v>EK65</v>
          </cell>
          <cell r="E1629" t="str">
            <v>699187</v>
          </cell>
          <cell r="F1629" t="str">
            <v>E</v>
          </cell>
          <cell r="G1629" t="str">
            <v>70000097</v>
          </cell>
          <cell r="H1629" t="str">
            <v>DISTANCER ASSEMBLY</v>
          </cell>
          <cell r="I1629">
            <v>360</v>
          </cell>
          <cell r="J1629" t="str">
            <v>Stk</v>
          </cell>
          <cell r="K1629">
            <v>45079</v>
          </cell>
          <cell r="L1629" t="str">
            <v>828521</v>
          </cell>
          <cell r="M1629" t="str">
            <v/>
          </cell>
          <cell r="N1629" t="str">
            <v/>
          </cell>
          <cell r="O1629" t="str">
            <v/>
          </cell>
          <cell r="P1629" t="str">
            <v/>
          </cell>
          <cell r="Q1629" t="str">
            <v/>
          </cell>
          <cell r="R1629" t="str">
            <v/>
          </cell>
          <cell r="S1629" t="str">
            <v/>
          </cell>
          <cell r="T1629" t="str">
            <v/>
          </cell>
          <cell r="U1629" t="str">
            <v>BB20049430200</v>
          </cell>
          <cell r="V1629" t="str">
            <v>N32</v>
          </cell>
          <cell r="W1629" t="str">
            <v/>
          </cell>
          <cell r="X1629" t="str">
            <v/>
          </cell>
          <cell r="Y1629" t="str">
            <v/>
          </cell>
          <cell r="Z1629" t="str">
            <v/>
          </cell>
          <cell r="AA1629" t="str">
            <v/>
          </cell>
          <cell r="AB1629" t="str">
            <v>70000097</v>
          </cell>
          <cell r="AC1629">
            <v>1</v>
          </cell>
          <cell r="AD1629" t="str">
            <v/>
          </cell>
          <cell r="AE1629">
            <v>0</v>
          </cell>
          <cell r="AF1629" t="str">
            <v/>
          </cell>
          <cell r="AG1629" t="str">
            <v>70000097</v>
          </cell>
          <cell r="AH1629">
            <v>44943.922546296293</v>
          </cell>
          <cell r="AI1629" t="str">
            <v>N32</v>
          </cell>
          <cell r="AJ1629" t="str">
            <v>F</v>
          </cell>
          <cell r="AK1629" t="str">
            <v>--</v>
          </cell>
        </row>
        <row r="1630">
          <cell r="A1630" t="str">
            <v>70000045828521</v>
          </cell>
          <cell r="B1630">
            <v>0</v>
          </cell>
          <cell r="C1630" t="e">
            <v>#N/A</v>
          </cell>
          <cell r="D1630" t="str">
            <v>EK65</v>
          </cell>
          <cell r="E1630" t="str">
            <v>706683</v>
          </cell>
          <cell r="F1630" t="str">
            <v>E</v>
          </cell>
          <cell r="G1630" t="str">
            <v>70000045</v>
          </cell>
          <cell r="H1630" t="str">
            <v>CLAMP</v>
          </cell>
          <cell r="I1630">
            <v>180</v>
          </cell>
          <cell r="J1630" t="str">
            <v>Stk</v>
          </cell>
          <cell r="K1630">
            <v>45079</v>
          </cell>
          <cell r="L1630" t="str">
            <v>828521</v>
          </cell>
          <cell r="M1630" t="str">
            <v/>
          </cell>
          <cell r="N1630" t="str">
            <v/>
          </cell>
          <cell r="O1630" t="str">
            <v/>
          </cell>
          <cell r="P1630" t="str">
            <v/>
          </cell>
          <cell r="Q1630" t="str">
            <v>S355 J2+N</v>
          </cell>
          <cell r="R1630" t="str">
            <v>EN 10088</v>
          </cell>
          <cell r="S1630" t="str">
            <v/>
          </cell>
          <cell r="T1630" t="str">
            <v/>
          </cell>
          <cell r="U1630" t="str">
            <v>BB14530413012</v>
          </cell>
          <cell r="V1630" t="str">
            <v>B00</v>
          </cell>
          <cell r="W1630" t="str">
            <v/>
          </cell>
          <cell r="X1630" t="str">
            <v/>
          </cell>
          <cell r="Y1630" t="str">
            <v/>
          </cell>
          <cell r="Z1630" t="str">
            <v/>
          </cell>
          <cell r="AA1630" t="str">
            <v/>
          </cell>
          <cell r="AB1630" t="str">
            <v>70000045</v>
          </cell>
          <cell r="AC1630">
            <v>1</v>
          </cell>
          <cell r="AD1630" t="str">
            <v/>
          </cell>
          <cell r="AE1630">
            <v>0</v>
          </cell>
          <cell r="AF1630" t="str">
            <v/>
          </cell>
          <cell r="AG1630" t="str">
            <v>70000045</v>
          </cell>
          <cell r="AH1630">
            <v>44960.988194444442</v>
          </cell>
          <cell r="AI1630" t="str">
            <v>B00</v>
          </cell>
          <cell r="AJ1630" t="str">
            <v>F</v>
          </cell>
          <cell r="AK1630" t="str">
            <v>--</v>
          </cell>
        </row>
        <row r="1631">
          <cell r="A1631" t="str">
            <v>70000077828521</v>
          </cell>
          <cell r="B1631">
            <v>0</v>
          </cell>
          <cell r="C1631" t="e">
            <v>#N/A</v>
          </cell>
          <cell r="D1631" t="str">
            <v>EK65</v>
          </cell>
          <cell r="E1631" t="str">
            <v>706684</v>
          </cell>
          <cell r="F1631" t="str">
            <v>E</v>
          </cell>
          <cell r="G1631" t="str">
            <v>70000077</v>
          </cell>
          <cell r="H1631" t="str">
            <v>SUPPLEMENT</v>
          </cell>
          <cell r="I1631">
            <v>720</v>
          </cell>
          <cell r="J1631" t="str">
            <v>Stk</v>
          </cell>
          <cell r="K1631">
            <v>45079</v>
          </cell>
          <cell r="L1631" t="str">
            <v>828521</v>
          </cell>
          <cell r="M1631" t="str">
            <v/>
          </cell>
          <cell r="N1631" t="str">
            <v/>
          </cell>
          <cell r="O1631" t="str">
            <v/>
          </cell>
          <cell r="P1631" t="str">
            <v/>
          </cell>
          <cell r="Q1631" t="str">
            <v/>
          </cell>
          <cell r="R1631" t="str">
            <v/>
          </cell>
          <cell r="S1631" t="str">
            <v/>
          </cell>
          <cell r="T1631" t="str">
            <v/>
          </cell>
          <cell r="U1631" t="str">
            <v>BB18749200005</v>
          </cell>
          <cell r="V1631" t="str">
            <v>B00</v>
          </cell>
          <cell r="W1631" t="str">
            <v/>
          </cell>
          <cell r="X1631" t="str">
            <v/>
          </cell>
          <cell r="Y1631" t="str">
            <v/>
          </cell>
          <cell r="Z1631" t="str">
            <v/>
          </cell>
          <cell r="AA1631" t="str">
            <v/>
          </cell>
          <cell r="AB1631" t="str">
            <v>70000077</v>
          </cell>
          <cell r="AC1631">
            <v>1</v>
          </cell>
          <cell r="AD1631" t="str">
            <v/>
          </cell>
          <cell r="AE1631">
            <v>0</v>
          </cell>
          <cell r="AF1631" t="str">
            <v/>
          </cell>
          <cell r="AG1631" t="str">
            <v>70000077</v>
          </cell>
          <cell r="AH1631">
            <v>44960.989016203705</v>
          </cell>
          <cell r="AI1631" t="str">
            <v>B00</v>
          </cell>
          <cell r="AJ1631" t="str">
            <v>F</v>
          </cell>
          <cell r="AK1631" t="str">
            <v>--</v>
          </cell>
        </row>
        <row r="1632">
          <cell r="A1632" t="str">
            <v>70000078828521</v>
          </cell>
          <cell r="B1632">
            <v>0</v>
          </cell>
          <cell r="C1632" t="e">
            <v>#N/A</v>
          </cell>
          <cell r="D1632" t="str">
            <v>EK65</v>
          </cell>
          <cell r="E1632" t="str">
            <v>706685</v>
          </cell>
          <cell r="F1632" t="str">
            <v>E</v>
          </cell>
          <cell r="G1632" t="str">
            <v>70000078</v>
          </cell>
          <cell r="H1632" t="str">
            <v>SUPPLEMENT</v>
          </cell>
          <cell r="I1632">
            <v>180</v>
          </cell>
          <cell r="J1632" t="str">
            <v>Stk</v>
          </cell>
          <cell r="K1632">
            <v>45079</v>
          </cell>
          <cell r="L1632" t="str">
            <v>828521</v>
          </cell>
          <cell r="M1632" t="str">
            <v/>
          </cell>
          <cell r="N1632" t="str">
            <v/>
          </cell>
          <cell r="O1632" t="str">
            <v/>
          </cell>
          <cell r="P1632" t="str">
            <v/>
          </cell>
          <cell r="Q1632" t="str">
            <v/>
          </cell>
          <cell r="R1632" t="str">
            <v/>
          </cell>
          <cell r="S1632" t="str">
            <v/>
          </cell>
          <cell r="T1632" t="str">
            <v/>
          </cell>
          <cell r="U1632" t="str">
            <v>BB20049230014</v>
          </cell>
          <cell r="V1632" t="str">
            <v>B00</v>
          </cell>
          <cell r="W1632" t="str">
            <v/>
          </cell>
          <cell r="X1632" t="str">
            <v/>
          </cell>
          <cell r="Y1632" t="str">
            <v/>
          </cell>
          <cell r="Z1632" t="str">
            <v/>
          </cell>
          <cell r="AA1632" t="str">
            <v/>
          </cell>
          <cell r="AB1632" t="str">
            <v>70000078</v>
          </cell>
          <cell r="AC1632">
            <v>1</v>
          </cell>
          <cell r="AD1632" t="str">
            <v/>
          </cell>
          <cell r="AE1632">
            <v>0</v>
          </cell>
          <cell r="AF1632" t="str">
            <v/>
          </cell>
          <cell r="AG1632" t="str">
            <v>70000078</v>
          </cell>
          <cell r="AH1632">
            <v>44960.989027777781</v>
          </cell>
          <cell r="AI1632" t="str">
            <v>B00</v>
          </cell>
          <cell r="AJ1632" t="str">
            <v>F</v>
          </cell>
          <cell r="AK1632" t="str">
            <v>--</v>
          </cell>
        </row>
        <row r="1633">
          <cell r="A1633" t="str">
            <v>70000079828521</v>
          </cell>
          <cell r="B1633">
            <v>0</v>
          </cell>
          <cell r="C1633" t="e">
            <v>#N/A</v>
          </cell>
          <cell r="D1633" t="str">
            <v>EK65</v>
          </cell>
          <cell r="E1633" t="str">
            <v>706686</v>
          </cell>
          <cell r="F1633" t="str">
            <v>E</v>
          </cell>
          <cell r="G1633" t="str">
            <v>70000079</v>
          </cell>
          <cell r="H1633" t="str">
            <v>SUPPLEMENT</v>
          </cell>
          <cell r="I1633">
            <v>90</v>
          </cell>
          <cell r="J1633" t="str">
            <v>Stk</v>
          </cell>
          <cell r="K1633">
            <v>45079</v>
          </cell>
          <cell r="L1633" t="str">
            <v>828521</v>
          </cell>
          <cell r="M1633" t="str">
            <v/>
          </cell>
          <cell r="N1633" t="str">
            <v/>
          </cell>
          <cell r="O1633" t="str">
            <v/>
          </cell>
          <cell r="P1633" t="str">
            <v/>
          </cell>
          <cell r="Q1633" t="str">
            <v/>
          </cell>
          <cell r="R1633" t="str">
            <v/>
          </cell>
          <cell r="S1633" t="str">
            <v/>
          </cell>
          <cell r="T1633" t="str">
            <v/>
          </cell>
          <cell r="U1633" t="str">
            <v>BB20049230002</v>
          </cell>
          <cell r="V1633" t="str">
            <v>B00</v>
          </cell>
          <cell r="W1633" t="str">
            <v/>
          </cell>
          <cell r="X1633" t="str">
            <v/>
          </cell>
          <cell r="Y1633" t="str">
            <v/>
          </cell>
          <cell r="Z1633" t="str">
            <v/>
          </cell>
          <cell r="AA1633" t="str">
            <v/>
          </cell>
          <cell r="AB1633" t="str">
            <v>70000079</v>
          </cell>
          <cell r="AC1633">
            <v>1</v>
          </cell>
          <cell r="AD1633" t="str">
            <v/>
          </cell>
          <cell r="AE1633">
            <v>0</v>
          </cell>
          <cell r="AF1633" t="str">
            <v/>
          </cell>
          <cell r="AG1633" t="str">
            <v>70000079</v>
          </cell>
          <cell r="AH1633">
            <v>44960.989039351851</v>
          </cell>
          <cell r="AI1633" t="str">
            <v>B00</v>
          </cell>
          <cell r="AJ1633" t="str">
            <v>F</v>
          </cell>
          <cell r="AK1633" t="str">
            <v>--</v>
          </cell>
        </row>
        <row r="1634">
          <cell r="A1634" t="str">
            <v>70000081828521</v>
          </cell>
          <cell r="B1634">
            <v>0</v>
          </cell>
          <cell r="C1634" t="e">
            <v>#N/A</v>
          </cell>
          <cell r="D1634" t="str">
            <v>EK65</v>
          </cell>
          <cell r="E1634" t="str">
            <v>706687</v>
          </cell>
          <cell r="F1634" t="str">
            <v>E</v>
          </cell>
          <cell r="G1634" t="str">
            <v>70000081</v>
          </cell>
          <cell r="H1634" t="str">
            <v>SUPPLEMENT</v>
          </cell>
          <cell r="I1634">
            <v>180</v>
          </cell>
          <cell r="J1634" t="str">
            <v>Stk</v>
          </cell>
          <cell r="K1634">
            <v>45079</v>
          </cell>
          <cell r="L1634" t="str">
            <v>828521</v>
          </cell>
          <cell r="M1634" t="str">
            <v/>
          </cell>
          <cell r="N1634" t="str">
            <v/>
          </cell>
          <cell r="O1634" t="str">
            <v/>
          </cell>
          <cell r="P1634" t="str">
            <v/>
          </cell>
          <cell r="Q1634" t="str">
            <v/>
          </cell>
          <cell r="R1634" t="str">
            <v/>
          </cell>
          <cell r="S1634" t="str">
            <v/>
          </cell>
          <cell r="T1634" t="str">
            <v/>
          </cell>
          <cell r="U1634" t="str">
            <v>BB20049230008</v>
          </cell>
          <cell r="V1634" t="str">
            <v>B00</v>
          </cell>
          <cell r="W1634" t="str">
            <v/>
          </cell>
          <cell r="X1634" t="str">
            <v/>
          </cell>
          <cell r="Y1634" t="str">
            <v/>
          </cell>
          <cell r="Z1634" t="str">
            <v/>
          </cell>
          <cell r="AA1634" t="str">
            <v/>
          </cell>
          <cell r="AB1634" t="str">
            <v>70000081</v>
          </cell>
          <cell r="AC1634">
            <v>1</v>
          </cell>
          <cell r="AD1634" t="str">
            <v/>
          </cell>
          <cell r="AE1634">
            <v>0</v>
          </cell>
          <cell r="AF1634" t="str">
            <v/>
          </cell>
          <cell r="AG1634" t="str">
            <v>70000081</v>
          </cell>
          <cell r="AH1634">
            <v>44960.989050925928</v>
          </cell>
          <cell r="AI1634" t="str">
            <v>B00</v>
          </cell>
          <cell r="AJ1634" t="str">
            <v>F</v>
          </cell>
          <cell r="AK1634" t="str">
            <v>--</v>
          </cell>
        </row>
        <row r="1635">
          <cell r="A1635" t="str">
            <v>70000082828521</v>
          </cell>
          <cell r="B1635">
            <v>0</v>
          </cell>
          <cell r="C1635" t="e">
            <v>#N/A</v>
          </cell>
          <cell r="D1635" t="str">
            <v>EK65</v>
          </cell>
          <cell r="E1635" t="str">
            <v>706688</v>
          </cell>
          <cell r="F1635" t="str">
            <v>E</v>
          </cell>
          <cell r="G1635" t="str">
            <v>70000082</v>
          </cell>
          <cell r="H1635" t="str">
            <v>SHIM 1MM</v>
          </cell>
          <cell r="I1635">
            <v>1440</v>
          </cell>
          <cell r="J1635" t="str">
            <v>Stk</v>
          </cell>
          <cell r="K1635">
            <v>45079</v>
          </cell>
          <cell r="L1635" t="str">
            <v>828521</v>
          </cell>
          <cell r="M1635" t="str">
            <v/>
          </cell>
          <cell r="N1635" t="str">
            <v/>
          </cell>
          <cell r="O1635" t="str">
            <v/>
          </cell>
          <cell r="P1635" t="str">
            <v/>
          </cell>
          <cell r="Q1635" t="str">
            <v/>
          </cell>
          <cell r="R1635" t="str">
            <v/>
          </cell>
          <cell r="S1635" t="str">
            <v/>
          </cell>
          <cell r="T1635" t="str">
            <v/>
          </cell>
          <cell r="U1635" t="str">
            <v>BB18749200008</v>
          </cell>
          <cell r="V1635" t="str">
            <v>B00</v>
          </cell>
          <cell r="W1635" t="str">
            <v/>
          </cell>
          <cell r="X1635" t="str">
            <v/>
          </cell>
          <cell r="Y1635" t="str">
            <v/>
          </cell>
          <cell r="Z1635" t="str">
            <v/>
          </cell>
          <cell r="AA1635" t="str">
            <v/>
          </cell>
          <cell r="AB1635" t="str">
            <v>70000082</v>
          </cell>
          <cell r="AC1635">
            <v>1</v>
          </cell>
          <cell r="AD1635" t="str">
            <v/>
          </cell>
          <cell r="AE1635">
            <v>0</v>
          </cell>
          <cell r="AF1635" t="str">
            <v/>
          </cell>
          <cell r="AG1635" t="str">
            <v>70000082</v>
          </cell>
          <cell r="AH1635">
            <v>44960.989062499997</v>
          </cell>
          <cell r="AI1635" t="str">
            <v>B00</v>
          </cell>
          <cell r="AJ1635" t="str">
            <v>F</v>
          </cell>
          <cell r="AK1635" t="str">
            <v>--</v>
          </cell>
        </row>
        <row r="1636">
          <cell r="A1636" t="str">
            <v>70000083828521</v>
          </cell>
          <cell r="B1636">
            <v>0</v>
          </cell>
          <cell r="C1636" t="e">
            <v>#N/A</v>
          </cell>
          <cell r="D1636" t="str">
            <v>EK65</v>
          </cell>
          <cell r="E1636" t="str">
            <v>706689</v>
          </cell>
          <cell r="F1636" t="str">
            <v>E</v>
          </cell>
          <cell r="G1636" t="str">
            <v>70000083</v>
          </cell>
          <cell r="H1636" t="str">
            <v>SHIM 0.5MM</v>
          </cell>
          <cell r="I1636">
            <v>720</v>
          </cell>
          <cell r="J1636" t="str">
            <v>Stk</v>
          </cell>
          <cell r="K1636">
            <v>45079</v>
          </cell>
          <cell r="L1636" t="str">
            <v>828521</v>
          </cell>
          <cell r="M1636" t="str">
            <v/>
          </cell>
          <cell r="N1636" t="str">
            <v/>
          </cell>
          <cell r="O1636" t="str">
            <v/>
          </cell>
          <cell r="P1636" t="str">
            <v/>
          </cell>
          <cell r="Q1636" t="str">
            <v/>
          </cell>
          <cell r="R1636" t="str">
            <v/>
          </cell>
          <cell r="S1636" t="str">
            <v/>
          </cell>
          <cell r="T1636" t="str">
            <v/>
          </cell>
          <cell r="U1636" t="str">
            <v>BB18749200009</v>
          </cell>
          <cell r="V1636" t="str">
            <v>B00</v>
          </cell>
          <cell r="W1636" t="str">
            <v/>
          </cell>
          <cell r="X1636" t="str">
            <v/>
          </cell>
          <cell r="Y1636" t="str">
            <v/>
          </cell>
          <cell r="Z1636" t="str">
            <v/>
          </cell>
          <cell r="AA1636" t="str">
            <v/>
          </cell>
          <cell r="AB1636" t="str">
            <v>70000083</v>
          </cell>
          <cell r="AC1636">
            <v>1</v>
          </cell>
          <cell r="AD1636" t="str">
            <v/>
          </cell>
          <cell r="AE1636">
            <v>0</v>
          </cell>
          <cell r="AF1636" t="str">
            <v/>
          </cell>
          <cell r="AG1636" t="str">
            <v>70000083</v>
          </cell>
          <cell r="AH1636">
            <v>44960.989074074074</v>
          </cell>
          <cell r="AI1636" t="str">
            <v>B00</v>
          </cell>
          <cell r="AJ1636" t="str">
            <v>F</v>
          </cell>
          <cell r="AK1636" t="str">
            <v>--</v>
          </cell>
        </row>
        <row r="1637">
          <cell r="A1637" t="str">
            <v>70000084828521</v>
          </cell>
          <cell r="B1637">
            <v>0</v>
          </cell>
          <cell r="C1637" t="e">
            <v>#N/A</v>
          </cell>
          <cell r="D1637" t="str">
            <v>EK65</v>
          </cell>
          <cell r="E1637" t="str">
            <v>706690</v>
          </cell>
          <cell r="F1637" t="str">
            <v>E</v>
          </cell>
          <cell r="G1637" t="str">
            <v>70000084</v>
          </cell>
          <cell r="H1637" t="str">
            <v>SHIM 1MM</v>
          </cell>
          <cell r="I1637">
            <v>180</v>
          </cell>
          <cell r="J1637" t="str">
            <v>Stk</v>
          </cell>
          <cell r="K1637">
            <v>45079</v>
          </cell>
          <cell r="L1637" t="str">
            <v>828521</v>
          </cell>
          <cell r="M1637" t="str">
            <v/>
          </cell>
          <cell r="N1637" t="str">
            <v/>
          </cell>
          <cell r="O1637" t="str">
            <v/>
          </cell>
          <cell r="P1637" t="str">
            <v/>
          </cell>
          <cell r="Q1637" t="str">
            <v/>
          </cell>
          <cell r="R1637" t="str">
            <v/>
          </cell>
          <cell r="S1637" t="str">
            <v/>
          </cell>
          <cell r="T1637" t="str">
            <v/>
          </cell>
          <cell r="U1637" t="str">
            <v>BB20049230003</v>
          </cell>
          <cell r="V1637" t="str">
            <v>B00</v>
          </cell>
          <cell r="W1637" t="str">
            <v/>
          </cell>
          <cell r="X1637" t="str">
            <v/>
          </cell>
          <cell r="Y1637" t="str">
            <v/>
          </cell>
          <cell r="Z1637" t="str">
            <v/>
          </cell>
          <cell r="AA1637" t="str">
            <v/>
          </cell>
          <cell r="AB1637" t="str">
            <v>70000084</v>
          </cell>
          <cell r="AC1637">
            <v>1</v>
          </cell>
          <cell r="AD1637" t="str">
            <v/>
          </cell>
          <cell r="AE1637">
            <v>0</v>
          </cell>
          <cell r="AF1637" t="str">
            <v/>
          </cell>
          <cell r="AG1637" t="str">
            <v>70000084</v>
          </cell>
          <cell r="AH1637">
            <v>44960.989085648151</v>
          </cell>
          <cell r="AI1637" t="str">
            <v>B00</v>
          </cell>
          <cell r="AJ1637" t="str">
            <v>F</v>
          </cell>
          <cell r="AK1637" t="str">
            <v>--</v>
          </cell>
        </row>
        <row r="1638">
          <cell r="A1638" t="str">
            <v>70000085828521</v>
          </cell>
          <cell r="B1638">
            <v>0</v>
          </cell>
          <cell r="C1638" t="e">
            <v>#N/A</v>
          </cell>
          <cell r="D1638" t="str">
            <v>EK65</v>
          </cell>
          <cell r="E1638" t="str">
            <v>706691</v>
          </cell>
          <cell r="F1638" t="str">
            <v>E</v>
          </cell>
          <cell r="G1638" t="str">
            <v>70000085</v>
          </cell>
          <cell r="H1638" t="str">
            <v>SHIM 0.5MM</v>
          </cell>
          <cell r="I1638">
            <v>90</v>
          </cell>
          <cell r="J1638" t="str">
            <v>Stk</v>
          </cell>
          <cell r="K1638">
            <v>45079</v>
          </cell>
          <cell r="L1638" t="str">
            <v>828521</v>
          </cell>
          <cell r="M1638" t="str">
            <v/>
          </cell>
          <cell r="N1638" t="str">
            <v/>
          </cell>
          <cell r="O1638" t="str">
            <v/>
          </cell>
          <cell r="P1638" t="str">
            <v/>
          </cell>
          <cell r="Q1638" t="str">
            <v/>
          </cell>
          <cell r="R1638" t="str">
            <v/>
          </cell>
          <cell r="S1638" t="str">
            <v/>
          </cell>
          <cell r="T1638" t="str">
            <v/>
          </cell>
          <cell r="U1638" t="str">
            <v>BB20049230004</v>
          </cell>
          <cell r="V1638" t="str">
            <v>B00</v>
          </cell>
          <cell r="W1638" t="str">
            <v/>
          </cell>
          <cell r="X1638" t="str">
            <v/>
          </cell>
          <cell r="Y1638" t="str">
            <v/>
          </cell>
          <cell r="Z1638" t="str">
            <v/>
          </cell>
          <cell r="AA1638" t="str">
            <v/>
          </cell>
          <cell r="AB1638" t="str">
            <v>70000085</v>
          </cell>
          <cell r="AC1638">
            <v>1</v>
          </cell>
          <cell r="AD1638" t="str">
            <v/>
          </cell>
          <cell r="AE1638">
            <v>0</v>
          </cell>
          <cell r="AF1638" t="str">
            <v/>
          </cell>
          <cell r="AG1638" t="str">
            <v>70000085</v>
          </cell>
          <cell r="AH1638">
            <v>44960.98909722222</v>
          </cell>
          <cell r="AI1638" t="str">
            <v>B00</v>
          </cell>
          <cell r="AJ1638" t="str">
            <v>F</v>
          </cell>
          <cell r="AK1638" t="str">
            <v>--</v>
          </cell>
        </row>
        <row r="1639">
          <cell r="A1639" t="str">
            <v>70000086828521</v>
          </cell>
          <cell r="B1639">
            <v>0</v>
          </cell>
          <cell r="C1639" t="e">
            <v>#N/A</v>
          </cell>
          <cell r="D1639" t="str">
            <v>EK65</v>
          </cell>
          <cell r="E1639" t="str">
            <v>706692</v>
          </cell>
          <cell r="F1639" t="str">
            <v>E</v>
          </cell>
          <cell r="G1639" t="str">
            <v>70000086</v>
          </cell>
          <cell r="H1639" t="str">
            <v>SHIM 1MM</v>
          </cell>
          <cell r="I1639">
            <v>1080</v>
          </cell>
          <cell r="J1639" t="str">
            <v>Stk</v>
          </cell>
          <cell r="K1639">
            <v>45079</v>
          </cell>
          <cell r="L1639" t="str">
            <v>828521</v>
          </cell>
          <cell r="M1639" t="str">
            <v/>
          </cell>
          <cell r="N1639" t="str">
            <v/>
          </cell>
          <cell r="O1639" t="str">
            <v/>
          </cell>
          <cell r="P1639" t="str">
            <v/>
          </cell>
          <cell r="Q1639" t="str">
            <v/>
          </cell>
          <cell r="R1639" t="str">
            <v/>
          </cell>
          <cell r="S1639" t="str">
            <v/>
          </cell>
          <cell r="T1639" t="str">
            <v/>
          </cell>
          <cell r="U1639" t="str">
            <v>BB20049230006</v>
          </cell>
          <cell r="V1639" t="str">
            <v>B00</v>
          </cell>
          <cell r="W1639" t="str">
            <v/>
          </cell>
          <cell r="X1639" t="str">
            <v/>
          </cell>
          <cell r="Y1639" t="str">
            <v/>
          </cell>
          <cell r="Z1639" t="str">
            <v/>
          </cell>
          <cell r="AA1639" t="str">
            <v/>
          </cell>
          <cell r="AB1639" t="str">
            <v>70000086</v>
          </cell>
          <cell r="AC1639">
            <v>1</v>
          </cell>
          <cell r="AD1639" t="str">
            <v/>
          </cell>
          <cell r="AE1639">
            <v>0</v>
          </cell>
          <cell r="AF1639" t="str">
            <v/>
          </cell>
          <cell r="AG1639" t="str">
            <v>70000086</v>
          </cell>
          <cell r="AH1639">
            <v>44960.98909722222</v>
          </cell>
          <cell r="AI1639" t="str">
            <v>B00</v>
          </cell>
          <cell r="AJ1639" t="str">
            <v>F</v>
          </cell>
          <cell r="AK1639" t="str">
            <v>--</v>
          </cell>
        </row>
        <row r="1640">
          <cell r="A1640" t="str">
            <v>70000087828521</v>
          </cell>
          <cell r="B1640">
            <v>0</v>
          </cell>
          <cell r="C1640" t="e">
            <v>#N/A</v>
          </cell>
          <cell r="D1640" t="str">
            <v>EK65</v>
          </cell>
          <cell r="E1640" t="str">
            <v>706693</v>
          </cell>
          <cell r="F1640" t="str">
            <v>E</v>
          </cell>
          <cell r="G1640" t="str">
            <v>70000087</v>
          </cell>
          <cell r="H1640" t="str">
            <v>SHIM 0.5MM</v>
          </cell>
          <cell r="I1640">
            <v>540</v>
          </cell>
          <cell r="J1640" t="str">
            <v>Stk</v>
          </cell>
          <cell r="K1640">
            <v>45079</v>
          </cell>
          <cell r="L1640" t="str">
            <v>828521</v>
          </cell>
          <cell r="M1640" t="str">
            <v/>
          </cell>
          <cell r="N1640" t="str">
            <v/>
          </cell>
          <cell r="O1640" t="str">
            <v/>
          </cell>
          <cell r="P1640" t="str">
            <v/>
          </cell>
          <cell r="Q1640" t="str">
            <v/>
          </cell>
          <cell r="R1640" t="str">
            <v/>
          </cell>
          <cell r="S1640" t="str">
            <v/>
          </cell>
          <cell r="T1640" t="str">
            <v/>
          </cell>
          <cell r="U1640" t="str">
            <v>BB20049230007</v>
          </cell>
          <cell r="V1640" t="str">
            <v>B00</v>
          </cell>
          <cell r="W1640" t="str">
            <v/>
          </cell>
          <cell r="X1640" t="str">
            <v/>
          </cell>
          <cell r="Y1640" t="str">
            <v/>
          </cell>
          <cell r="Z1640" t="str">
            <v/>
          </cell>
          <cell r="AA1640" t="str">
            <v/>
          </cell>
          <cell r="AB1640" t="str">
            <v>70000087</v>
          </cell>
          <cell r="AC1640">
            <v>1</v>
          </cell>
          <cell r="AD1640" t="str">
            <v/>
          </cell>
          <cell r="AE1640">
            <v>0</v>
          </cell>
          <cell r="AF1640" t="str">
            <v/>
          </cell>
          <cell r="AG1640" t="str">
            <v>70000087</v>
          </cell>
          <cell r="AH1640">
            <v>44960.989108796297</v>
          </cell>
          <cell r="AI1640" t="str">
            <v>B00</v>
          </cell>
          <cell r="AJ1640" t="str">
            <v>F</v>
          </cell>
          <cell r="AK1640" t="str">
            <v>--</v>
          </cell>
        </row>
        <row r="1641">
          <cell r="A1641" t="str">
            <v>70000088828521</v>
          </cell>
          <cell r="B1641">
            <v>0</v>
          </cell>
          <cell r="C1641" t="e">
            <v>#N/A</v>
          </cell>
          <cell r="D1641" t="str">
            <v>EK65</v>
          </cell>
          <cell r="E1641" t="str">
            <v>706694</v>
          </cell>
          <cell r="F1641" t="str">
            <v>E</v>
          </cell>
          <cell r="G1641" t="str">
            <v>70000088</v>
          </cell>
          <cell r="H1641" t="str">
            <v>SHIM 1MM</v>
          </cell>
          <cell r="I1641">
            <v>360</v>
          </cell>
          <cell r="J1641" t="str">
            <v>Stk</v>
          </cell>
          <cell r="K1641">
            <v>45079</v>
          </cell>
          <cell r="L1641" t="str">
            <v>828521</v>
          </cell>
          <cell r="M1641" t="str">
            <v/>
          </cell>
          <cell r="N1641" t="str">
            <v/>
          </cell>
          <cell r="O1641" t="str">
            <v/>
          </cell>
          <cell r="P1641" t="str">
            <v/>
          </cell>
          <cell r="Q1641" t="str">
            <v/>
          </cell>
          <cell r="R1641" t="str">
            <v/>
          </cell>
          <cell r="S1641" t="str">
            <v/>
          </cell>
          <cell r="T1641" t="str">
            <v/>
          </cell>
          <cell r="U1641" t="str">
            <v>BB20049230009</v>
          </cell>
          <cell r="V1641" t="str">
            <v>B00</v>
          </cell>
          <cell r="W1641" t="str">
            <v/>
          </cell>
          <cell r="X1641" t="str">
            <v/>
          </cell>
          <cell r="Y1641" t="str">
            <v/>
          </cell>
          <cell r="Z1641" t="str">
            <v/>
          </cell>
          <cell r="AA1641" t="str">
            <v/>
          </cell>
          <cell r="AB1641" t="str">
            <v>70000088</v>
          </cell>
          <cell r="AC1641">
            <v>1</v>
          </cell>
          <cell r="AD1641" t="str">
            <v/>
          </cell>
          <cell r="AE1641">
            <v>0</v>
          </cell>
          <cell r="AF1641" t="str">
            <v/>
          </cell>
          <cell r="AG1641" t="str">
            <v>70000088</v>
          </cell>
          <cell r="AH1641">
            <v>44960.989120370374</v>
          </cell>
          <cell r="AI1641" t="str">
            <v>B00</v>
          </cell>
          <cell r="AJ1641" t="str">
            <v>F</v>
          </cell>
          <cell r="AK1641" t="str">
            <v>--</v>
          </cell>
        </row>
        <row r="1642">
          <cell r="A1642" t="str">
            <v>70000090828521</v>
          </cell>
          <cell r="B1642">
            <v>0</v>
          </cell>
          <cell r="C1642" t="e">
            <v>#N/A</v>
          </cell>
          <cell r="D1642" t="str">
            <v>EK65</v>
          </cell>
          <cell r="E1642" t="str">
            <v>706695</v>
          </cell>
          <cell r="F1642" t="str">
            <v>E</v>
          </cell>
          <cell r="G1642" t="str">
            <v>70000090</v>
          </cell>
          <cell r="H1642" t="str">
            <v>SHIM 1MM</v>
          </cell>
          <cell r="I1642">
            <v>360</v>
          </cell>
          <cell r="J1642" t="str">
            <v>Stk</v>
          </cell>
          <cell r="K1642">
            <v>45079</v>
          </cell>
          <cell r="L1642" t="str">
            <v>828521</v>
          </cell>
          <cell r="M1642" t="str">
            <v/>
          </cell>
          <cell r="N1642" t="str">
            <v/>
          </cell>
          <cell r="O1642" t="str">
            <v/>
          </cell>
          <cell r="P1642" t="str">
            <v/>
          </cell>
          <cell r="Q1642" t="str">
            <v>X6Cr17</v>
          </cell>
          <cell r="R1642" t="str">
            <v>EN 10088</v>
          </cell>
          <cell r="S1642" t="str">
            <v/>
          </cell>
          <cell r="T1642" t="str">
            <v/>
          </cell>
          <cell r="U1642" t="str">
            <v>BB20049230012</v>
          </cell>
          <cell r="V1642" t="str">
            <v>B00</v>
          </cell>
          <cell r="W1642" t="str">
            <v/>
          </cell>
          <cell r="X1642" t="str">
            <v/>
          </cell>
          <cell r="Y1642" t="str">
            <v/>
          </cell>
          <cell r="Z1642" t="str">
            <v/>
          </cell>
          <cell r="AA1642" t="str">
            <v/>
          </cell>
          <cell r="AB1642" t="str">
            <v>70000090</v>
          </cell>
          <cell r="AC1642">
            <v>1</v>
          </cell>
          <cell r="AD1642" t="str">
            <v/>
          </cell>
          <cell r="AE1642">
            <v>0</v>
          </cell>
          <cell r="AF1642" t="str">
            <v/>
          </cell>
          <cell r="AG1642" t="str">
            <v>70000090</v>
          </cell>
          <cell r="AH1642">
            <v>44960.989131944443</v>
          </cell>
          <cell r="AI1642" t="str">
            <v>B00</v>
          </cell>
          <cell r="AJ1642" t="str">
            <v>F</v>
          </cell>
          <cell r="AK1642" t="str">
            <v>A0</v>
          </cell>
        </row>
        <row r="1643">
          <cell r="A1643" t="str">
            <v>70000091828521</v>
          </cell>
          <cell r="B1643">
            <v>0</v>
          </cell>
          <cell r="C1643" t="e">
            <v>#N/A</v>
          </cell>
          <cell r="D1643" t="str">
            <v>EK65</v>
          </cell>
          <cell r="E1643" t="str">
            <v>706696</v>
          </cell>
          <cell r="F1643" t="str">
            <v>E</v>
          </cell>
          <cell r="G1643" t="str">
            <v>70000091</v>
          </cell>
          <cell r="H1643" t="str">
            <v>SHIM 0.5MM</v>
          </cell>
          <cell r="I1643">
            <v>180</v>
          </cell>
          <cell r="J1643" t="str">
            <v>Stk</v>
          </cell>
          <cell r="K1643">
            <v>45079</v>
          </cell>
          <cell r="L1643" t="str">
            <v>828521</v>
          </cell>
          <cell r="M1643" t="str">
            <v/>
          </cell>
          <cell r="N1643" t="str">
            <v/>
          </cell>
          <cell r="O1643" t="str">
            <v/>
          </cell>
          <cell r="P1643" t="str">
            <v/>
          </cell>
          <cell r="Q1643" t="str">
            <v>X6Cr17</v>
          </cell>
          <cell r="R1643" t="str">
            <v>EN 10088</v>
          </cell>
          <cell r="S1643" t="str">
            <v/>
          </cell>
          <cell r="T1643" t="str">
            <v/>
          </cell>
          <cell r="U1643" t="str">
            <v>BB20049230013</v>
          </cell>
          <cell r="V1643" t="str">
            <v>B00</v>
          </cell>
          <cell r="W1643" t="str">
            <v/>
          </cell>
          <cell r="X1643" t="str">
            <v/>
          </cell>
          <cell r="Y1643" t="str">
            <v/>
          </cell>
          <cell r="Z1643" t="str">
            <v/>
          </cell>
          <cell r="AA1643" t="str">
            <v/>
          </cell>
          <cell r="AB1643" t="str">
            <v>70000091</v>
          </cell>
          <cell r="AC1643">
            <v>1</v>
          </cell>
          <cell r="AD1643" t="str">
            <v/>
          </cell>
          <cell r="AE1643">
            <v>0</v>
          </cell>
          <cell r="AF1643" t="str">
            <v/>
          </cell>
          <cell r="AG1643" t="str">
            <v>70000091</v>
          </cell>
          <cell r="AH1643">
            <v>44960.98914351852</v>
          </cell>
          <cell r="AI1643" t="str">
            <v>B00</v>
          </cell>
          <cell r="AJ1643" t="str">
            <v>F</v>
          </cell>
          <cell r="AK1643" t="str">
            <v>A0</v>
          </cell>
        </row>
        <row r="1644">
          <cell r="A1644" t="str">
            <v>70000096828521</v>
          </cell>
          <cell r="B1644">
            <v>0</v>
          </cell>
          <cell r="C1644" t="e">
            <v>#N/A</v>
          </cell>
          <cell r="D1644" t="str">
            <v>EK65</v>
          </cell>
          <cell r="E1644" t="str">
            <v>706697</v>
          </cell>
          <cell r="F1644" t="str">
            <v>E</v>
          </cell>
          <cell r="G1644" t="str">
            <v>70000096</v>
          </cell>
          <cell r="H1644" t="str">
            <v>FRAME</v>
          </cell>
          <cell r="I1644">
            <v>180</v>
          </cell>
          <cell r="J1644" t="str">
            <v>Stk</v>
          </cell>
          <cell r="K1644">
            <v>45079</v>
          </cell>
          <cell r="L1644" t="str">
            <v>828521</v>
          </cell>
          <cell r="M1644" t="str">
            <v/>
          </cell>
          <cell r="N1644" t="str">
            <v/>
          </cell>
          <cell r="O1644" t="str">
            <v/>
          </cell>
          <cell r="P1644" t="str">
            <v/>
          </cell>
          <cell r="Q1644" t="str">
            <v/>
          </cell>
          <cell r="R1644" t="str">
            <v/>
          </cell>
          <cell r="S1644" t="str">
            <v/>
          </cell>
          <cell r="T1644" t="str">
            <v/>
          </cell>
          <cell r="U1644" t="str">
            <v>BB20049430003</v>
          </cell>
          <cell r="V1644" t="str">
            <v>B00</v>
          </cell>
          <cell r="W1644" t="str">
            <v/>
          </cell>
          <cell r="X1644" t="str">
            <v/>
          </cell>
          <cell r="Y1644" t="str">
            <v/>
          </cell>
          <cell r="Z1644" t="str">
            <v/>
          </cell>
          <cell r="AA1644" t="str">
            <v/>
          </cell>
          <cell r="AB1644" t="str">
            <v>70000096</v>
          </cell>
          <cell r="AC1644">
            <v>1</v>
          </cell>
          <cell r="AD1644" t="str">
            <v/>
          </cell>
          <cell r="AE1644">
            <v>0</v>
          </cell>
          <cell r="AF1644" t="str">
            <v/>
          </cell>
          <cell r="AG1644" t="str">
            <v>70000096</v>
          </cell>
          <cell r="AH1644">
            <v>44960.989166666666</v>
          </cell>
          <cell r="AI1644" t="str">
            <v>B00</v>
          </cell>
          <cell r="AJ1644" t="str">
            <v>F</v>
          </cell>
          <cell r="AK1644" t="str">
            <v>--</v>
          </cell>
        </row>
        <row r="1645">
          <cell r="A1645" t="str">
            <v>70000288828521</v>
          </cell>
          <cell r="B1645">
            <v>0</v>
          </cell>
          <cell r="C1645" t="e">
            <v>#N/A</v>
          </cell>
          <cell r="D1645" t="str">
            <v>EK65</v>
          </cell>
          <cell r="E1645" t="str">
            <v>706707</v>
          </cell>
          <cell r="F1645" t="str">
            <v>E</v>
          </cell>
          <cell r="G1645" t="str">
            <v>70000288</v>
          </cell>
          <cell r="H1645" t="str">
            <v>STEEL TEST PIECE</v>
          </cell>
          <cell r="I1645">
            <v>135</v>
          </cell>
          <cell r="J1645" t="str">
            <v>Stk</v>
          </cell>
          <cell r="K1645">
            <v>45079</v>
          </cell>
          <cell r="L1645" t="str">
            <v>828521</v>
          </cell>
          <cell r="M1645" t="str">
            <v/>
          </cell>
          <cell r="N1645" t="str">
            <v/>
          </cell>
          <cell r="O1645" t="str">
            <v/>
          </cell>
          <cell r="P1645" t="str">
            <v/>
          </cell>
          <cell r="Q1645" t="str">
            <v>1.4162</v>
          </cell>
          <cell r="R1645" t="str">
            <v>EN 10088</v>
          </cell>
          <cell r="S1645" t="str">
            <v/>
          </cell>
          <cell r="T1645" t="str">
            <v/>
          </cell>
          <cell r="U1645" t="str">
            <v>BB20032910002</v>
          </cell>
          <cell r="V1645" t="str">
            <v>B00</v>
          </cell>
          <cell r="W1645" t="str">
            <v/>
          </cell>
          <cell r="X1645" t="str">
            <v/>
          </cell>
          <cell r="Y1645" t="str">
            <v/>
          </cell>
          <cell r="Z1645" t="str">
            <v/>
          </cell>
          <cell r="AA1645" t="str">
            <v/>
          </cell>
          <cell r="AB1645" t="str">
            <v>70000288</v>
          </cell>
          <cell r="AC1645">
            <v>1</v>
          </cell>
          <cell r="AD1645" t="str">
            <v/>
          </cell>
          <cell r="AE1645">
            <v>0</v>
          </cell>
          <cell r="AF1645" t="str">
            <v/>
          </cell>
          <cell r="AG1645" t="str">
            <v>70000288</v>
          </cell>
          <cell r="AH1645">
            <v>44960.993125000001</v>
          </cell>
          <cell r="AI1645" t="str">
            <v>B00</v>
          </cell>
          <cell r="AJ1645" t="str">
            <v>F</v>
          </cell>
          <cell r="AK1645" t="str">
            <v>--</v>
          </cell>
        </row>
        <row r="1646">
          <cell r="A1646" t="str">
            <v>70000603828521</v>
          </cell>
          <cell r="B1646">
            <v>0</v>
          </cell>
          <cell r="C1646" t="e">
            <v>#N/A</v>
          </cell>
          <cell r="D1646" t="str">
            <v>EK65</v>
          </cell>
          <cell r="E1646" t="str">
            <v>706767</v>
          </cell>
          <cell r="F1646" t="str">
            <v>E</v>
          </cell>
          <cell r="G1646" t="str">
            <v>70000603</v>
          </cell>
          <cell r="H1646" t="str">
            <v>SUPPORT ASSEMBLY</v>
          </cell>
          <cell r="I1646">
            <v>180</v>
          </cell>
          <cell r="J1646" t="str">
            <v>Stk</v>
          </cell>
          <cell r="K1646">
            <v>45079</v>
          </cell>
          <cell r="L1646" t="str">
            <v>828521</v>
          </cell>
          <cell r="M1646" t="str">
            <v/>
          </cell>
          <cell r="N1646" t="str">
            <v/>
          </cell>
          <cell r="O1646" t="str">
            <v/>
          </cell>
          <cell r="P1646" t="str">
            <v/>
          </cell>
          <cell r="Q1646" t="str">
            <v/>
          </cell>
          <cell r="R1646" t="str">
            <v/>
          </cell>
          <cell r="S1646" t="str">
            <v/>
          </cell>
          <cell r="T1646" t="str">
            <v/>
          </cell>
          <cell r="U1646" t="str">
            <v>BB20442720200</v>
          </cell>
          <cell r="V1646" t="str">
            <v>B50</v>
          </cell>
          <cell r="W1646" t="str">
            <v/>
          </cell>
          <cell r="X1646" t="str">
            <v/>
          </cell>
          <cell r="Y1646" t="str">
            <v/>
          </cell>
          <cell r="Z1646" t="str">
            <v/>
          </cell>
          <cell r="AA1646" t="str">
            <v/>
          </cell>
          <cell r="AB1646" t="str">
            <v>70000603</v>
          </cell>
          <cell r="AC1646">
            <v>1</v>
          </cell>
          <cell r="AD1646" t="str">
            <v/>
          </cell>
          <cell r="AE1646">
            <v>0</v>
          </cell>
          <cell r="AF1646" t="str">
            <v/>
          </cell>
          <cell r="AG1646" t="str">
            <v>70000603</v>
          </cell>
          <cell r="AH1646">
            <v>44960.998020833336</v>
          </cell>
          <cell r="AI1646" t="str">
            <v>B50</v>
          </cell>
          <cell r="AJ1646" t="str">
            <v>F</v>
          </cell>
          <cell r="AK1646" t="str">
            <v>--</v>
          </cell>
        </row>
        <row r="1647">
          <cell r="A1647" t="str">
            <v>70001433828521</v>
          </cell>
          <cell r="B1647">
            <v>0</v>
          </cell>
          <cell r="C1647" t="e">
            <v>#N/A</v>
          </cell>
          <cell r="D1647" t="str">
            <v>EK65</v>
          </cell>
          <cell r="E1647" t="str">
            <v>706843</v>
          </cell>
          <cell r="F1647" t="str">
            <v>E</v>
          </cell>
          <cell r="G1647" t="str">
            <v>70001433</v>
          </cell>
          <cell r="H1647" t="str">
            <v>PLATE</v>
          </cell>
          <cell r="I1647">
            <v>3330</v>
          </cell>
          <cell r="J1647" t="str">
            <v>Stk</v>
          </cell>
          <cell r="K1647">
            <v>45079</v>
          </cell>
          <cell r="L1647" t="str">
            <v>828521</v>
          </cell>
          <cell r="M1647" t="str">
            <v/>
          </cell>
          <cell r="N1647" t="str">
            <v/>
          </cell>
          <cell r="O1647" t="str">
            <v/>
          </cell>
          <cell r="P1647" t="str">
            <v/>
          </cell>
          <cell r="Q1647" t="str">
            <v/>
          </cell>
          <cell r="R1647" t="str">
            <v/>
          </cell>
          <cell r="S1647" t="str">
            <v/>
          </cell>
          <cell r="T1647" t="str">
            <v/>
          </cell>
          <cell r="U1647" t="str">
            <v>BB18725410012</v>
          </cell>
          <cell r="V1647" t="str">
            <v>B00</v>
          </cell>
          <cell r="W1647" t="str">
            <v/>
          </cell>
          <cell r="X1647" t="str">
            <v/>
          </cell>
          <cell r="Y1647" t="str">
            <v/>
          </cell>
          <cell r="Z1647" t="str">
            <v/>
          </cell>
          <cell r="AA1647" t="str">
            <v/>
          </cell>
          <cell r="AB1647" t="str">
            <v>70001433</v>
          </cell>
          <cell r="AC1647">
            <v>1</v>
          </cell>
          <cell r="AD1647" t="str">
            <v/>
          </cell>
          <cell r="AE1647">
            <v>0</v>
          </cell>
          <cell r="AF1647" t="str">
            <v/>
          </cell>
          <cell r="AG1647" t="str">
            <v>70001433</v>
          </cell>
          <cell r="AH1647">
            <v>44961.008298611108</v>
          </cell>
          <cell r="AI1647" t="str">
            <v>B00</v>
          </cell>
          <cell r="AJ1647" t="str">
            <v>F</v>
          </cell>
          <cell r="AK1647" t="str">
            <v>--</v>
          </cell>
        </row>
        <row r="1648">
          <cell r="A1648" t="str">
            <v>70001446828521</v>
          </cell>
          <cell r="B1648">
            <v>0</v>
          </cell>
          <cell r="C1648" t="e">
            <v>#N/A</v>
          </cell>
          <cell r="D1648" t="str">
            <v>EK65</v>
          </cell>
          <cell r="E1648" t="str">
            <v>706846</v>
          </cell>
          <cell r="F1648" t="str">
            <v>E</v>
          </cell>
          <cell r="G1648" t="str">
            <v>70001446</v>
          </cell>
          <cell r="H1648" t="str">
            <v>BRACKET</v>
          </cell>
          <cell r="I1648">
            <v>180</v>
          </cell>
          <cell r="J1648" t="str">
            <v>Stk</v>
          </cell>
          <cell r="K1648">
            <v>45079</v>
          </cell>
          <cell r="L1648" t="str">
            <v>828521</v>
          </cell>
          <cell r="M1648" t="str">
            <v/>
          </cell>
          <cell r="N1648" t="str">
            <v/>
          </cell>
          <cell r="O1648" t="str">
            <v/>
          </cell>
          <cell r="P1648" t="str">
            <v/>
          </cell>
          <cell r="Q1648" t="str">
            <v/>
          </cell>
          <cell r="R1648" t="str">
            <v/>
          </cell>
          <cell r="S1648" t="str">
            <v/>
          </cell>
          <cell r="T1648" t="str">
            <v/>
          </cell>
          <cell r="U1648" t="str">
            <v>BB20026010001</v>
          </cell>
          <cell r="V1648" t="str">
            <v>B00</v>
          </cell>
          <cell r="W1648" t="str">
            <v/>
          </cell>
          <cell r="X1648" t="str">
            <v/>
          </cell>
          <cell r="Y1648" t="str">
            <v/>
          </cell>
          <cell r="Z1648" t="str">
            <v/>
          </cell>
          <cell r="AA1648" t="str">
            <v/>
          </cell>
          <cell r="AB1648" t="str">
            <v>70001446</v>
          </cell>
          <cell r="AC1648">
            <v>1</v>
          </cell>
          <cell r="AD1648" t="str">
            <v/>
          </cell>
          <cell r="AE1648">
            <v>0</v>
          </cell>
          <cell r="AF1648" t="str">
            <v/>
          </cell>
          <cell r="AG1648" t="str">
            <v>70001446</v>
          </cell>
          <cell r="AH1648">
            <v>44961.00849537037</v>
          </cell>
          <cell r="AI1648" t="str">
            <v>B00</v>
          </cell>
          <cell r="AJ1648" t="str">
            <v>F</v>
          </cell>
          <cell r="AK1648" t="str">
            <v>--</v>
          </cell>
        </row>
        <row r="1649">
          <cell r="A1649" t="str">
            <v>70001447828521</v>
          </cell>
          <cell r="B1649">
            <v>0</v>
          </cell>
          <cell r="C1649" t="e">
            <v>#N/A</v>
          </cell>
          <cell r="D1649" t="str">
            <v>EK65</v>
          </cell>
          <cell r="E1649" t="str">
            <v>706847</v>
          </cell>
          <cell r="F1649" t="str">
            <v>E</v>
          </cell>
          <cell r="G1649" t="str">
            <v>70001447</v>
          </cell>
          <cell r="H1649" t="str">
            <v>BRACKET</v>
          </cell>
          <cell r="I1649">
            <v>90</v>
          </cell>
          <cell r="J1649" t="str">
            <v>Stk</v>
          </cell>
          <cell r="K1649">
            <v>45079</v>
          </cell>
          <cell r="L1649" t="str">
            <v>828521</v>
          </cell>
          <cell r="M1649" t="str">
            <v/>
          </cell>
          <cell r="N1649" t="str">
            <v/>
          </cell>
          <cell r="O1649" t="str">
            <v/>
          </cell>
          <cell r="P1649" t="str">
            <v/>
          </cell>
          <cell r="Q1649" t="str">
            <v/>
          </cell>
          <cell r="R1649" t="str">
            <v/>
          </cell>
          <cell r="S1649" t="str">
            <v/>
          </cell>
          <cell r="T1649" t="str">
            <v/>
          </cell>
          <cell r="U1649" t="str">
            <v>BB20026010002</v>
          </cell>
          <cell r="V1649" t="str">
            <v>B00</v>
          </cell>
          <cell r="W1649" t="str">
            <v/>
          </cell>
          <cell r="X1649" t="str">
            <v/>
          </cell>
          <cell r="Y1649" t="str">
            <v/>
          </cell>
          <cell r="Z1649" t="str">
            <v/>
          </cell>
          <cell r="AA1649" t="str">
            <v/>
          </cell>
          <cell r="AB1649" t="str">
            <v>70001447</v>
          </cell>
          <cell r="AC1649">
            <v>1</v>
          </cell>
          <cell r="AD1649" t="str">
            <v/>
          </cell>
          <cell r="AE1649">
            <v>0</v>
          </cell>
          <cell r="AF1649" t="str">
            <v/>
          </cell>
          <cell r="AG1649" t="str">
            <v>70001447</v>
          </cell>
          <cell r="AH1649">
            <v>44961.008506944447</v>
          </cell>
          <cell r="AI1649" t="str">
            <v>B00</v>
          </cell>
          <cell r="AJ1649" t="str">
            <v>F</v>
          </cell>
          <cell r="AK1649" t="str">
            <v>--</v>
          </cell>
        </row>
        <row r="1650">
          <cell r="A1650" t="str">
            <v>70001448828521</v>
          </cell>
          <cell r="B1650">
            <v>0</v>
          </cell>
          <cell r="C1650" t="e">
            <v>#N/A</v>
          </cell>
          <cell r="D1650" t="str">
            <v>EK65</v>
          </cell>
          <cell r="E1650" t="str">
            <v>706848</v>
          </cell>
          <cell r="F1650" t="str">
            <v>E</v>
          </cell>
          <cell r="G1650" t="str">
            <v>70001448</v>
          </cell>
          <cell r="H1650" t="str">
            <v>BRACKET</v>
          </cell>
          <cell r="I1650">
            <v>90</v>
          </cell>
          <cell r="J1650" t="str">
            <v>Stk</v>
          </cell>
          <cell r="K1650">
            <v>45079</v>
          </cell>
          <cell r="L1650" t="str">
            <v>828521</v>
          </cell>
          <cell r="M1650" t="str">
            <v/>
          </cell>
          <cell r="N1650" t="str">
            <v/>
          </cell>
          <cell r="O1650" t="str">
            <v/>
          </cell>
          <cell r="P1650" t="str">
            <v/>
          </cell>
          <cell r="Q1650" t="str">
            <v/>
          </cell>
          <cell r="R1650" t="str">
            <v/>
          </cell>
          <cell r="S1650" t="str">
            <v/>
          </cell>
          <cell r="T1650" t="str">
            <v/>
          </cell>
          <cell r="U1650" t="str">
            <v>BB20026010003</v>
          </cell>
          <cell r="V1650" t="str">
            <v>B00</v>
          </cell>
          <cell r="W1650" t="str">
            <v/>
          </cell>
          <cell r="X1650" t="str">
            <v/>
          </cell>
          <cell r="Y1650" t="str">
            <v/>
          </cell>
          <cell r="Z1650" t="str">
            <v/>
          </cell>
          <cell r="AA1650" t="str">
            <v/>
          </cell>
          <cell r="AB1650" t="str">
            <v>70001448</v>
          </cell>
          <cell r="AC1650">
            <v>1</v>
          </cell>
          <cell r="AD1650" t="str">
            <v/>
          </cell>
          <cell r="AE1650">
            <v>0</v>
          </cell>
          <cell r="AF1650" t="str">
            <v/>
          </cell>
          <cell r="AG1650" t="str">
            <v>70001448</v>
          </cell>
          <cell r="AH1650">
            <v>44961.008530092593</v>
          </cell>
          <cell r="AI1650" t="str">
            <v>B00</v>
          </cell>
          <cell r="AJ1650" t="str">
            <v>F</v>
          </cell>
          <cell r="AK1650" t="str">
            <v>--</v>
          </cell>
        </row>
        <row r="1651">
          <cell r="A1651" t="str">
            <v>70001449828521</v>
          </cell>
          <cell r="B1651">
            <v>0</v>
          </cell>
          <cell r="C1651" t="e">
            <v>#N/A</v>
          </cell>
          <cell r="D1651" t="str">
            <v>EK65</v>
          </cell>
          <cell r="E1651" t="str">
            <v>706849</v>
          </cell>
          <cell r="F1651" t="str">
            <v>E</v>
          </cell>
          <cell r="G1651" t="str">
            <v>70001449</v>
          </cell>
          <cell r="H1651" t="str">
            <v>BRACKET</v>
          </cell>
          <cell r="I1651">
            <v>90</v>
          </cell>
          <cell r="J1651" t="str">
            <v>Stk</v>
          </cell>
          <cell r="K1651">
            <v>45079</v>
          </cell>
          <cell r="L1651" t="str">
            <v>828521</v>
          </cell>
          <cell r="M1651" t="str">
            <v/>
          </cell>
          <cell r="N1651" t="str">
            <v/>
          </cell>
          <cell r="O1651" t="str">
            <v/>
          </cell>
          <cell r="P1651" t="str">
            <v/>
          </cell>
          <cell r="Q1651" t="str">
            <v/>
          </cell>
          <cell r="R1651" t="str">
            <v/>
          </cell>
          <cell r="S1651" t="str">
            <v/>
          </cell>
          <cell r="T1651" t="str">
            <v/>
          </cell>
          <cell r="U1651" t="str">
            <v>BB20026010005</v>
          </cell>
          <cell r="V1651" t="str">
            <v>B00</v>
          </cell>
          <cell r="W1651" t="str">
            <v/>
          </cell>
          <cell r="X1651" t="str">
            <v/>
          </cell>
          <cell r="Y1651" t="str">
            <v/>
          </cell>
          <cell r="Z1651" t="str">
            <v/>
          </cell>
          <cell r="AA1651" t="str">
            <v/>
          </cell>
          <cell r="AB1651" t="str">
            <v>70001449</v>
          </cell>
          <cell r="AC1651">
            <v>1</v>
          </cell>
          <cell r="AD1651" t="str">
            <v/>
          </cell>
          <cell r="AE1651">
            <v>0</v>
          </cell>
          <cell r="AF1651" t="str">
            <v/>
          </cell>
          <cell r="AG1651" t="str">
            <v>70001449</v>
          </cell>
          <cell r="AH1651">
            <v>44961.00854166667</v>
          </cell>
          <cell r="AI1651" t="str">
            <v>B00</v>
          </cell>
          <cell r="AJ1651" t="str">
            <v>F</v>
          </cell>
          <cell r="AK1651" t="str">
            <v>--</v>
          </cell>
        </row>
        <row r="1652">
          <cell r="A1652" t="str">
            <v>70001455828521</v>
          </cell>
          <cell r="B1652">
            <v>0</v>
          </cell>
          <cell r="C1652" t="e">
            <v>#N/A</v>
          </cell>
          <cell r="D1652" t="str">
            <v>EK65</v>
          </cell>
          <cell r="E1652" t="str">
            <v>706850</v>
          </cell>
          <cell r="F1652" t="str">
            <v>E</v>
          </cell>
          <cell r="G1652" t="str">
            <v>70001455</v>
          </cell>
          <cell r="H1652" t="str">
            <v>SHIM 1MM</v>
          </cell>
          <cell r="I1652">
            <v>270</v>
          </cell>
          <cell r="J1652" t="str">
            <v>Stk</v>
          </cell>
          <cell r="K1652">
            <v>45079</v>
          </cell>
          <cell r="L1652" t="str">
            <v>828521</v>
          </cell>
          <cell r="M1652" t="str">
            <v/>
          </cell>
          <cell r="N1652" t="str">
            <v/>
          </cell>
          <cell r="O1652" t="str">
            <v/>
          </cell>
          <cell r="P1652" t="str">
            <v/>
          </cell>
          <cell r="Q1652" t="str">
            <v/>
          </cell>
          <cell r="R1652" t="str">
            <v/>
          </cell>
          <cell r="S1652" t="str">
            <v/>
          </cell>
          <cell r="T1652" t="str">
            <v/>
          </cell>
          <cell r="U1652" t="str">
            <v>BB20026010016</v>
          </cell>
          <cell r="V1652" t="str">
            <v>B00</v>
          </cell>
          <cell r="W1652" t="str">
            <v/>
          </cell>
          <cell r="X1652" t="str">
            <v/>
          </cell>
          <cell r="Y1652" t="str">
            <v/>
          </cell>
          <cell r="Z1652" t="str">
            <v/>
          </cell>
          <cell r="AA1652" t="str">
            <v/>
          </cell>
          <cell r="AB1652" t="str">
            <v>70001455</v>
          </cell>
          <cell r="AC1652">
            <v>1</v>
          </cell>
          <cell r="AD1652" t="str">
            <v/>
          </cell>
          <cell r="AE1652">
            <v>0</v>
          </cell>
          <cell r="AF1652" t="str">
            <v/>
          </cell>
          <cell r="AG1652" t="str">
            <v>70001455</v>
          </cell>
          <cell r="AH1652">
            <v>44961.008622685185</v>
          </cell>
          <cell r="AI1652" t="str">
            <v>B00</v>
          </cell>
          <cell r="AJ1652" t="str">
            <v>F</v>
          </cell>
          <cell r="AK1652" t="str">
            <v>--</v>
          </cell>
        </row>
        <row r="1653">
          <cell r="A1653" t="str">
            <v>70001456828521</v>
          </cell>
          <cell r="B1653">
            <v>0</v>
          </cell>
          <cell r="C1653" t="e">
            <v>#N/A</v>
          </cell>
          <cell r="D1653" t="str">
            <v>EK65</v>
          </cell>
          <cell r="E1653" t="str">
            <v>706851</v>
          </cell>
          <cell r="F1653" t="str">
            <v>E</v>
          </cell>
          <cell r="G1653" t="str">
            <v>70001456</v>
          </cell>
          <cell r="H1653" t="str">
            <v>SHIM 2MM</v>
          </cell>
          <cell r="I1653">
            <v>540</v>
          </cell>
          <cell r="J1653" t="str">
            <v>Stk</v>
          </cell>
          <cell r="K1653">
            <v>45079</v>
          </cell>
          <cell r="L1653" t="str">
            <v>828521</v>
          </cell>
          <cell r="M1653" t="str">
            <v/>
          </cell>
          <cell r="N1653" t="str">
            <v/>
          </cell>
          <cell r="O1653" t="str">
            <v/>
          </cell>
          <cell r="P1653" t="str">
            <v/>
          </cell>
          <cell r="Q1653" t="str">
            <v/>
          </cell>
          <cell r="R1653" t="str">
            <v/>
          </cell>
          <cell r="S1653" t="str">
            <v/>
          </cell>
          <cell r="T1653" t="str">
            <v/>
          </cell>
          <cell r="U1653" t="str">
            <v>BB20026010017</v>
          </cell>
          <cell r="V1653" t="str">
            <v>B00</v>
          </cell>
          <cell r="W1653" t="str">
            <v/>
          </cell>
          <cell r="X1653" t="str">
            <v/>
          </cell>
          <cell r="Y1653" t="str">
            <v/>
          </cell>
          <cell r="Z1653" t="str">
            <v/>
          </cell>
          <cell r="AA1653" t="str">
            <v/>
          </cell>
          <cell r="AB1653" t="str">
            <v>70001456</v>
          </cell>
          <cell r="AC1653">
            <v>1</v>
          </cell>
          <cell r="AD1653" t="str">
            <v/>
          </cell>
          <cell r="AE1653">
            <v>0</v>
          </cell>
          <cell r="AF1653" t="str">
            <v/>
          </cell>
          <cell r="AG1653" t="str">
            <v>70001456</v>
          </cell>
          <cell r="AH1653">
            <v>44961.008645833332</v>
          </cell>
          <cell r="AI1653" t="str">
            <v>B00</v>
          </cell>
          <cell r="AJ1653" t="str">
            <v>F</v>
          </cell>
          <cell r="AK1653" t="str">
            <v>--</v>
          </cell>
        </row>
        <row r="1654">
          <cell r="A1654" t="str">
            <v>70001457828521</v>
          </cell>
          <cell r="B1654">
            <v>0</v>
          </cell>
          <cell r="C1654" t="e">
            <v>#N/A</v>
          </cell>
          <cell r="D1654" t="str">
            <v>EK65</v>
          </cell>
          <cell r="E1654" t="str">
            <v>706852</v>
          </cell>
          <cell r="F1654" t="str">
            <v>E</v>
          </cell>
          <cell r="G1654" t="str">
            <v>70001457</v>
          </cell>
          <cell r="H1654" t="str">
            <v>BRACKET</v>
          </cell>
          <cell r="I1654">
            <v>180</v>
          </cell>
          <cell r="J1654" t="str">
            <v>Stk</v>
          </cell>
          <cell r="K1654">
            <v>45079</v>
          </cell>
          <cell r="L1654" t="str">
            <v>828521</v>
          </cell>
          <cell r="M1654" t="str">
            <v/>
          </cell>
          <cell r="N1654" t="str">
            <v/>
          </cell>
          <cell r="O1654" t="str">
            <v/>
          </cell>
          <cell r="P1654" t="str">
            <v/>
          </cell>
          <cell r="Q1654" t="str">
            <v/>
          </cell>
          <cell r="R1654" t="str">
            <v/>
          </cell>
          <cell r="S1654" t="str">
            <v/>
          </cell>
          <cell r="T1654" t="str">
            <v/>
          </cell>
          <cell r="U1654" t="str">
            <v>BB20026010020</v>
          </cell>
          <cell r="V1654" t="str">
            <v>B00</v>
          </cell>
          <cell r="W1654" t="str">
            <v/>
          </cell>
          <cell r="X1654" t="str">
            <v/>
          </cell>
          <cell r="Y1654" t="str">
            <v/>
          </cell>
          <cell r="Z1654" t="str">
            <v/>
          </cell>
          <cell r="AA1654" t="str">
            <v/>
          </cell>
          <cell r="AB1654" t="str">
            <v>70001457</v>
          </cell>
          <cell r="AC1654">
            <v>1</v>
          </cell>
          <cell r="AD1654" t="str">
            <v/>
          </cell>
          <cell r="AE1654">
            <v>0</v>
          </cell>
          <cell r="AF1654" t="str">
            <v/>
          </cell>
          <cell r="AG1654" t="str">
            <v>70001457</v>
          </cell>
          <cell r="AH1654">
            <v>44961.008657407408</v>
          </cell>
          <cell r="AI1654" t="str">
            <v>B00</v>
          </cell>
          <cell r="AJ1654" t="str">
            <v>F</v>
          </cell>
          <cell r="AK1654" t="str">
            <v>--</v>
          </cell>
        </row>
        <row r="1655">
          <cell r="A1655" t="str">
            <v>70001460828521</v>
          </cell>
          <cell r="B1655">
            <v>0</v>
          </cell>
          <cell r="C1655" t="e">
            <v>#N/A</v>
          </cell>
          <cell r="D1655" t="str">
            <v>EK65</v>
          </cell>
          <cell r="E1655" t="str">
            <v>706853</v>
          </cell>
          <cell r="F1655" t="str">
            <v>E</v>
          </cell>
          <cell r="G1655" t="str">
            <v>70001460</v>
          </cell>
          <cell r="H1655" t="str">
            <v>LONGITUDINAL BEAM</v>
          </cell>
          <cell r="I1655">
            <v>90</v>
          </cell>
          <cell r="J1655" t="str">
            <v>Stk</v>
          </cell>
          <cell r="K1655">
            <v>45079</v>
          </cell>
          <cell r="L1655" t="str">
            <v>828521</v>
          </cell>
          <cell r="M1655" t="str">
            <v/>
          </cell>
          <cell r="N1655" t="str">
            <v/>
          </cell>
          <cell r="O1655" t="str">
            <v/>
          </cell>
          <cell r="P1655" t="str">
            <v/>
          </cell>
          <cell r="Q1655" t="str">
            <v/>
          </cell>
          <cell r="R1655" t="str">
            <v/>
          </cell>
          <cell r="S1655" t="str">
            <v/>
          </cell>
          <cell r="T1655" t="str">
            <v/>
          </cell>
          <cell r="U1655" t="str">
            <v>BB20026010100</v>
          </cell>
          <cell r="V1655" t="str">
            <v>L02</v>
          </cell>
          <cell r="W1655" t="str">
            <v/>
          </cell>
          <cell r="X1655" t="str">
            <v/>
          </cell>
          <cell r="Y1655" t="str">
            <v/>
          </cell>
          <cell r="Z1655" t="str">
            <v/>
          </cell>
          <cell r="AA1655" t="str">
            <v/>
          </cell>
          <cell r="AB1655" t="str">
            <v>70001460</v>
          </cell>
          <cell r="AC1655">
            <v>1</v>
          </cell>
          <cell r="AD1655" t="str">
            <v/>
          </cell>
          <cell r="AE1655">
            <v>0</v>
          </cell>
          <cell r="AF1655" t="str">
            <v/>
          </cell>
          <cell r="AG1655" t="str">
            <v>70001460</v>
          </cell>
          <cell r="AH1655">
            <v>44961.008703703701</v>
          </cell>
          <cell r="AI1655" t="str">
            <v>L02</v>
          </cell>
          <cell r="AJ1655" t="str">
            <v>F</v>
          </cell>
          <cell r="AK1655" t="str">
            <v>--</v>
          </cell>
        </row>
        <row r="1656">
          <cell r="A1656" t="str">
            <v>70002034828521</v>
          </cell>
          <cell r="B1656">
            <v>0</v>
          </cell>
          <cell r="C1656" t="e">
            <v>#N/A</v>
          </cell>
          <cell r="D1656" t="str">
            <v>EK65</v>
          </cell>
          <cell r="E1656" t="str">
            <v>706903</v>
          </cell>
          <cell r="F1656" t="str">
            <v>E</v>
          </cell>
          <cell r="G1656" t="str">
            <v>70002034</v>
          </cell>
          <cell r="H1656" t="str">
            <v>SHIM 1MM</v>
          </cell>
          <cell r="I1656">
            <v>1440</v>
          </cell>
          <cell r="J1656" t="str">
            <v>Stk</v>
          </cell>
          <cell r="K1656">
            <v>45079</v>
          </cell>
          <cell r="L1656" t="str">
            <v>828521</v>
          </cell>
          <cell r="M1656" t="str">
            <v/>
          </cell>
          <cell r="N1656" t="str">
            <v/>
          </cell>
          <cell r="O1656" t="str">
            <v/>
          </cell>
          <cell r="P1656" t="str">
            <v/>
          </cell>
          <cell r="Q1656" t="str">
            <v/>
          </cell>
          <cell r="R1656" t="str">
            <v/>
          </cell>
          <cell r="S1656" t="str">
            <v/>
          </cell>
          <cell r="T1656" t="str">
            <v/>
          </cell>
          <cell r="U1656" t="str">
            <v>BB20048010103</v>
          </cell>
          <cell r="V1656" t="str">
            <v>B00</v>
          </cell>
          <cell r="W1656" t="str">
            <v/>
          </cell>
          <cell r="X1656" t="str">
            <v/>
          </cell>
          <cell r="Y1656" t="str">
            <v/>
          </cell>
          <cell r="Z1656" t="str">
            <v/>
          </cell>
          <cell r="AA1656" t="str">
            <v/>
          </cell>
          <cell r="AB1656" t="str">
            <v>70002034</v>
          </cell>
          <cell r="AC1656">
            <v>1</v>
          </cell>
          <cell r="AD1656" t="str">
            <v/>
          </cell>
          <cell r="AE1656">
            <v>0</v>
          </cell>
          <cell r="AF1656" t="str">
            <v/>
          </cell>
          <cell r="AG1656" t="str">
            <v>70002034</v>
          </cell>
          <cell r="AH1656">
            <v>44961.013564814813</v>
          </cell>
          <cell r="AI1656" t="str">
            <v>B00</v>
          </cell>
          <cell r="AJ1656" t="str">
            <v>F</v>
          </cell>
          <cell r="AK1656" t="str">
            <v>--</v>
          </cell>
        </row>
        <row r="1657">
          <cell r="A1657" t="str">
            <v>70002035828521</v>
          </cell>
          <cell r="B1657">
            <v>0</v>
          </cell>
          <cell r="C1657" t="e">
            <v>#N/A</v>
          </cell>
          <cell r="D1657" t="str">
            <v>EK65</v>
          </cell>
          <cell r="E1657" t="str">
            <v>706904</v>
          </cell>
          <cell r="F1657" t="str">
            <v>E</v>
          </cell>
          <cell r="G1657" t="str">
            <v>70002035</v>
          </cell>
          <cell r="H1657" t="str">
            <v>SHIM 2MM</v>
          </cell>
          <cell r="I1657">
            <v>1440</v>
          </cell>
          <cell r="J1657" t="str">
            <v>Stk</v>
          </cell>
          <cell r="K1657">
            <v>45079</v>
          </cell>
          <cell r="L1657" t="str">
            <v>828521</v>
          </cell>
          <cell r="M1657" t="str">
            <v/>
          </cell>
          <cell r="N1657" t="str">
            <v/>
          </cell>
          <cell r="O1657" t="str">
            <v/>
          </cell>
          <cell r="P1657" t="str">
            <v/>
          </cell>
          <cell r="Q1657" t="str">
            <v/>
          </cell>
          <cell r="R1657" t="str">
            <v/>
          </cell>
          <cell r="S1657" t="str">
            <v/>
          </cell>
          <cell r="T1657" t="str">
            <v/>
          </cell>
          <cell r="U1657" t="str">
            <v>BB20048010104</v>
          </cell>
          <cell r="V1657" t="str">
            <v>B00</v>
          </cell>
          <cell r="W1657" t="str">
            <v/>
          </cell>
          <cell r="X1657" t="str">
            <v/>
          </cell>
          <cell r="Y1657" t="str">
            <v/>
          </cell>
          <cell r="Z1657" t="str">
            <v/>
          </cell>
          <cell r="AA1657" t="str">
            <v/>
          </cell>
          <cell r="AB1657" t="str">
            <v>70002035</v>
          </cell>
          <cell r="AC1657">
            <v>1</v>
          </cell>
          <cell r="AD1657" t="str">
            <v/>
          </cell>
          <cell r="AE1657">
            <v>0</v>
          </cell>
          <cell r="AF1657" t="str">
            <v/>
          </cell>
          <cell r="AG1657" t="str">
            <v>70002035</v>
          </cell>
          <cell r="AH1657">
            <v>44961.01357638889</v>
          </cell>
          <cell r="AI1657" t="str">
            <v>B00</v>
          </cell>
          <cell r="AJ1657" t="str">
            <v>F</v>
          </cell>
          <cell r="AK1657" t="str">
            <v>--</v>
          </cell>
        </row>
        <row r="1658">
          <cell r="A1658" t="str">
            <v>70000080828521</v>
          </cell>
          <cell r="B1658">
            <v>0</v>
          </cell>
          <cell r="C1658" t="e">
            <v>#N/A</v>
          </cell>
          <cell r="D1658" t="str">
            <v>EK65</v>
          </cell>
          <cell r="E1658" t="str">
            <v>723315</v>
          </cell>
          <cell r="F1658" t="str">
            <v>E</v>
          </cell>
          <cell r="G1658" t="str">
            <v>70000080</v>
          </cell>
          <cell r="H1658" t="str">
            <v>SUPPLEMENT</v>
          </cell>
          <cell r="I1658">
            <v>540</v>
          </cell>
          <cell r="J1658" t="str">
            <v>Stk</v>
          </cell>
          <cell r="K1658">
            <v>45079</v>
          </cell>
          <cell r="L1658" t="str">
            <v>828521</v>
          </cell>
          <cell r="M1658" t="str">
            <v/>
          </cell>
          <cell r="N1658" t="str">
            <v/>
          </cell>
          <cell r="O1658" t="str">
            <v/>
          </cell>
          <cell r="P1658" t="str">
            <v/>
          </cell>
          <cell r="Q1658" t="str">
            <v/>
          </cell>
          <cell r="R1658" t="str">
            <v/>
          </cell>
          <cell r="S1658" t="str">
            <v/>
          </cell>
          <cell r="T1658" t="str">
            <v/>
          </cell>
          <cell r="U1658" t="str">
            <v>BB20049230005</v>
          </cell>
          <cell r="V1658" t="str">
            <v>B00</v>
          </cell>
          <cell r="W1658" t="str">
            <v/>
          </cell>
          <cell r="X1658" t="str">
            <v/>
          </cell>
          <cell r="Y1658" t="str">
            <v/>
          </cell>
          <cell r="Z1658" t="str">
            <v/>
          </cell>
          <cell r="AA1658" t="str">
            <v/>
          </cell>
          <cell r="AB1658" t="str">
            <v>70000080</v>
          </cell>
          <cell r="AC1658">
            <v>1</v>
          </cell>
          <cell r="AD1658" t="str">
            <v/>
          </cell>
          <cell r="AE1658">
            <v>0</v>
          </cell>
          <cell r="AF1658" t="str">
            <v/>
          </cell>
          <cell r="AG1658" t="str">
            <v>70000080</v>
          </cell>
          <cell r="AH1658">
            <v>45016.907199074078</v>
          </cell>
          <cell r="AI1658" t="str">
            <v>B00</v>
          </cell>
          <cell r="AJ1658" t="str">
            <v>F</v>
          </cell>
          <cell r="AK1658" t="str">
            <v>--</v>
          </cell>
        </row>
        <row r="1659">
          <cell r="A1659" t="str">
            <v>70000089828521</v>
          </cell>
          <cell r="B1659">
            <v>0</v>
          </cell>
          <cell r="C1659" t="e">
            <v>#N/A</v>
          </cell>
          <cell r="D1659" t="str">
            <v>EK65</v>
          </cell>
          <cell r="E1659" t="str">
            <v>723316</v>
          </cell>
          <cell r="F1659" t="str">
            <v>E</v>
          </cell>
          <cell r="G1659" t="str">
            <v>70000089</v>
          </cell>
          <cell r="H1659" t="str">
            <v>SHIM 0.5MM</v>
          </cell>
          <cell r="I1659">
            <v>180</v>
          </cell>
          <cell r="J1659" t="str">
            <v>Stk</v>
          </cell>
          <cell r="K1659">
            <v>45079</v>
          </cell>
          <cell r="L1659" t="str">
            <v>828521</v>
          </cell>
          <cell r="M1659" t="str">
            <v/>
          </cell>
          <cell r="N1659" t="str">
            <v/>
          </cell>
          <cell r="O1659" t="str">
            <v/>
          </cell>
          <cell r="P1659" t="str">
            <v/>
          </cell>
          <cell r="Q1659" t="str">
            <v/>
          </cell>
          <cell r="R1659" t="str">
            <v/>
          </cell>
          <cell r="S1659" t="str">
            <v/>
          </cell>
          <cell r="T1659" t="str">
            <v/>
          </cell>
          <cell r="U1659" t="str">
            <v>BB20049230010</v>
          </cell>
          <cell r="V1659" t="str">
            <v>B00</v>
          </cell>
          <cell r="W1659" t="str">
            <v/>
          </cell>
          <cell r="X1659" t="str">
            <v/>
          </cell>
          <cell r="Y1659" t="str">
            <v/>
          </cell>
          <cell r="Z1659" t="str">
            <v/>
          </cell>
          <cell r="AA1659" t="str">
            <v/>
          </cell>
          <cell r="AB1659" t="str">
            <v>70000089</v>
          </cell>
          <cell r="AC1659">
            <v>1</v>
          </cell>
          <cell r="AD1659" t="str">
            <v/>
          </cell>
          <cell r="AE1659">
            <v>0</v>
          </cell>
          <cell r="AF1659" t="str">
            <v/>
          </cell>
          <cell r="AG1659" t="str">
            <v>70000089</v>
          </cell>
          <cell r="AH1659">
            <v>45016.907280092593</v>
          </cell>
          <cell r="AI1659" t="str">
            <v>B00</v>
          </cell>
          <cell r="AJ1659" t="str">
            <v>F</v>
          </cell>
          <cell r="AK1659" t="str">
            <v>--</v>
          </cell>
        </row>
        <row r="1660">
          <cell r="A1660" t="str">
            <v>70002535828521</v>
          </cell>
          <cell r="B1660">
            <v>0</v>
          </cell>
          <cell r="C1660" t="e">
            <v>#N/A</v>
          </cell>
          <cell r="D1660" t="str">
            <v>EK65</v>
          </cell>
          <cell r="E1660" t="str">
            <v>687065</v>
          </cell>
          <cell r="F1660" t="str">
            <v>E</v>
          </cell>
          <cell r="G1660" t="str">
            <v>70002535</v>
          </cell>
          <cell r="H1660" t="str">
            <v>EXPANSION SLEEVE 22/09/14</v>
          </cell>
          <cell r="I1660">
            <v>1080</v>
          </cell>
          <cell r="J1660" t="str">
            <v>Stk</v>
          </cell>
          <cell r="K1660">
            <v>45083</v>
          </cell>
          <cell r="L1660" t="str">
            <v>828521</v>
          </cell>
          <cell r="M1660" t="str">
            <v/>
          </cell>
          <cell r="N1660" t="str">
            <v/>
          </cell>
          <cell r="O1660" t="str">
            <v/>
          </cell>
          <cell r="P1660" t="str">
            <v/>
          </cell>
          <cell r="Q1660" t="str">
            <v>S355J2+N</v>
          </cell>
          <cell r="R1660" t="str">
            <v>EN 10025</v>
          </cell>
          <cell r="S1660" t="str">
            <v/>
          </cell>
          <cell r="T1660" t="str">
            <v/>
          </cell>
          <cell r="U1660" t="str">
            <v>BB18739210003</v>
          </cell>
          <cell r="V1660" t="str">
            <v>N52</v>
          </cell>
          <cell r="W1660" t="str">
            <v/>
          </cell>
          <cell r="X1660" t="str">
            <v/>
          </cell>
          <cell r="Y1660" t="str">
            <v/>
          </cell>
          <cell r="Z1660" t="str">
            <v/>
          </cell>
          <cell r="AA1660" t="str">
            <v/>
          </cell>
          <cell r="AB1660" t="str">
            <v>70002535</v>
          </cell>
          <cell r="AC1660">
            <v>1</v>
          </cell>
          <cell r="AD1660" t="str">
            <v/>
          </cell>
          <cell r="AE1660">
            <v>0</v>
          </cell>
          <cell r="AF1660" t="str">
            <v/>
          </cell>
          <cell r="AG1660" t="str">
            <v>70002535</v>
          </cell>
          <cell r="AH1660">
            <v>44916.136921296296</v>
          </cell>
          <cell r="AI1660" t="str">
            <v>N52</v>
          </cell>
          <cell r="AJ1660" t="str">
            <v>F</v>
          </cell>
          <cell r="AK1660" t="str">
            <v>--</v>
          </cell>
        </row>
        <row r="1661">
          <cell r="A1661" t="str">
            <v>70002536828521</v>
          </cell>
          <cell r="B1661">
            <v>0</v>
          </cell>
          <cell r="C1661" t="e">
            <v>#N/A</v>
          </cell>
          <cell r="D1661" t="str">
            <v>EK65</v>
          </cell>
          <cell r="E1661" t="str">
            <v>687066</v>
          </cell>
          <cell r="F1661" t="str">
            <v>E</v>
          </cell>
          <cell r="G1661" t="str">
            <v>70002536</v>
          </cell>
          <cell r="H1661" t="str">
            <v>NUT</v>
          </cell>
          <cell r="I1661">
            <v>540</v>
          </cell>
          <cell r="J1661" t="str">
            <v>Stk</v>
          </cell>
          <cell r="K1661">
            <v>45083</v>
          </cell>
          <cell r="L1661" t="str">
            <v>828521</v>
          </cell>
          <cell r="M1661" t="str">
            <v/>
          </cell>
          <cell r="N1661" t="str">
            <v/>
          </cell>
          <cell r="O1661" t="str">
            <v/>
          </cell>
          <cell r="P1661" t="str">
            <v/>
          </cell>
          <cell r="Q1661" t="str">
            <v/>
          </cell>
          <cell r="R1661" t="str">
            <v/>
          </cell>
          <cell r="S1661" t="str">
            <v/>
          </cell>
          <cell r="T1661" t="str">
            <v/>
          </cell>
          <cell r="U1661" t="str">
            <v>BB20009010103</v>
          </cell>
          <cell r="V1661" t="str">
            <v>N52</v>
          </cell>
          <cell r="W1661" t="str">
            <v/>
          </cell>
          <cell r="X1661" t="str">
            <v/>
          </cell>
          <cell r="Y1661" t="str">
            <v/>
          </cell>
          <cell r="Z1661" t="str">
            <v/>
          </cell>
          <cell r="AA1661" t="str">
            <v/>
          </cell>
          <cell r="AB1661" t="str">
            <v>70002536</v>
          </cell>
          <cell r="AC1661">
            <v>1</v>
          </cell>
          <cell r="AD1661" t="str">
            <v/>
          </cell>
          <cell r="AE1661">
            <v>0</v>
          </cell>
          <cell r="AF1661" t="str">
            <v/>
          </cell>
          <cell r="AG1661" t="str">
            <v>70002536</v>
          </cell>
          <cell r="AH1661">
            <v>44916.136944444443</v>
          </cell>
          <cell r="AI1661" t="str">
            <v>N52</v>
          </cell>
          <cell r="AJ1661" t="str">
            <v>F</v>
          </cell>
          <cell r="AK1661" t="str">
            <v>--</v>
          </cell>
        </row>
        <row r="1662">
          <cell r="A1662" t="str">
            <v>70002537828521</v>
          </cell>
          <cell r="B1662">
            <v>0</v>
          </cell>
          <cell r="C1662" t="e">
            <v>#N/A</v>
          </cell>
          <cell r="D1662" t="str">
            <v>EK65</v>
          </cell>
          <cell r="E1662" t="str">
            <v>687067</v>
          </cell>
          <cell r="F1662" t="str">
            <v>E</v>
          </cell>
          <cell r="G1662" t="str">
            <v>70002537</v>
          </cell>
          <cell r="H1662" t="str">
            <v>NUT</v>
          </cell>
          <cell r="I1662">
            <v>1080</v>
          </cell>
          <cell r="J1662" t="str">
            <v>Stk</v>
          </cell>
          <cell r="K1662">
            <v>45083</v>
          </cell>
          <cell r="L1662" t="str">
            <v>828521</v>
          </cell>
          <cell r="M1662" t="str">
            <v/>
          </cell>
          <cell r="N1662" t="str">
            <v/>
          </cell>
          <cell r="O1662" t="str">
            <v/>
          </cell>
          <cell r="P1662" t="str">
            <v/>
          </cell>
          <cell r="Q1662" t="str">
            <v/>
          </cell>
          <cell r="R1662" t="str">
            <v/>
          </cell>
          <cell r="S1662" t="str">
            <v/>
          </cell>
          <cell r="T1662" t="str">
            <v/>
          </cell>
          <cell r="U1662" t="str">
            <v>BB20009010603</v>
          </cell>
          <cell r="V1662" t="str">
            <v>N52</v>
          </cell>
          <cell r="W1662" t="str">
            <v/>
          </cell>
          <cell r="X1662" t="str">
            <v/>
          </cell>
          <cell r="Y1662" t="str">
            <v/>
          </cell>
          <cell r="Z1662" t="str">
            <v/>
          </cell>
          <cell r="AA1662" t="str">
            <v/>
          </cell>
          <cell r="AB1662" t="str">
            <v>70002537</v>
          </cell>
          <cell r="AC1662">
            <v>1</v>
          </cell>
          <cell r="AD1662" t="str">
            <v/>
          </cell>
          <cell r="AE1662">
            <v>0</v>
          </cell>
          <cell r="AF1662" t="str">
            <v/>
          </cell>
          <cell r="AG1662" t="str">
            <v>70002537</v>
          </cell>
          <cell r="AH1662">
            <v>44916.136956018519</v>
          </cell>
          <cell r="AI1662" t="str">
            <v>N52</v>
          </cell>
          <cell r="AJ1662" t="str">
            <v>F</v>
          </cell>
          <cell r="AK1662" t="str">
            <v>--</v>
          </cell>
        </row>
        <row r="1663">
          <cell r="A1663" t="str">
            <v>70002631828521</v>
          </cell>
          <cell r="B1663">
            <v>0</v>
          </cell>
          <cell r="C1663" t="e">
            <v>#N/A</v>
          </cell>
          <cell r="D1663" t="str">
            <v>EK65</v>
          </cell>
          <cell r="E1663" t="str">
            <v>687090</v>
          </cell>
          <cell r="F1663" t="str">
            <v>E</v>
          </cell>
          <cell r="G1663" t="str">
            <v>70002631</v>
          </cell>
          <cell r="H1663" t="str">
            <v>BLOCK</v>
          </cell>
          <cell r="I1663">
            <v>720</v>
          </cell>
          <cell r="J1663" t="str">
            <v>Stk</v>
          </cell>
          <cell r="K1663">
            <v>45083</v>
          </cell>
          <cell r="L1663" t="str">
            <v>828521</v>
          </cell>
          <cell r="M1663" t="str">
            <v/>
          </cell>
          <cell r="N1663" t="str">
            <v/>
          </cell>
          <cell r="O1663" t="str">
            <v/>
          </cell>
          <cell r="P1663" t="str">
            <v/>
          </cell>
          <cell r="Q1663" t="str">
            <v>X2CrNi18-9</v>
          </cell>
          <cell r="R1663" t="str">
            <v>EN 10088</v>
          </cell>
          <cell r="S1663" t="str">
            <v/>
          </cell>
          <cell r="T1663" t="str">
            <v/>
          </cell>
          <cell r="U1663" t="str">
            <v>BB20031910049</v>
          </cell>
          <cell r="V1663" t="str">
            <v>N52</v>
          </cell>
          <cell r="W1663" t="str">
            <v/>
          </cell>
          <cell r="X1663" t="str">
            <v/>
          </cell>
          <cell r="Y1663" t="str">
            <v/>
          </cell>
          <cell r="Z1663" t="str">
            <v/>
          </cell>
          <cell r="AA1663" t="str">
            <v/>
          </cell>
          <cell r="AB1663" t="str">
            <v>70002631</v>
          </cell>
          <cell r="AC1663">
            <v>1</v>
          </cell>
          <cell r="AD1663" t="str">
            <v/>
          </cell>
          <cell r="AE1663">
            <v>0</v>
          </cell>
          <cell r="AF1663" t="str">
            <v/>
          </cell>
          <cell r="AG1663" t="str">
            <v>70002631</v>
          </cell>
          <cell r="AH1663">
            <v>44916.138090277775</v>
          </cell>
          <cell r="AI1663" t="str">
            <v>N52</v>
          </cell>
          <cell r="AJ1663" t="str">
            <v>F</v>
          </cell>
          <cell r="AK1663" t="str">
            <v>B0</v>
          </cell>
        </row>
        <row r="1664">
          <cell r="A1664" t="str">
            <v>70002636828521</v>
          </cell>
          <cell r="B1664">
            <v>0</v>
          </cell>
          <cell r="C1664" t="e">
            <v>#N/A</v>
          </cell>
          <cell r="D1664" t="str">
            <v>EK65</v>
          </cell>
          <cell r="E1664" t="str">
            <v>687094</v>
          </cell>
          <cell r="F1664" t="str">
            <v>E</v>
          </cell>
          <cell r="G1664" t="str">
            <v>70002636</v>
          </cell>
          <cell r="H1664" t="str">
            <v>SPACER M6</v>
          </cell>
          <cell r="I1664">
            <v>2160</v>
          </cell>
          <cell r="J1664" t="str">
            <v>Stk</v>
          </cell>
          <cell r="K1664">
            <v>45083</v>
          </cell>
          <cell r="L1664" t="str">
            <v>828521</v>
          </cell>
          <cell r="M1664" t="str">
            <v/>
          </cell>
          <cell r="N1664" t="str">
            <v/>
          </cell>
          <cell r="O1664" t="str">
            <v/>
          </cell>
          <cell r="P1664" t="str">
            <v/>
          </cell>
          <cell r="Q1664" t="str">
            <v>X2CrNi18-9</v>
          </cell>
          <cell r="R1664" t="str">
            <v>EN 10088</v>
          </cell>
          <cell r="S1664" t="str">
            <v/>
          </cell>
          <cell r="T1664" t="str">
            <v/>
          </cell>
          <cell r="U1664" t="str">
            <v>BB20031910098</v>
          </cell>
          <cell r="V1664" t="str">
            <v>N52</v>
          </cell>
          <cell r="W1664" t="str">
            <v/>
          </cell>
          <cell r="X1664" t="str">
            <v/>
          </cell>
          <cell r="Y1664" t="str">
            <v/>
          </cell>
          <cell r="Z1664" t="str">
            <v/>
          </cell>
          <cell r="AA1664" t="str">
            <v/>
          </cell>
          <cell r="AB1664" t="str">
            <v>70002636</v>
          </cell>
          <cell r="AC1664">
            <v>1</v>
          </cell>
          <cell r="AD1664" t="str">
            <v/>
          </cell>
          <cell r="AE1664">
            <v>0</v>
          </cell>
          <cell r="AF1664" t="str">
            <v/>
          </cell>
          <cell r="AG1664" t="str">
            <v>70002636</v>
          </cell>
          <cell r="AH1664">
            <v>44916.138171296298</v>
          </cell>
          <cell r="AI1664" t="str">
            <v>N52</v>
          </cell>
          <cell r="AJ1664" t="str">
            <v>F</v>
          </cell>
          <cell r="AK1664" t="str">
            <v>--</v>
          </cell>
        </row>
        <row r="1665">
          <cell r="A1665" t="str">
            <v>70001343828521</v>
          </cell>
          <cell r="B1665">
            <v>0</v>
          </cell>
          <cell r="C1665" t="e">
            <v>#N/A</v>
          </cell>
          <cell r="D1665" t="str">
            <v>EK65</v>
          </cell>
          <cell r="E1665" t="str">
            <v>700479</v>
          </cell>
          <cell r="F1665" t="str">
            <v>E</v>
          </cell>
          <cell r="G1665" t="str">
            <v>70001343</v>
          </cell>
          <cell r="H1665" t="str">
            <v>RIVET TIE RODS, 10, 300</v>
          </cell>
          <cell r="I1665">
            <v>90</v>
          </cell>
          <cell r="J1665" t="str">
            <v>Stk</v>
          </cell>
          <cell r="K1665">
            <v>45083</v>
          </cell>
          <cell r="L1665" t="str">
            <v>828521</v>
          </cell>
          <cell r="M1665" t="str">
            <v/>
          </cell>
          <cell r="N1665" t="str">
            <v/>
          </cell>
          <cell r="O1665" t="str">
            <v/>
          </cell>
          <cell r="P1665" t="str">
            <v/>
          </cell>
          <cell r="Q1665" t="str">
            <v/>
          </cell>
          <cell r="R1665" t="str">
            <v/>
          </cell>
          <cell r="S1665" t="str">
            <v/>
          </cell>
          <cell r="T1665" t="str">
            <v/>
          </cell>
          <cell r="U1665" t="str">
            <v>BB00613011000</v>
          </cell>
          <cell r="V1665" t="str">
            <v>N32</v>
          </cell>
          <cell r="W1665" t="str">
            <v/>
          </cell>
          <cell r="X1665" t="str">
            <v/>
          </cell>
          <cell r="Y1665" t="str">
            <v/>
          </cell>
          <cell r="Z1665" t="str">
            <v/>
          </cell>
          <cell r="AA1665" t="str">
            <v/>
          </cell>
          <cell r="AB1665" t="str">
            <v>70001343</v>
          </cell>
          <cell r="AC1665">
            <v>1</v>
          </cell>
          <cell r="AD1665" t="str">
            <v/>
          </cell>
          <cell r="AE1665">
            <v>0</v>
          </cell>
          <cell r="AF1665" t="str">
            <v/>
          </cell>
          <cell r="AG1665" t="str">
            <v>70001343</v>
          </cell>
          <cell r="AH1665">
            <v>44945.946412037039</v>
          </cell>
          <cell r="AI1665" t="str">
            <v>N32</v>
          </cell>
          <cell r="AJ1665" t="str">
            <v>F</v>
          </cell>
          <cell r="AK1665" t="str">
            <v>B0</v>
          </cell>
        </row>
        <row r="1666">
          <cell r="A1666" t="str">
            <v>70001426828521</v>
          </cell>
          <cell r="B1666">
            <v>0</v>
          </cell>
          <cell r="C1666" t="e">
            <v>#N/A</v>
          </cell>
          <cell r="D1666" t="str">
            <v>EK65</v>
          </cell>
          <cell r="E1666" t="str">
            <v>706838</v>
          </cell>
          <cell r="F1666" t="str">
            <v>E</v>
          </cell>
          <cell r="G1666" t="str">
            <v>70001426</v>
          </cell>
          <cell r="H1666" t="str">
            <v>PLATE</v>
          </cell>
          <cell r="I1666">
            <v>180</v>
          </cell>
          <cell r="J1666" t="str">
            <v>Stk</v>
          </cell>
          <cell r="K1666">
            <v>45083</v>
          </cell>
          <cell r="L1666" t="str">
            <v>828521</v>
          </cell>
          <cell r="M1666" t="str">
            <v/>
          </cell>
          <cell r="N1666" t="str">
            <v/>
          </cell>
          <cell r="O1666" t="str">
            <v/>
          </cell>
          <cell r="P1666" t="str">
            <v/>
          </cell>
          <cell r="Q1666" t="str">
            <v/>
          </cell>
          <cell r="R1666" t="str">
            <v/>
          </cell>
          <cell r="S1666" t="str">
            <v/>
          </cell>
          <cell r="T1666" t="str">
            <v/>
          </cell>
          <cell r="U1666" t="str">
            <v>BB20025410001</v>
          </cell>
          <cell r="V1666" t="str">
            <v>B00</v>
          </cell>
          <cell r="W1666" t="str">
            <v/>
          </cell>
          <cell r="X1666" t="str">
            <v/>
          </cell>
          <cell r="Y1666" t="str">
            <v/>
          </cell>
          <cell r="Z1666" t="str">
            <v/>
          </cell>
          <cell r="AA1666" t="str">
            <v/>
          </cell>
          <cell r="AB1666" t="str">
            <v>70001426</v>
          </cell>
          <cell r="AC1666">
            <v>1</v>
          </cell>
          <cell r="AD1666" t="str">
            <v/>
          </cell>
          <cell r="AE1666">
            <v>0</v>
          </cell>
          <cell r="AF1666" t="str">
            <v/>
          </cell>
          <cell r="AG1666" t="str">
            <v>70001426</v>
          </cell>
          <cell r="AH1666">
            <v>44961.00818287037</v>
          </cell>
          <cell r="AI1666" t="str">
            <v>B00</v>
          </cell>
          <cell r="AJ1666" t="str">
            <v>F</v>
          </cell>
          <cell r="AK1666" t="str">
            <v>--</v>
          </cell>
        </row>
        <row r="1667">
          <cell r="A1667" t="str">
            <v>70001428828521</v>
          </cell>
          <cell r="B1667">
            <v>0</v>
          </cell>
          <cell r="C1667" t="e">
            <v>#N/A</v>
          </cell>
          <cell r="D1667" t="str">
            <v>EK65</v>
          </cell>
          <cell r="E1667" t="str">
            <v>706839</v>
          </cell>
          <cell r="F1667" t="str">
            <v>E</v>
          </cell>
          <cell r="G1667" t="str">
            <v>70001428</v>
          </cell>
          <cell r="H1667" t="str">
            <v>BRACKET</v>
          </cell>
          <cell r="I1667">
            <v>90</v>
          </cell>
          <cell r="J1667" t="str">
            <v>Stk</v>
          </cell>
          <cell r="K1667">
            <v>45083</v>
          </cell>
          <cell r="L1667" t="str">
            <v>828521</v>
          </cell>
          <cell r="M1667" t="str">
            <v/>
          </cell>
          <cell r="N1667" t="str">
            <v/>
          </cell>
          <cell r="O1667" t="str">
            <v/>
          </cell>
          <cell r="P1667" t="str">
            <v/>
          </cell>
          <cell r="Q1667" t="str">
            <v/>
          </cell>
          <cell r="R1667" t="str">
            <v/>
          </cell>
          <cell r="S1667" t="str">
            <v/>
          </cell>
          <cell r="T1667" t="str">
            <v/>
          </cell>
          <cell r="U1667" t="str">
            <v>BB20025410003</v>
          </cell>
          <cell r="V1667" t="str">
            <v>B00</v>
          </cell>
          <cell r="W1667" t="str">
            <v/>
          </cell>
          <cell r="X1667" t="str">
            <v/>
          </cell>
          <cell r="Y1667" t="str">
            <v/>
          </cell>
          <cell r="Z1667" t="str">
            <v/>
          </cell>
          <cell r="AA1667" t="str">
            <v/>
          </cell>
          <cell r="AB1667" t="str">
            <v>70001428</v>
          </cell>
          <cell r="AC1667">
            <v>1</v>
          </cell>
          <cell r="AD1667" t="str">
            <v/>
          </cell>
          <cell r="AE1667">
            <v>0</v>
          </cell>
          <cell r="AF1667" t="str">
            <v/>
          </cell>
          <cell r="AG1667" t="str">
            <v>70001428</v>
          </cell>
          <cell r="AH1667">
            <v>44961.008217592593</v>
          </cell>
          <cell r="AI1667" t="str">
            <v>B00</v>
          </cell>
          <cell r="AJ1667" t="str">
            <v>F</v>
          </cell>
          <cell r="AK1667" t="str">
            <v>--</v>
          </cell>
        </row>
        <row r="1668">
          <cell r="A1668" t="str">
            <v>70001429828521</v>
          </cell>
          <cell r="B1668">
            <v>0</v>
          </cell>
          <cell r="C1668" t="e">
            <v>#N/A</v>
          </cell>
          <cell r="D1668" t="str">
            <v>EK65</v>
          </cell>
          <cell r="E1668" t="str">
            <v>706840</v>
          </cell>
          <cell r="F1668" t="str">
            <v>E</v>
          </cell>
          <cell r="G1668" t="str">
            <v>70001429</v>
          </cell>
          <cell r="H1668" t="str">
            <v>BRACKET</v>
          </cell>
          <cell r="I1668">
            <v>90</v>
          </cell>
          <cell r="J1668" t="str">
            <v>Stk</v>
          </cell>
          <cell r="K1668">
            <v>45083</v>
          </cell>
          <cell r="L1668" t="str">
            <v>828521</v>
          </cell>
          <cell r="M1668" t="str">
            <v/>
          </cell>
          <cell r="N1668" t="str">
            <v/>
          </cell>
          <cell r="O1668" t="str">
            <v/>
          </cell>
          <cell r="P1668" t="str">
            <v/>
          </cell>
          <cell r="Q1668" t="str">
            <v/>
          </cell>
          <cell r="R1668" t="str">
            <v/>
          </cell>
          <cell r="S1668" t="str">
            <v/>
          </cell>
          <cell r="T1668" t="str">
            <v/>
          </cell>
          <cell r="U1668" t="str">
            <v>BB20025410004</v>
          </cell>
          <cell r="V1668" t="str">
            <v>B00</v>
          </cell>
          <cell r="W1668" t="str">
            <v/>
          </cell>
          <cell r="X1668" t="str">
            <v/>
          </cell>
          <cell r="Y1668" t="str">
            <v/>
          </cell>
          <cell r="Z1668" t="str">
            <v/>
          </cell>
          <cell r="AA1668" t="str">
            <v/>
          </cell>
          <cell r="AB1668" t="str">
            <v>70001429</v>
          </cell>
          <cell r="AC1668">
            <v>1</v>
          </cell>
          <cell r="AD1668" t="str">
            <v/>
          </cell>
          <cell r="AE1668">
            <v>0</v>
          </cell>
          <cell r="AF1668" t="str">
            <v/>
          </cell>
          <cell r="AG1668" t="str">
            <v>70001429</v>
          </cell>
          <cell r="AH1668">
            <v>44961.008229166669</v>
          </cell>
          <cell r="AI1668" t="str">
            <v>B00</v>
          </cell>
          <cell r="AJ1668" t="str">
            <v>F</v>
          </cell>
          <cell r="AK1668" t="str">
            <v>--</v>
          </cell>
        </row>
        <row r="1669">
          <cell r="A1669" t="str">
            <v>70001431828521</v>
          </cell>
          <cell r="B1669">
            <v>0</v>
          </cell>
          <cell r="C1669" t="e">
            <v>#N/A</v>
          </cell>
          <cell r="D1669" t="str">
            <v>EK65</v>
          </cell>
          <cell r="E1669" t="str">
            <v>706841</v>
          </cell>
          <cell r="F1669" t="str">
            <v>E</v>
          </cell>
          <cell r="G1669" t="str">
            <v>70001431</v>
          </cell>
          <cell r="H1669" t="str">
            <v>SHIM 2MM</v>
          </cell>
          <cell r="I1669">
            <v>180</v>
          </cell>
          <cell r="J1669" t="str">
            <v>Stk</v>
          </cell>
          <cell r="K1669">
            <v>45083</v>
          </cell>
          <cell r="L1669" t="str">
            <v>828521</v>
          </cell>
          <cell r="M1669" t="str">
            <v/>
          </cell>
          <cell r="N1669" t="str">
            <v/>
          </cell>
          <cell r="O1669" t="str">
            <v/>
          </cell>
          <cell r="P1669" t="str">
            <v/>
          </cell>
          <cell r="Q1669" t="str">
            <v/>
          </cell>
          <cell r="R1669" t="str">
            <v/>
          </cell>
          <cell r="S1669" t="str">
            <v/>
          </cell>
          <cell r="T1669" t="str">
            <v/>
          </cell>
          <cell r="U1669" t="str">
            <v>BB20025410006</v>
          </cell>
          <cell r="V1669" t="str">
            <v>B00</v>
          </cell>
          <cell r="W1669" t="str">
            <v/>
          </cell>
          <cell r="X1669" t="str">
            <v/>
          </cell>
          <cell r="Y1669" t="str">
            <v/>
          </cell>
          <cell r="Z1669" t="str">
            <v/>
          </cell>
          <cell r="AA1669" t="str">
            <v/>
          </cell>
          <cell r="AB1669" t="str">
            <v>70001431</v>
          </cell>
          <cell r="AC1669">
            <v>1</v>
          </cell>
          <cell r="AD1669" t="str">
            <v/>
          </cell>
          <cell r="AE1669">
            <v>0</v>
          </cell>
          <cell r="AF1669" t="str">
            <v/>
          </cell>
          <cell r="AG1669" t="str">
            <v>70001431</v>
          </cell>
          <cell r="AH1669">
            <v>44961.008263888885</v>
          </cell>
          <cell r="AI1669" t="str">
            <v>B00</v>
          </cell>
          <cell r="AJ1669" t="str">
            <v>F</v>
          </cell>
          <cell r="AK1669" t="str">
            <v>--</v>
          </cell>
        </row>
        <row r="1670">
          <cell r="A1670" t="str">
            <v>70001432828521</v>
          </cell>
          <cell r="B1670">
            <v>0</v>
          </cell>
          <cell r="C1670" t="e">
            <v>#N/A</v>
          </cell>
          <cell r="D1670" t="str">
            <v>EK65</v>
          </cell>
          <cell r="E1670" t="str">
            <v>706842</v>
          </cell>
          <cell r="F1670" t="str">
            <v>E</v>
          </cell>
          <cell r="G1670" t="str">
            <v>70001432</v>
          </cell>
          <cell r="H1670" t="str">
            <v>SHIM 1MM</v>
          </cell>
          <cell r="I1670">
            <v>270</v>
          </cell>
          <cell r="J1670" t="str">
            <v>Stk</v>
          </cell>
          <cell r="K1670">
            <v>45083</v>
          </cell>
          <cell r="L1670" t="str">
            <v>828521</v>
          </cell>
          <cell r="M1670" t="str">
            <v/>
          </cell>
          <cell r="N1670" t="str">
            <v/>
          </cell>
          <cell r="O1670" t="str">
            <v/>
          </cell>
          <cell r="P1670" t="str">
            <v/>
          </cell>
          <cell r="Q1670" t="str">
            <v/>
          </cell>
          <cell r="R1670" t="str">
            <v/>
          </cell>
          <cell r="S1670" t="str">
            <v/>
          </cell>
          <cell r="T1670" t="str">
            <v/>
          </cell>
          <cell r="U1670" t="str">
            <v>BB20025410007</v>
          </cell>
          <cell r="V1670" t="str">
            <v>B00</v>
          </cell>
          <cell r="W1670" t="str">
            <v/>
          </cell>
          <cell r="X1670" t="str">
            <v/>
          </cell>
          <cell r="Y1670" t="str">
            <v/>
          </cell>
          <cell r="Z1670" t="str">
            <v/>
          </cell>
          <cell r="AA1670" t="str">
            <v/>
          </cell>
          <cell r="AB1670" t="str">
            <v>70001432</v>
          </cell>
          <cell r="AC1670">
            <v>1</v>
          </cell>
          <cell r="AD1670" t="str">
            <v/>
          </cell>
          <cell r="AE1670">
            <v>0</v>
          </cell>
          <cell r="AF1670" t="str">
            <v/>
          </cell>
          <cell r="AG1670" t="str">
            <v>70001432</v>
          </cell>
          <cell r="AH1670">
            <v>44961.008275462962</v>
          </cell>
          <cell r="AI1670" t="str">
            <v>B00</v>
          </cell>
          <cell r="AJ1670" t="str">
            <v>F</v>
          </cell>
          <cell r="AK1670" t="str">
            <v>--</v>
          </cell>
        </row>
        <row r="1671">
          <cell r="A1671" t="str">
            <v>70002532828521</v>
          </cell>
          <cell r="B1671">
            <v>0</v>
          </cell>
          <cell r="C1671" t="e">
            <v>#N/A</v>
          </cell>
          <cell r="D1671" t="str">
            <v>EK65</v>
          </cell>
          <cell r="E1671" t="str">
            <v>706931</v>
          </cell>
          <cell r="F1671" t="str">
            <v>E</v>
          </cell>
          <cell r="G1671" t="str">
            <v>70002532</v>
          </cell>
          <cell r="H1671" t="str">
            <v>SHIM 2MM</v>
          </cell>
          <cell r="I1671">
            <v>1080</v>
          </cell>
          <cell r="J1671" t="str">
            <v>Stk</v>
          </cell>
          <cell r="K1671">
            <v>45083</v>
          </cell>
          <cell r="L1671" t="str">
            <v>828521</v>
          </cell>
          <cell r="M1671" t="str">
            <v/>
          </cell>
          <cell r="N1671" t="str">
            <v/>
          </cell>
          <cell r="O1671" t="str">
            <v/>
          </cell>
          <cell r="P1671" t="str">
            <v/>
          </cell>
          <cell r="Q1671" t="str">
            <v/>
          </cell>
          <cell r="R1671" t="str">
            <v/>
          </cell>
          <cell r="S1671" t="str">
            <v/>
          </cell>
          <cell r="T1671" t="str">
            <v/>
          </cell>
          <cell r="U1671" t="str">
            <v>BB20039210001</v>
          </cell>
          <cell r="V1671" t="str">
            <v>B00</v>
          </cell>
          <cell r="W1671" t="str">
            <v/>
          </cell>
          <cell r="X1671" t="str">
            <v/>
          </cell>
          <cell r="Y1671" t="str">
            <v/>
          </cell>
          <cell r="Z1671" t="str">
            <v/>
          </cell>
          <cell r="AA1671" t="str">
            <v/>
          </cell>
          <cell r="AB1671" t="str">
            <v>70002532</v>
          </cell>
          <cell r="AC1671">
            <v>1</v>
          </cell>
          <cell r="AD1671" t="str">
            <v/>
          </cell>
          <cell r="AE1671">
            <v>0</v>
          </cell>
          <cell r="AF1671" t="str">
            <v/>
          </cell>
          <cell r="AG1671" t="str">
            <v>70002532</v>
          </cell>
          <cell r="AH1671">
            <v>44961.017731481479</v>
          </cell>
          <cell r="AI1671" t="str">
            <v>B00</v>
          </cell>
          <cell r="AJ1671" t="str">
            <v>F</v>
          </cell>
          <cell r="AK1671" t="str">
            <v>--</v>
          </cell>
        </row>
        <row r="1672">
          <cell r="A1672" t="str">
            <v>70002533828521</v>
          </cell>
          <cell r="B1672">
            <v>0</v>
          </cell>
          <cell r="C1672" t="e">
            <v>#N/A</v>
          </cell>
          <cell r="D1672" t="str">
            <v>EK65</v>
          </cell>
          <cell r="E1672" t="str">
            <v>706932</v>
          </cell>
          <cell r="F1672" t="str">
            <v>E</v>
          </cell>
          <cell r="G1672" t="str">
            <v>70002533</v>
          </cell>
          <cell r="H1672" t="str">
            <v>SHIM 1MM</v>
          </cell>
          <cell r="I1672">
            <v>1080</v>
          </cell>
          <cell r="J1672" t="str">
            <v>Stk</v>
          </cell>
          <cell r="K1672">
            <v>45083</v>
          </cell>
          <cell r="L1672" t="str">
            <v>828521</v>
          </cell>
          <cell r="M1672" t="str">
            <v/>
          </cell>
          <cell r="N1672" t="str">
            <v/>
          </cell>
          <cell r="O1672" t="str">
            <v/>
          </cell>
          <cell r="P1672" t="str">
            <v/>
          </cell>
          <cell r="Q1672" t="str">
            <v/>
          </cell>
          <cell r="R1672" t="str">
            <v/>
          </cell>
          <cell r="S1672" t="str">
            <v/>
          </cell>
          <cell r="T1672" t="str">
            <v/>
          </cell>
          <cell r="U1672" t="str">
            <v>BB20039210003</v>
          </cell>
          <cell r="V1672" t="str">
            <v>B00</v>
          </cell>
          <cell r="W1672" t="str">
            <v/>
          </cell>
          <cell r="X1672" t="str">
            <v/>
          </cell>
          <cell r="Y1672" t="str">
            <v/>
          </cell>
          <cell r="Z1672" t="str">
            <v/>
          </cell>
          <cell r="AA1672" t="str">
            <v/>
          </cell>
          <cell r="AB1672" t="str">
            <v>70002533</v>
          </cell>
          <cell r="AC1672">
            <v>1</v>
          </cell>
          <cell r="AD1672" t="str">
            <v/>
          </cell>
          <cell r="AE1672">
            <v>0</v>
          </cell>
          <cell r="AF1672" t="str">
            <v/>
          </cell>
          <cell r="AG1672" t="str">
            <v>70002533</v>
          </cell>
          <cell r="AH1672">
            <v>44961.017754629633</v>
          </cell>
          <cell r="AI1672" t="str">
            <v>B00</v>
          </cell>
          <cell r="AJ1672" t="str">
            <v>F</v>
          </cell>
          <cell r="AK1672" t="str">
            <v>--</v>
          </cell>
        </row>
        <row r="1673">
          <cell r="A1673" t="str">
            <v>70002538828521</v>
          </cell>
          <cell r="B1673">
            <v>0</v>
          </cell>
          <cell r="C1673" t="e">
            <v>#N/A</v>
          </cell>
          <cell r="D1673" t="str">
            <v>EK65</v>
          </cell>
          <cell r="E1673" t="str">
            <v>706933</v>
          </cell>
          <cell r="F1673" t="str">
            <v>E</v>
          </cell>
          <cell r="G1673" t="str">
            <v>70002538</v>
          </cell>
          <cell r="H1673" t="str">
            <v>SHIM 1 MM</v>
          </cell>
          <cell r="I1673">
            <v>540</v>
          </cell>
          <cell r="J1673" t="str">
            <v>Stk</v>
          </cell>
          <cell r="K1673">
            <v>45083</v>
          </cell>
          <cell r="L1673" t="str">
            <v>828521</v>
          </cell>
          <cell r="M1673" t="str">
            <v/>
          </cell>
          <cell r="N1673" t="str">
            <v/>
          </cell>
          <cell r="O1673" t="str">
            <v/>
          </cell>
          <cell r="P1673" t="str">
            <v/>
          </cell>
          <cell r="Q1673" t="str">
            <v>X2CrNi18-9</v>
          </cell>
          <cell r="R1673" t="str">
            <v>EN 10088</v>
          </cell>
          <cell r="S1673" t="str">
            <v/>
          </cell>
          <cell r="T1673" t="str">
            <v/>
          </cell>
          <cell r="U1673" t="str">
            <v>BB20039211301</v>
          </cell>
          <cell r="V1673" t="str">
            <v>B00</v>
          </cell>
          <cell r="W1673" t="str">
            <v/>
          </cell>
          <cell r="X1673" t="str">
            <v/>
          </cell>
          <cell r="Y1673" t="str">
            <v/>
          </cell>
          <cell r="Z1673" t="str">
            <v/>
          </cell>
          <cell r="AA1673" t="str">
            <v/>
          </cell>
          <cell r="AB1673" t="str">
            <v>70002538</v>
          </cell>
          <cell r="AC1673">
            <v>1</v>
          </cell>
          <cell r="AD1673" t="str">
            <v/>
          </cell>
          <cell r="AE1673">
            <v>0</v>
          </cell>
          <cell r="AF1673" t="str">
            <v/>
          </cell>
          <cell r="AG1673" t="str">
            <v>70002538</v>
          </cell>
          <cell r="AH1673">
            <v>44961.017858796295</v>
          </cell>
          <cell r="AI1673" t="str">
            <v>B00</v>
          </cell>
          <cell r="AJ1673" t="str">
            <v>F</v>
          </cell>
          <cell r="AK1673" t="str">
            <v>--</v>
          </cell>
        </row>
        <row r="1674">
          <cell r="A1674" t="str">
            <v>70002539828521</v>
          </cell>
          <cell r="B1674">
            <v>0</v>
          </cell>
          <cell r="C1674" t="e">
            <v>#N/A</v>
          </cell>
          <cell r="D1674" t="str">
            <v>EK65</v>
          </cell>
          <cell r="E1674" t="str">
            <v>706934</v>
          </cell>
          <cell r="F1674" t="str">
            <v>E</v>
          </cell>
          <cell r="G1674" t="str">
            <v>70002539</v>
          </cell>
          <cell r="H1674" t="str">
            <v>SHIM 2 MM</v>
          </cell>
          <cell r="I1674">
            <v>540</v>
          </cell>
          <cell r="J1674" t="str">
            <v>Stk</v>
          </cell>
          <cell r="K1674">
            <v>45083</v>
          </cell>
          <cell r="L1674" t="str">
            <v>828521</v>
          </cell>
          <cell r="M1674" t="str">
            <v/>
          </cell>
          <cell r="N1674" t="str">
            <v/>
          </cell>
          <cell r="O1674" t="str">
            <v/>
          </cell>
          <cell r="P1674" t="str">
            <v/>
          </cell>
          <cell r="Q1674" t="str">
            <v>X2CrNi18-9</v>
          </cell>
          <cell r="R1674" t="str">
            <v>EN 10088</v>
          </cell>
          <cell r="S1674" t="str">
            <v/>
          </cell>
          <cell r="T1674" t="str">
            <v/>
          </cell>
          <cell r="U1674" t="str">
            <v>BB20039211302</v>
          </cell>
          <cell r="V1674" t="str">
            <v>B00</v>
          </cell>
          <cell r="W1674" t="str">
            <v/>
          </cell>
          <cell r="X1674" t="str">
            <v/>
          </cell>
          <cell r="Y1674" t="str">
            <v/>
          </cell>
          <cell r="Z1674" t="str">
            <v/>
          </cell>
          <cell r="AA1674" t="str">
            <v/>
          </cell>
          <cell r="AB1674" t="str">
            <v>70002539</v>
          </cell>
          <cell r="AC1674">
            <v>1</v>
          </cell>
          <cell r="AD1674" t="str">
            <v/>
          </cell>
          <cell r="AE1674">
            <v>0</v>
          </cell>
          <cell r="AF1674" t="str">
            <v/>
          </cell>
          <cell r="AG1674" t="str">
            <v>70002539</v>
          </cell>
          <cell r="AH1674">
            <v>44961.017870370371</v>
          </cell>
          <cell r="AI1674" t="str">
            <v>B00</v>
          </cell>
          <cell r="AJ1674" t="str">
            <v>F</v>
          </cell>
          <cell r="AK1674" t="str">
            <v>--</v>
          </cell>
        </row>
        <row r="1675">
          <cell r="A1675" t="str">
            <v>70002608828521</v>
          </cell>
          <cell r="B1675">
            <v>0</v>
          </cell>
          <cell r="C1675" t="e">
            <v>#N/A</v>
          </cell>
          <cell r="D1675" t="str">
            <v>EK65</v>
          </cell>
          <cell r="E1675" t="str">
            <v>706937</v>
          </cell>
          <cell r="F1675" t="str">
            <v>E</v>
          </cell>
          <cell r="G1675" t="str">
            <v>70002608</v>
          </cell>
          <cell r="H1675" t="str">
            <v>FOLDED PLATE</v>
          </cell>
          <cell r="I1675">
            <v>180</v>
          </cell>
          <cell r="J1675" t="str">
            <v>Stk</v>
          </cell>
          <cell r="K1675">
            <v>45083</v>
          </cell>
          <cell r="L1675" t="str">
            <v>828521</v>
          </cell>
          <cell r="M1675" t="str">
            <v/>
          </cell>
          <cell r="N1675" t="str">
            <v/>
          </cell>
          <cell r="O1675" t="str">
            <v/>
          </cell>
          <cell r="P1675" t="str">
            <v/>
          </cell>
          <cell r="Q1675" t="str">
            <v/>
          </cell>
          <cell r="R1675" t="str">
            <v/>
          </cell>
          <cell r="S1675" t="str">
            <v/>
          </cell>
          <cell r="T1675" t="str">
            <v/>
          </cell>
          <cell r="U1675" t="str">
            <v>BB20031910007</v>
          </cell>
          <cell r="V1675" t="str">
            <v>B00</v>
          </cell>
          <cell r="W1675" t="str">
            <v/>
          </cell>
          <cell r="X1675" t="str">
            <v/>
          </cell>
          <cell r="Y1675" t="str">
            <v/>
          </cell>
          <cell r="Z1675" t="str">
            <v/>
          </cell>
          <cell r="AA1675" t="str">
            <v/>
          </cell>
          <cell r="AB1675" t="str">
            <v>70002608</v>
          </cell>
          <cell r="AC1675">
            <v>1</v>
          </cell>
          <cell r="AD1675" t="str">
            <v/>
          </cell>
          <cell r="AE1675">
            <v>0</v>
          </cell>
          <cell r="AF1675" t="str">
            <v/>
          </cell>
          <cell r="AG1675" t="str">
            <v>70002608</v>
          </cell>
          <cell r="AH1675">
            <v>44961.018611111111</v>
          </cell>
          <cell r="AI1675" t="str">
            <v>B00</v>
          </cell>
          <cell r="AJ1675" t="str">
            <v>F</v>
          </cell>
          <cell r="AK1675" t="str">
            <v>--</v>
          </cell>
        </row>
        <row r="1676">
          <cell r="A1676" t="str">
            <v>70002612828521</v>
          </cell>
          <cell r="B1676">
            <v>0</v>
          </cell>
          <cell r="C1676" t="e">
            <v>#N/A</v>
          </cell>
          <cell r="D1676" t="str">
            <v>EK65</v>
          </cell>
          <cell r="E1676" t="str">
            <v>706938</v>
          </cell>
          <cell r="F1676" t="str">
            <v>E</v>
          </cell>
          <cell r="G1676" t="str">
            <v>70002612</v>
          </cell>
          <cell r="H1676" t="str">
            <v>SEPARATOR</v>
          </cell>
          <cell r="I1676">
            <v>5040</v>
          </cell>
          <cell r="J1676" t="str">
            <v>Stk</v>
          </cell>
          <cell r="K1676">
            <v>45083</v>
          </cell>
          <cell r="L1676" t="str">
            <v>828521</v>
          </cell>
          <cell r="M1676" t="str">
            <v/>
          </cell>
          <cell r="N1676" t="str">
            <v/>
          </cell>
          <cell r="O1676" t="str">
            <v/>
          </cell>
          <cell r="P1676" t="str">
            <v/>
          </cell>
          <cell r="Q1676" t="str">
            <v>X2CrNi18-9</v>
          </cell>
          <cell r="R1676" t="str">
            <v>EN 10088</v>
          </cell>
          <cell r="S1676" t="str">
            <v/>
          </cell>
          <cell r="T1676" t="str">
            <v/>
          </cell>
          <cell r="U1676" t="str">
            <v>BB19350402010</v>
          </cell>
          <cell r="V1676" t="str">
            <v>B00</v>
          </cell>
          <cell r="W1676" t="str">
            <v/>
          </cell>
          <cell r="X1676" t="str">
            <v/>
          </cell>
          <cell r="Y1676" t="str">
            <v/>
          </cell>
          <cell r="Z1676" t="str">
            <v/>
          </cell>
          <cell r="AA1676" t="str">
            <v/>
          </cell>
          <cell r="AB1676" t="str">
            <v>70002612</v>
          </cell>
          <cell r="AC1676">
            <v>1</v>
          </cell>
          <cell r="AD1676" t="str">
            <v/>
          </cell>
          <cell r="AE1676">
            <v>0</v>
          </cell>
          <cell r="AF1676" t="str">
            <v/>
          </cell>
          <cell r="AG1676" t="str">
            <v>70002612</v>
          </cell>
          <cell r="AH1676">
            <v>44961.018634259257</v>
          </cell>
          <cell r="AI1676" t="str">
            <v>B00</v>
          </cell>
          <cell r="AJ1676" t="str">
            <v>F</v>
          </cell>
          <cell r="AK1676" t="str">
            <v>--</v>
          </cell>
        </row>
        <row r="1677">
          <cell r="A1677" t="str">
            <v>70002614828521</v>
          </cell>
          <cell r="B1677">
            <v>0</v>
          </cell>
          <cell r="C1677" t="e">
            <v>#N/A</v>
          </cell>
          <cell r="D1677" t="str">
            <v>EK65</v>
          </cell>
          <cell r="E1677" t="str">
            <v>706939</v>
          </cell>
          <cell r="F1677" t="str">
            <v>E</v>
          </cell>
          <cell r="G1677" t="str">
            <v>70002614</v>
          </cell>
          <cell r="H1677" t="str">
            <v>SUPPLEMENT</v>
          </cell>
          <cell r="I1677">
            <v>720</v>
          </cell>
          <cell r="J1677" t="str">
            <v>Stk</v>
          </cell>
          <cell r="K1677">
            <v>45083</v>
          </cell>
          <cell r="L1677" t="str">
            <v>828521</v>
          </cell>
          <cell r="M1677" t="str">
            <v/>
          </cell>
          <cell r="N1677" t="str">
            <v/>
          </cell>
          <cell r="O1677" t="str">
            <v/>
          </cell>
          <cell r="P1677" t="str">
            <v/>
          </cell>
          <cell r="Q1677" t="str">
            <v>X2CrNi18-9</v>
          </cell>
          <cell r="R1677" t="str">
            <v>EN 10088</v>
          </cell>
          <cell r="S1677" t="str">
            <v/>
          </cell>
          <cell r="T1677" t="str">
            <v/>
          </cell>
          <cell r="U1677" t="str">
            <v>BB20031910003</v>
          </cell>
          <cell r="V1677" t="str">
            <v>B00</v>
          </cell>
          <cell r="W1677" t="str">
            <v/>
          </cell>
          <cell r="X1677" t="str">
            <v/>
          </cell>
          <cell r="Y1677" t="str">
            <v/>
          </cell>
          <cell r="Z1677" t="str">
            <v/>
          </cell>
          <cell r="AA1677" t="str">
            <v/>
          </cell>
          <cell r="AB1677" t="str">
            <v>70002614</v>
          </cell>
          <cell r="AC1677">
            <v>1</v>
          </cell>
          <cell r="AD1677" t="str">
            <v/>
          </cell>
          <cell r="AE1677">
            <v>0</v>
          </cell>
          <cell r="AF1677" t="str">
            <v/>
          </cell>
          <cell r="AG1677" t="str">
            <v>70002614</v>
          </cell>
          <cell r="AH1677">
            <v>44961.01866898148</v>
          </cell>
          <cell r="AI1677" t="str">
            <v>B00</v>
          </cell>
          <cell r="AJ1677" t="str">
            <v>F</v>
          </cell>
          <cell r="AK1677" t="str">
            <v>A0</v>
          </cell>
        </row>
        <row r="1678">
          <cell r="A1678" t="str">
            <v>70002615828521</v>
          </cell>
          <cell r="B1678">
            <v>0</v>
          </cell>
          <cell r="C1678" t="e">
            <v>#N/A</v>
          </cell>
          <cell r="D1678" t="str">
            <v>EK65</v>
          </cell>
          <cell r="E1678" t="str">
            <v>706940</v>
          </cell>
          <cell r="F1678" t="str">
            <v>E</v>
          </cell>
          <cell r="G1678" t="str">
            <v>70002615</v>
          </cell>
          <cell r="H1678" t="str">
            <v>SHIM 2MM</v>
          </cell>
          <cell r="I1678">
            <v>720</v>
          </cell>
          <cell r="J1678" t="str">
            <v>Stk</v>
          </cell>
          <cell r="K1678">
            <v>45083</v>
          </cell>
          <cell r="L1678" t="str">
            <v>828521</v>
          </cell>
          <cell r="M1678" t="str">
            <v/>
          </cell>
          <cell r="N1678" t="str">
            <v/>
          </cell>
          <cell r="O1678" t="str">
            <v/>
          </cell>
          <cell r="P1678" t="str">
            <v/>
          </cell>
          <cell r="Q1678" t="str">
            <v>X2CrNi18-9</v>
          </cell>
          <cell r="R1678" t="str">
            <v>EN 10088</v>
          </cell>
          <cell r="S1678" t="str">
            <v/>
          </cell>
          <cell r="T1678" t="str">
            <v/>
          </cell>
          <cell r="U1678" t="str">
            <v>BB20031910002</v>
          </cell>
          <cell r="V1678" t="str">
            <v>B00</v>
          </cell>
          <cell r="W1678" t="str">
            <v/>
          </cell>
          <cell r="X1678" t="str">
            <v/>
          </cell>
          <cell r="Y1678" t="str">
            <v/>
          </cell>
          <cell r="Z1678" t="str">
            <v/>
          </cell>
          <cell r="AA1678" t="str">
            <v/>
          </cell>
          <cell r="AB1678" t="str">
            <v>70002615</v>
          </cell>
          <cell r="AC1678">
            <v>1</v>
          </cell>
          <cell r="AD1678" t="str">
            <v/>
          </cell>
          <cell r="AE1678">
            <v>0</v>
          </cell>
          <cell r="AF1678" t="str">
            <v/>
          </cell>
          <cell r="AG1678" t="str">
            <v>70002615</v>
          </cell>
          <cell r="AH1678">
            <v>44961.018680555557</v>
          </cell>
          <cell r="AI1678" t="str">
            <v>B00</v>
          </cell>
          <cell r="AJ1678" t="str">
            <v>F</v>
          </cell>
          <cell r="AK1678" t="str">
            <v>A0</v>
          </cell>
        </row>
        <row r="1679">
          <cell r="A1679" t="str">
            <v>70002616828521</v>
          </cell>
          <cell r="B1679">
            <v>0</v>
          </cell>
          <cell r="C1679" t="e">
            <v>#N/A</v>
          </cell>
          <cell r="D1679" t="str">
            <v>EK65</v>
          </cell>
          <cell r="E1679" t="str">
            <v>706941</v>
          </cell>
          <cell r="F1679" t="str">
            <v>E</v>
          </cell>
          <cell r="G1679" t="str">
            <v>70002616</v>
          </cell>
          <cell r="H1679" t="str">
            <v>SHIM 1MM</v>
          </cell>
          <cell r="I1679">
            <v>720</v>
          </cell>
          <cell r="J1679" t="str">
            <v>Stk</v>
          </cell>
          <cell r="K1679">
            <v>45083</v>
          </cell>
          <cell r="L1679" t="str">
            <v>828521</v>
          </cell>
          <cell r="M1679" t="str">
            <v/>
          </cell>
          <cell r="N1679" t="str">
            <v/>
          </cell>
          <cell r="O1679" t="str">
            <v/>
          </cell>
          <cell r="P1679" t="str">
            <v/>
          </cell>
          <cell r="Q1679" t="str">
            <v>X2CrNi18-9</v>
          </cell>
          <cell r="R1679" t="str">
            <v>EN 10088</v>
          </cell>
          <cell r="S1679" t="str">
            <v/>
          </cell>
          <cell r="T1679" t="str">
            <v/>
          </cell>
          <cell r="U1679" t="str">
            <v>BB20031910001</v>
          </cell>
          <cell r="V1679" t="str">
            <v>B00</v>
          </cell>
          <cell r="W1679" t="str">
            <v/>
          </cell>
          <cell r="X1679" t="str">
            <v/>
          </cell>
          <cell r="Y1679" t="str">
            <v/>
          </cell>
          <cell r="Z1679" t="str">
            <v/>
          </cell>
          <cell r="AA1679" t="str">
            <v/>
          </cell>
          <cell r="AB1679" t="str">
            <v>70002616</v>
          </cell>
          <cell r="AC1679">
            <v>1</v>
          </cell>
          <cell r="AD1679" t="str">
            <v/>
          </cell>
          <cell r="AE1679">
            <v>0</v>
          </cell>
          <cell r="AF1679" t="str">
            <v/>
          </cell>
          <cell r="AG1679" t="str">
            <v>70002616</v>
          </cell>
          <cell r="AH1679">
            <v>44961.018692129626</v>
          </cell>
          <cell r="AI1679" t="str">
            <v>B00</v>
          </cell>
          <cell r="AJ1679" t="str">
            <v>F</v>
          </cell>
          <cell r="AK1679" t="str">
            <v>A0</v>
          </cell>
        </row>
        <row r="1680">
          <cell r="A1680" t="str">
            <v>70002617828521</v>
          </cell>
          <cell r="B1680">
            <v>0</v>
          </cell>
          <cell r="C1680" t="e">
            <v>#N/A</v>
          </cell>
          <cell r="D1680" t="str">
            <v>EK65</v>
          </cell>
          <cell r="E1680" t="str">
            <v>706942</v>
          </cell>
          <cell r="F1680" t="str">
            <v>E</v>
          </cell>
          <cell r="G1680" t="str">
            <v>70002617</v>
          </cell>
          <cell r="H1680" t="str">
            <v>COVER</v>
          </cell>
          <cell r="I1680">
            <v>360</v>
          </cell>
          <cell r="J1680" t="str">
            <v>Stk</v>
          </cell>
          <cell r="K1680">
            <v>45083</v>
          </cell>
          <cell r="L1680" t="str">
            <v>828521</v>
          </cell>
          <cell r="M1680" t="str">
            <v/>
          </cell>
          <cell r="N1680" t="str">
            <v/>
          </cell>
          <cell r="O1680" t="str">
            <v/>
          </cell>
          <cell r="P1680" t="str">
            <v/>
          </cell>
          <cell r="Q1680" t="str">
            <v/>
          </cell>
          <cell r="R1680" t="str">
            <v/>
          </cell>
          <cell r="S1680" t="str">
            <v/>
          </cell>
          <cell r="T1680" t="str">
            <v/>
          </cell>
          <cell r="U1680" t="str">
            <v>BB20031910005</v>
          </cell>
          <cell r="V1680" t="str">
            <v>B00</v>
          </cell>
          <cell r="W1680" t="str">
            <v/>
          </cell>
          <cell r="X1680" t="str">
            <v/>
          </cell>
          <cell r="Y1680" t="str">
            <v/>
          </cell>
          <cell r="Z1680" t="str">
            <v/>
          </cell>
          <cell r="AA1680" t="str">
            <v/>
          </cell>
          <cell r="AB1680" t="str">
            <v>70002617</v>
          </cell>
          <cell r="AC1680">
            <v>1</v>
          </cell>
          <cell r="AD1680" t="str">
            <v/>
          </cell>
          <cell r="AE1680">
            <v>0</v>
          </cell>
          <cell r="AF1680" t="str">
            <v/>
          </cell>
          <cell r="AG1680" t="str">
            <v>70002617</v>
          </cell>
          <cell r="AH1680">
            <v>44961.01871527778</v>
          </cell>
          <cell r="AI1680" t="str">
            <v>B00</v>
          </cell>
          <cell r="AJ1680" t="str">
            <v>F</v>
          </cell>
          <cell r="AK1680" t="str">
            <v>--</v>
          </cell>
        </row>
        <row r="1681">
          <cell r="A1681" t="str">
            <v>70002633828521</v>
          </cell>
          <cell r="B1681">
            <v>0</v>
          </cell>
          <cell r="C1681" t="e">
            <v>#N/A</v>
          </cell>
          <cell r="D1681" t="str">
            <v>EK65</v>
          </cell>
          <cell r="E1681" t="str">
            <v>706943</v>
          </cell>
          <cell r="F1681" t="str">
            <v>E</v>
          </cell>
          <cell r="G1681" t="str">
            <v>70002633</v>
          </cell>
          <cell r="H1681" t="str">
            <v>SHIM 2MM</v>
          </cell>
          <cell r="I1681">
            <v>1440</v>
          </cell>
          <cell r="J1681" t="str">
            <v>Stk</v>
          </cell>
          <cell r="K1681">
            <v>45083</v>
          </cell>
          <cell r="L1681" t="str">
            <v>828521</v>
          </cell>
          <cell r="M1681" t="str">
            <v/>
          </cell>
          <cell r="N1681" t="str">
            <v/>
          </cell>
          <cell r="O1681" t="str">
            <v/>
          </cell>
          <cell r="P1681" t="str">
            <v/>
          </cell>
          <cell r="Q1681" t="str">
            <v>X2CrNi18-9</v>
          </cell>
          <cell r="R1681" t="str">
            <v>EN 10088</v>
          </cell>
          <cell r="S1681" t="str">
            <v/>
          </cell>
          <cell r="T1681" t="str">
            <v/>
          </cell>
          <cell r="U1681" t="str">
            <v>BB20031910094</v>
          </cell>
          <cell r="V1681" t="str">
            <v>B00</v>
          </cell>
          <cell r="W1681" t="str">
            <v/>
          </cell>
          <cell r="X1681" t="str">
            <v/>
          </cell>
          <cell r="Y1681" t="str">
            <v/>
          </cell>
          <cell r="Z1681" t="str">
            <v/>
          </cell>
          <cell r="AA1681" t="str">
            <v/>
          </cell>
          <cell r="AB1681" t="str">
            <v>70002633</v>
          </cell>
          <cell r="AC1681">
            <v>1</v>
          </cell>
          <cell r="AD1681" t="str">
            <v/>
          </cell>
          <cell r="AE1681">
            <v>0</v>
          </cell>
          <cell r="AF1681" t="str">
            <v/>
          </cell>
          <cell r="AG1681" t="str">
            <v>70002633</v>
          </cell>
          <cell r="AH1681">
            <v>44961.018958333334</v>
          </cell>
          <cell r="AI1681" t="str">
            <v>B00</v>
          </cell>
          <cell r="AJ1681" t="str">
            <v>F</v>
          </cell>
          <cell r="AK1681" t="str">
            <v>--</v>
          </cell>
        </row>
        <row r="1682">
          <cell r="A1682" t="str">
            <v>70002634828521</v>
          </cell>
          <cell r="B1682">
            <v>0</v>
          </cell>
          <cell r="C1682" t="e">
            <v>#N/A</v>
          </cell>
          <cell r="D1682" t="str">
            <v>EK65</v>
          </cell>
          <cell r="E1682" t="str">
            <v>706944</v>
          </cell>
          <cell r="F1682" t="str">
            <v>E</v>
          </cell>
          <cell r="G1682" t="str">
            <v>70002634</v>
          </cell>
          <cell r="H1682" t="str">
            <v>FOLDED PLATE</v>
          </cell>
          <cell r="I1682">
            <v>360</v>
          </cell>
          <cell r="J1682" t="str">
            <v>Stk</v>
          </cell>
          <cell r="K1682">
            <v>45083</v>
          </cell>
          <cell r="L1682" t="str">
            <v>828521</v>
          </cell>
          <cell r="M1682" t="str">
            <v/>
          </cell>
          <cell r="N1682" t="str">
            <v/>
          </cell>
          <cell r="O1682" t="str">
            <v/>
          </cell>
          <cell r="P1682" t="str">
            <v/>
          </cell>
          <cell r="Q1682" t="str">
            <v>X2CrNi18-9</v>
          </cell>
          <cell r="R1682" t="str">
            <v>EN 10088</v>
          </cell>
          <cell r="S1682" t="str">
            <v/>
          </cell>
          <cell r="T1682" t="str">
            <v/>
          </cell>
          <cell r="U1682" t="str">
            <v>BB20031912302</v>
          </cell>
          <cell r="V1682" t="str">
            <v>B00</v>
          </cell>
          <cell r="W1682" t="str">
            <v/>
          </cell>
          <cell r="X1682" t="str">
            <v/>
          </cell>
          <cell r="Y1682" t="str">
            <v/>
          </cell>
          <cell r="Z1682" t="str">
            <v/>
          </cell>
          <cell r="AA1682" t="str">
            <v/>
          </cell>
          <cell r="AB1682" t="str">
            <v>70002634</v>
          </cell>
          <cell r="AC1682">
            <v>1</v>
          </cell>
          <cell r="AD1682" t="str">
            <v/>
          </cell>
          <cell r="AE1682">
            <v>0</v>
          </cell>
          <cell r="AF1682" t="str">
            <v/>
          </cell>
          <cell r="AG1682" t="str">
            <v>70002634</v>
          </cell>
          <cell r="AH1682">
            <v>44961.018969907411</v>
          </cell>
          <cell r="AI1682" t="str">
            <v>B00</v>
          </cell>
          <cell r="AJ1682" t="str">
            <v>F</v>
          </cell>
          <cell r="AK1682" t="str">
            <v>A0</v>
          </cell>
        </row>
        <row r="1683">
          <cell r="A1683" t="str">
            <v>70002635828521</v>
          </cell>
          <cell r="B1683">
            <v>0</v>
          </cell>
          <cell r="C1683" t="e">
            <v>#N/A</v>
          </cell>
          <cell r="D1683" t="str">
            <v>EK65</v>
          </cell>
          <cell r="E1683" t="str">
            <v>706945</v>
          </cell>
          <cell r="F1683" t="str">
            <v>E</v>
          </cell>
          <cell r="G1683" t="str">
            <v>70002635</v>
          </cell>
          <cell r="H1683" t="str">
            <v>SEPARATOR</v>
          </cell>
          <cell r="I1683">
            <v>2880</v>
          </cell>
          <cell r="J1683" t="str">
            <v>Stk</v>
          </cell>
          <cell r="K1683">
            <v>45083</v>
          </cell>
          <cell r="L1683" t="str">
            <v>828521</v>
          </cell>
          <cell r="M1683" t="str">
            <v/>
          </cell>
          <cell r="N1683" t="str">
            <v/>
          </cell>
          <cell r="O1683" t="str">
            <v/>
          </cell>
          <cell r="P1683" t="str">
            <v/>
          </cell>
          <cell r="Q1683" t="str">
            <v>X2CrNi18-9</v>
          </cell>
          <cell r="R1683" t="str">
            <v>EN 10088</v>
          </cell>
          <cell r="S1683" t="str">
            <v/>
          </cell>
          <cell r="T1683" t="str">
            <v/>
          </cell>
          <cell r="U1683" t="str">
            <v>BB20031910804</v>
          </cell>
          <cell r="V1683" t="str">
            <v>B00</v>
          </cell>
          <cell r="W1683" t="str">
            <v/>
          </cell>
          <cell r="X1683" t="str">
            <v/>
          </cell>
          <cell r="Y1683" t="str">
            <v/>
          </cell>
          <cell r="Z1683" t="str">
            <v/>
          </cell>
          <cell r="AA1683" t="str">
            <v/>
          </cell>
          <cell r="AB1683" t="str">
            <v>70002635</v>
          </cell>
          <cell r="AC1683">
            <v>1</v>
          </cell>
          <cell r="AD1683" t="str">
            <v/>
          </cell>
          <cell r="AE1683">
            <v>0</v>
          </cell>
          <cell r="AF1683" t="str">
            <v/>
          </cell>
          <cell r="AG1683" t="str">
            <v>70002635</v>
          </cell>
          <cell r="AH1683">
            <v>44961.01898148148</v>
          </cell>
          <cell r="AI1683" t="str">
            <v>B00</v>
          </cell>
          <cell r="AJ1683" t="str">
            <v>F</v>
          </cell>
          <cell r="AK1683" t="str">
            <v>--</v>
          </cell>
        </row>
        <row r="1684">
          <cell r="A1684" t="str">
            <v>70002637828521</v>
          </cell>
          <cell r="B1684">
            <v>0</v>
          </cell>
          <cell r="C1684" t="e">
            <v>#N/A</v>
          </cell>
          <cell r="D1684" t="str">
            <v>EK65</v>
          </cell>
          <cell r="E1684" t="str">
            <v>706946</v>
          </cell>
          <cell r="F1684" t="str">
            <v>E</v>
          </cell>
          <cell r="G1684" t="str">
            <v>70002637</v>
          </cell>
          <cell r="H1684" t="str">
            <v>SEPARATOR</v>
          </cell>
          <cell r="I1684">
            <v>1440</v>
          </cell>
          <cell r="J1684" t="str">
            <v>Stk</v>
          </cell>
          <cell r="K1684">
            <v>45083</v>
          </cell>
          <cell r="L1684" t="str">
            <v>828521</v>
          </cell>
          <cell r="M1684" t="str">
            <v/>
          </cell>
          <cell r="N1684" t="str">
            <v/>
          </cell>
          <cell r="O1684" t="str">
            <v/>
          </cell>
          <cell r="P1684" t="str">
            <v/>
          </cell>
          <cell r="Q1684" t="str">
            <v>X2CrNi18-9</v>
          </cell>
          <cell r="R1684" t="str">
            <v>EN 10088</v>
          </cell>
          <cell r="S1684" t="str">
            <v/>
          </cell>
          <cell r="T1684" t="str">
            <v/>
          </cell>
          <cell r="U1684" t="str">
            <v>BB20031910806</v>
          </cell>
          <cell r="V1684" t="str">
            <v>B00</v>
          </cell>
          <cell r="W1684" t="str">
            <v/>
          </cell>
          <cell r="X1684" t="str">
            <v/>
          </cell>
          <cell r="Y1684" t="str">
            <v/>
          </cell>
          <cell r="Z1684" t="str">
            <v/>
          </cell>
          <cell r="AA1684" t="str">
            <v/>
          </cell>
          <cell r="AB1684" t="str">
            <v>70002637</v>
          </cell>
          <cell r="AC1684">
            <v>1</v>
          </cell>
          <cell r="AD1684" t="str">
            <v/>
          </cell>
          <cell r="AE1684">
            <v>0</v>
          </cell>
          <cell r="AF1684" t="str">
            <v/>
          </cell>
          <cell r="AG1684" t="str">
            <v>70002637</v>
          </cell>
          <cell r="AH1684">
            <v>44961.019016203703</v>
          </cell>
          <cell r="AI1684" t="str">
            <v>B00</v>
          </cell>
          <cell r="AJ1684" t="str">
            <v>F</v>
          </cell>
          <cell r="AK1684" t="str">
            <v>--</v>
          </cell>
        </row>
        <row r="1685">
          <cell r="A1685" t="str">
            <v>70002638828521</v>
          </cell>
          <cell r="B1685">
            <v>0</v>
          </cell>
          <cell r="C1685" t="e">
            <v>#N/A</v>
          </cell>
          <cell r="D1685" t="str">
            <v>EK65</v>
          </cell>
          <cell r="E1685" t="str">
            <v>706947</v>
          </cell>
          <cell r="F1685" t="str">
            <v>E</v>
          </cell>
          <cell r="G1685" t="str">
            <v>70002638</v>
          </cell>
          <cell r="H1685" t="str">
            <v>SEPARATOR</v>
          </cell>
          <cell r="I1685">
            <v>1440</v>
          </cell>
          <cell r="J1685" t="str">
            <v>Stk</v>
          </cell>
          <cell r="K1685">
            <v>45083</v>
          </cell>
          <cell r="L1685" t="str">
            <v>828521</v>
          </cell>
          <cell r="M1685" t="str">
            <v/>
          </cell>
          <cell r="N1685" t="str">
            <v/>
          </cell>
          <cell r="O1685" t="str">
            <v/>
          </cell>
          <cell r="P1685" t="str">
            <v/>
          </cell>
          <cell r="Q1685" t="str">
            <v>X2CrNi18-9</v>
          </cell>
          <cell r="R1685" t="str">
            <v>EN 10088</v>
          </cell>
          <cell r="S1685" t="str">
            <v/>
          </cell>
          <cell r="T1685" t="str">
            <v/>
          </cell>
          <cell r="U1685" t="str">
            <v>BB20031910805</v>
          </cell>
          <cell r="V1685" t="str">
            <v>B00</v>
          </cell>
          <cell r="W1685" t="str">
            <v/>
          </cell>
          <cell r="X1685" t="str">
            <v/>
          </cell>
          <cell r="Y1685" t="str">
            <v/>
          </cell>
          <cell r="Z1685" t="str">
            <v/>
          </cell>
          <cell r="AA1685" t="str">
            <v/>
          </cell>
          <cell r="AB1685" t="str">
            <v>70002638</v>
          </cell>
          <cell r="AC1685">
            <v>1</v>
          </cell>
          <cell r="AD1685" t="str">
            <v/>
          </cell>
          <cell r="AE1685">
            <v>0</v>
          </cell>
          <cell r="AF1685" t="str">
            <v/>
          </cell>
          <cell r="AG1685" t="str">
            <v>70002638</v>
          </cell>
          <cell r="AH1685">
            <v>44961.01902777778</v>
          </cell>
          <cell r="AI1685" t="str">
            <v>B00</v>
          </cell>
          <cell r="AJ1685" t="str">
            <v>F</v>
          </cell>
          <cell r="AK1685" t="str">
            <v>--</v>
          </cell>
        </row>
        <row r="1686">
          <cell r="A1686" t="str">
            <v>70001186828521</v>
          </cell>
          <cell r="B1686">
            <v>0</v>
          </cell>
          <cell r="C1686" t="e">
            <v>#N/A</v>
          </cell>
          <cell r="D1686" t="str">
            <v>EK65</v>
          </cell>
          <cell r="E1686" t="str">
            <v>686640</v>
          </cell>
          <cell r="F1686" t="str">
            <v>E</v>
          </cell>
          <cell r="G1686" t="str">
            <v>70001186</v>
          </cell>
          <cell r="H1686" t="str">
            <v>SUPPLEMENT</v>
          </cell>
          <cell r="I1686">
            <v>1440</v>
          </cell>
          <cell r="J1686" t="str">
            <v>Stk</v>
          </cell>
          <cell r="K1686">
            <v>45084</v>
          </cell>
          <cell r="L1686" t="str">
            <v>828521</v>
          </cell>
          <cell r="M1686" t="str">
            <v/>
          </cell>
          <cell r="N1686" t="str">
            <v/>
          </cell>
          <cell r="O1686" t="str">
            <v/>
          </cell>
          <cell r="P1686" t="str">
            <v/>
          </cell>
          <cell r="Q1686" t="str">
            <v/>
          </cell>
          <cell r="R1686" t="str">
            <v/>
          </cell>
          <cell r="S1686" t="str">
            <v/>
          </cell>
          <cell r="T1686" t="str">
            <v/>
          </cell>
          <cell r="U1686" t="str">
            <v>BB23145402002</v>
          </cell>
          <cell r="V1686" t="str">
            <v>N52</v>
          </cell>
          <cell r="W1686" t="str">
            <v/>
          </cell>
          <cell r="X1686" t="str">
            <v/>
          </cell>
          <cell r="Y1686" t="str">
            <v/>
          </cell>
          <cell r="Z1686" t="str">
            <v/>
          </cell>
          <cell r="AA1686" t="str">
            <v/>
          </cell>
          <cell r="AB1686" t="str">
            <v>70001186</v>
          </cell>
          <cell r="AC1686">
            <v>1</v>
          </cell>
          <cell r="AD1686" t="str">
            <v/>
          </cell>
          <cell r="AE1686">
            <v>0</v>
          </cell>
          <cell r="AF1686" t="str">
            <v/>
          </cell>
          <cell r="AG1686" t="str">
            <v>70001186</v>
          </cell>
          <cell r="AH1686">
            <v>44916.12263888889</v>
          </cell>
          <cell r="AI1686" t="str">
            <v>N52</v>
          </cell>
          <cell r="AJ1686" t="str">
            <v>F</v>
          </cell>
          <cell r="AK1686" t="str">
            <v>--</v>
          </cell>
        </row>
        <row r="1687">
          <cell r="A1687" t="str">
            <v>70000041828521</v>
          </cell>
          <cell r="B1687">
            <v>0</v>
          </cell>
          <cell r="C1687" t="e">
            <v>#N/A</v>
          </cell>
          <cell r="D1687" t="str">
            <v>EK65</v>
          </cell>
          <cell r="E1687" t="str">
            <v>690163</v>
          </cell>
          <cell r="F1687" t="str">
            <v>E</v>
          </cell>
          <cell r="G1687" t="str">
            <v>70000041</v>
          </cell>
          <cell r="H1687" t="str">
            <v>SLEEVE</v>
          </cell>
          <cell r="I1687">
            <v>1800</v>
          </cell>
          <cell r="J1687" t="str">
            <v>Stk</v>
          </cell>
          <cell r="K1687">
            <v>45084</v>
          </cell>
          <cell r="L1687" t="str">
            <v>828521</v>
          </cell>
          <cell r="M1687" t="str">
            <v/>
          </cell>
          <cell r="N1687" t="str">
            <v/>
          </cell>
          <cell r="O1687" t="str">
            <v/>
          </cell>
          <cell r="P1687" t="str">
            <v/>
          </cell>
          <cell r="Q1687" t="str">
            <v/>
          </cell>
          <cell r="R1687" t="str">
            <v/>
          </cell>
          <cell r="S1687" t="str">
            <v/>
          </cell>
          <cell r="T1687" t="str">
            <v/>
          </cell>
          <cell r="U1687" t="str">
            <v>BB12945831001</v>
          </cell>
          <cell r="V1687" t="str">
            <v>N52</v>
          </cell>
          <cell r="W1687" t="str">
            <v/>
          </cell>
          <cell r="X1687" t="str">
            <v/>
          </cell>
          <cell r="Y1687" t="str">
            <v/>
          </cell>
          <cell r="Z1687" t="str">
            <v/>
          </cell>
          <cell r="AA1687" t="str">
            <v/>
          </cell>
          <cell r="AB1687" t="str">
            <v>70000041</v>
          </cell>
          <cell r="AC1687">
            <v>1</v>
          </cell>
          <cell r="AD1687" t="str">
            <v/>
          </cell>
          <cell r="AE1687">
            <v>0</v>
          </cell>
          <cell r="AF1687" t="str">
            <v/>
          </cell>
          <cell r="AG1687" t="str">
            <v>70000041</v>
          </cell>
          <cell r="AH1687">
            <v>44916.960115740738</v>
          </cell>
          <cell r="AI1687" t="str">
            <v>N52</v>
          </cell>
          <cell r="AJ1687" t="str">
            <v>F</v>
          </cell>
          <cell r="AK1687" t="str">
            <v>--</v>
          </cell>
        </row>
        <row r="1688">
          <cell r="A1688" t="str">
            <v>70000619828521</v>
          </cell>
          <cell r="B1688">
            <v>0</v>
          </cell>
          <cell r="C1688" t="e">
            <v>#N/A</v>
          </cell>
          <cell r="D1688" t="str">
            <v>EK65</v>
          </cell>
          <cell r="E1688" t="str">
            <v>690316</v>
          </cell>
          <cell r="F1688" t="str">
            <v>E</v>
          </cell>
          <cell r="G1688" t="str">
            <v>70000619</v>
          </cell>
          <cell r="H1688" t="str">
            <v>THREADED TUBE</v>
          </cell>
          <cell r="I1688">
            <v>90</v>
          </cell>
          <cell r="J1688" t="str">
            <v>Stk</v>
          </cell>
          <cell r="K1688">
            <v>45084</v>
          </cell>
          <cell r="L1688" t="str">
            <v>828521</v>
          </cell>
          <cell r="M1688" t="str">
            <v/>
          </cell>
          <cell r="N1688" t="str">
            <v/>
          </cell>
          <cell r="O1688" t="str">
            <v/>
          </cell>
          <cell r="P1688" t="str">
            <v/>
          </cell>
          <cell r="Q1688" t="str">
            <v/>
          </cell>
          <cell r="R1688" t="str">
            <v/>
          </cell>
          <cell r="S1688" t="str">
            <v/>
          </cell>
          <cell r="T1688" t="str">
            <v/>
          </cell>
          <cell r="U1688" t="str">
            <v>BB08442510202</v>
          </cell>
          <cell r="V1688" t="str">
            <v>N52</v>
          </cell>
          <cell r="W1688" t="str">
            <v/>
          </cell>
          <cell r="X1688" t="str">
            <v/>
          </cell>
          <cell r="Y1688" t="str">
            <v/>
          </cell>
          <cell r="Z1688" t="str">
            <v/>
          </cell>
          <cell r="AA1688" t="str">
            <v/>
          </cell>
          <cell r="AB1688" t="str">
            <v>70000619</v>
          </cell>
          <cell r="AC1688">
            <v>1</v>
          </cell>
          <cell r="AD1688" t="str">
            <v/>
          </cell>
          <cell r="AE1688">
            <v>0</v>
          </cell>
          <cell r="AF1688" t="str">
            <v/>
          </cell>
          <cell r="AG1688" t="str">
            <v>70000619</v>
          </cell>
          <cell r="AH1688">
            <v>44916.970243055555</v>
          </cell>
          <cell r="AI1688" t="str">
            <v>N52</v>
          </cell>
          <cell r="AJ1688" t="str">
            <v>F</v>
          </cell>
          <cell r="AK1688" t="str">
            <v>--</v>
          </cell>
        </row>
        <row r="1689">
          <cell r="A1689" t="str">
            <v>70000620828521</v>
          </cell>
          <cell r="B1689">
            <v>0</v>
          </cell>
          <cell r="C1689" t="e">
            <v>#N/A</v>
          </cell>
          <cell r="D1689" t="str">
            <v>EK65</v>
          </cell>
          <cell r="E1689" t="str">
            <v>690317</v>
          </cell>
          <cell r="F1689" t="str">
            <v>E</v>
          </cell>
          <cell r="G1689" t="str">
            <v>70000620</v>
          </cell>
          <cell r="H1689" t="str">
            <v>CLAMP</v>
          </cell>
          <cell r="I1689">
            <v>180</v>
          </cell>
          <cell r="J1689" t="str">
            <v>Stk</v>
          </cell>
          <cell r="K1689">
            <v>45084</v>
          </cell>
          <cell r="L1689" t="str">
            <v>828521</v>
          </cell>
          <cell r="M1689" t="str">
            <v/>
          </cell>
          <cell r="N1689" t="str">
            <v/>
          </cell>
          <cell r="O1689" t="str">
            <v/>
          </cell>
          <cell r="P1689" t="str">
            <v/>
          </cell>
          <cell r="Q1689" t="str">
            <v/>
          </cell>
          <cell r="R1689" t="str">
            <v/>
          </cell>
          <cell r="S1689" t="str">
            <v/>
          </cell>
          <cell r="T1689" t="str">
            <v/>
          </cell>
          <cell r="U1689" t="str">
            <v>BB17067100012</v>
          </cell>
          <cell r="V1689" t="str">
            <v>N52</v>
          </cell>
          <cell r="W1689" t="str">
            <v/>
          </cell>
          <cell r="X1689" t="str">
            <v/>
          </cell>
          <cell r="Y1689" t="str">
            <v/>
          </cell>
          <cell r="Z1689" t="str">
            <v/>
          </cell>
          <cell r="AA1689" t="str">
            <v/>
          </cell>
          <cell r="AB1689" t="str">
            <v>70000620</v>
          </cell>
          <cell r="AC1689">
            <v>1</v>
          </cell>
          <cell r="AD1689" t="str">
            <v/>
          </cell>
          <cell r="AE1689">
            <v>0</v>
          </cell>
          <cell r="AF1689" t="str">
            <v/>
          </cell>
          <cell r="AG1689" t="str">
            <v>70000620</v>
          </cell>
          <cell r="AH1689">
            <v>44916.970243055555</v>
          </cell>
          <cell r="AI1689" t="str">
            <v>N52</v>
          </cell>
          <cell r="AJ1689" t="str">
            <v>F</v>
          </cell>
          <cell r="AK1689" t="str">
            <v>--</v>
          </cell>
        </row>
        <row r="1690">
          <cell r="A1690" t="str">
            <v>70000871828521</v>
          </cell>
          <cell r="B1690">
            <v>0</v>
          </cell>
          <cell r="C1690" t="e">
            <v>#N/A</v>
          </cell>
          <cell r="D1690" t="str">
            <v>EK65</v>
          </cell>
          <cell r="E1690" t="str">
            <v>690325</v>
          </cell>
          <cell r="F1690" t="str">
            <v>E</v>
          </cell>
          <cell r="G1690" t="str">
            <v>70000871</v>
          </cell>
          <cell r="H1690" t="str">
            <v>CARBODY-BOGIE BUFFER</v>
          </cell>
          <cell r="I1690">
            <v>180</v>
          </cell>
          <cell r="J1690" t="str">
            <v>Stk</v>
          </cell>
          <cell r="K1690">
            <v>45084</v>
          </cell>
          <cell r="L1690" t="str">
            <v>828521</v>
          </cell>
          <cell r="M1690" t="str">
            <v/>
          </cell>
          <cell r="N1690" t="str">
            <v/>
          </cell>
          <cell r="O1690" t="str">
            <v/>
          </cell>
          <cell r="P1690" t="str">
            <v/>
          </cell>
          <cell r="Q1690" t="str">
            <v>X2CrNi18-9</v>
          </cell>
          <cell r="R1690" t="str">
            <v>EN 10088</v>
          </cell>
          <cell r="S1690" t="str">
            <v/>
          </cell>
          <cell r="T1690" t="str">
            <v/>
          </cell>
          <cell r="U1690" t="str">
            <v>BB20047130001</v>
          </cell>
          <cell r="V1690" t="str">
            <v>N52</v>
          </cell>
          <cell r="W1690" t="str">
            <v/>
          </cell>
          <cell r="X1690" t="str">
            <v/>
          </cell>
          <cell r="Y1690" t="str">
            <v/>
          </cell>
          <cell r="Z1690" t="str">
            <v/>
          </cell>
          <cell r="AA1690" t="str">
            <v/>
          </cell>
          <cell r="AB1690" t="str">
            <v>70000871</v>
          </cell>
          <cell r="AC1690">
            <v>1</v>
          </cell>
          <cell r="AD1690" t="str">
            <v/>
          </cell>
          <cell r="AE1690">
            <v>0</v>
          </cell>
          <cell r="AF1690" t="str">
            <v/>
          </cell>
          <cell r="AG1690" t="str">
            <v>70000871</v>
          </cell>
          <cell r="AH1690">
            <v>44916.973900462966</v>
          </cell>
          <cell r="AI1690" t="str">
            <v>N52</v>
          </cell>
          <cell r="AJ1690" t="str">
            <v>F</v>
          </cell>
          <cell r="AK1690" t="str">
            <v>A0</v>
          </cell>
        </row>
        <row r="1691">
          <cell r="A1691" t="str">
            <v>70000040828521</v>
          </cell>
          <cell r="B1691">
            <v>0</v>
          </cell>
          <cell r="C1691" t="e">
            <v>#N/A</v>
          </cell>
          <cell r="D1691" t="str">
            <v>EK65</v>
          </cell>
          <cell r="E1691" t="str">
            <v>706682</v>
          </cell>
          <cell r="F1691" t="str">
            <v>E</v>
          </cell>
          <cell r="G1691" t="str">
            <v>70000040</v>
          </cell>
          <cell r="H1691" t="str">
            <v>BOLT</v>
          </cell>
          <cell r="I1691">
            <v>180</v>
          </cell>
          <cell r="J1691" t="str">
            <v>Stk</v>
          </cell>
          <cell r="K1691">
            <v>45084</v>
          </cell>
          <cell r="L1691" t="str">
            <v>828521</v>
          </cell>
          <cell r="M1691" t="str">
            <v/>
          </cell>
          <cell r="N1691" t="str">
            <v/>
          </cell>
          <cell r="O1691" t="str">
            <v/>
          </cell>
          <cell r="P1691" t="str">
            <v/>
          </cell>
          <cell r="Q1691" t="str">
            <v>42CrMo4+QT</v>
          </cell>
          <cell r="R1691" t="str">
            <v>EN 10083</v>
          </cell>
          <cell r="S1691" t="str">
            <v/>
          </cell>
          <cell r="T1691" t="str">
            <v/>
          </cell>
          <cell r="U1691" t="str">
            <v>BB17945830001</v>
          </cell>
          <cell r="V1691" t="str">
            <v>B00</v>
          </cell>
          <cell r="W1691" t="str">
            <v>3.1</v>
          </cell>
          <cell r="X1691" t="str">
            <v/>
          </cell>
          <cell r="Y1691" t="str">
            <v/>
          </cell>
          <cell r="Z1691" t="str">
            <v/>
          </cell>
          <cell r="AA1691" t="str">
            <v/>
          </cell>
          <cell r="AB1691" t="str">
            <v>70000040</v>
          </cell>
          <cell r="AC1691">
            <v>1</v>
          </cell>
          <cell r="AD1691" t="str">
            <v/>
          </cell>
          <cell r="AE1691">
            <v>0</v>
          </cell>
          <cell r="AF1691" t="str">
            <v/>
          </cell>
          <cell r="AG1691" t="str">
            <v>70000040</v>
          </cell>
          <cell r="AH1691">
            <v>44960.98814814815</v>
          </cell>
          <cell r="AI1691" t="str">
            <v>B00</v>
          </cell>
          <cell r="AJ1691" t="str">
            <v>F</v>
          </cell>
          <cell r="AK1691" t="str">
            <v>A0</v>
          </cell>
        </row>
        <row r="1692">
          <cell r="A1692" t="str">
            <v>70000596828521</v>
          </cell>
          <cell r="B1692">
            <v>0</v>
          </cell>
          <cell r="C1692" t="e">
            <v>#N/A</v>
          </cell>
          <cell r="D1692" t="str">
            <v>EK65</v>
          </cell>
          <cell r="E1692" t="str">
            <v>706764</v>
          </cell>
          <cell r="F1692" t="str">
            <v>E</v>
          </cell>
          <cell r="G1692" t="str">
            <v>70000596</v>
          </cell>
          <cell r="H1692" t="str">
            <v>SUPPORT</v>
          </cell>
          <cell r="I1692">
            <v>1080</v>
          </cell>
          <cell r="J1692" t="str">
            <v>Stk</v>
          </cell>
          <cell r="K1692">
            <v>45084</v>
          </cell>
          <cell r="L1692" t="str">
            <v>828521</v>
          </cell>
          <cell r="M1692" t="str">
            <v/>
          </cell>
          <cell r="N1692" t="str">
            <v/>
          </cell>
          <cell r="O1692" t="str">
            <v/>
          </cell>
          <cell r="P1692" t="str">
            <v/>
          </cell>
          <cell r="Q1692" t="str">
            <v/>
          </cell>
          <cell r="R1692" t="str">
            <v/>
          </cell>
          <cell r="S1692" t="str">
            <v/>
          </cell>
          <cell r="T1692" t="str">
            <v/>
          </cell>
          <cell r="U1692" t="str">
            <v>BB20038410001</v>
          </cell>
          <cell r="V1692" t="str">
            <v>B00</v>
          </cell>
          <cell r="W1692" t="str">
            <v/>
          </cell>
          <cell r="X1692" t="str">
            <v/>
          </cell>
          <cell r="Y1692" t="str">
            <v/>
          </cell>
          <cell r="Z1692" t="str">
            <v/>
          </cell>
          <cell r="AA1692" t="str">
            <v/>
          </cell>
          <cell r="AB1692" t="str">
            <v>70000596</v>
          </cell>
          <cell r="AC1692">
            <v>1</v>
          </cell>
          <cell r="AD1692" t="str">
            <v/>
          </cell>
          <cell r="AE1692">
            <v>0</v>
          </cell>
          <cell r="AF1692" t="str">
            <v/>
          </cell>
          <cell r="AG1692" t="str">
            <v>70000596</v>
          </cell>
          <cell r="AH1692">
            <v>44960.997893518521</v>
          </cell>
          <cell r="AI1692" t="str">
            <v>B00</v>
          </cell>
          <cell r="AJ1692" t="str">
            <v>F</v>
          </cell>
          <cell r="AK1692" t="str">
            <v>--</v>
          </cell>
        </row>
        <row r="1693">
          <cell r="A1693" t="str">
            <v>70000598828521</v>
          </cell>
          <cell r="B1693">
            <v>0</v>
          </cell>
          <cell r="C1693" t="e">
            <v>#N/A</v>
          </cell>
          <cell r="D1693" t="str">
            <v>EK65</v>
          </cell>
          <cell r="E1693" t="str">
            <v>706765</v>
          </cell>
          <cell r="F1693" t="str">
            <v>E</v>
          </cell>
          <cell r="G1693" t="str">
            <v>70000598</v>
          </cell>
          <cell r="H1693" t="str">
            <v>VELCRO SUPPORT</v>
          </cell>
          <cell r="I1693">
            <v>630</v>
          </cell>
          <cell r="J1693" t="str">
            <v>Stk</v>
          </cell>
          <cell r="K1693">
            <v>45084</v>
          </cell>
          <cell r="L1693" t="str">
            <v>828521</v>
          </cell>
          <cell r="M1693" t="str">
            <v/>
          </cell>
          <cell r="N1693" t="str">
            <v/>
          </cell>
          <cell r="O1693" t="str">
            <v/>
          </cell>
          <cell r="P1693" t="str">
            <v/>
          </cell>
          <cell r="Q1693" t="str">
            <v/>
          </cell>
          <cell r="R1693" t="str">
            <v/>
          </cell>
          <cell r="S1693" t="str">
            <v/>
          </cell>
          <cell r="T1693" t="str">
            <v/>
          </cell>
          <cell r="U1693" t="str">
            <v>BB20038410014</v>
          </cell>
          <cell r="V1693" t="str">
            <v>B00</v>
          </cell>
          <cell r="W1693" t="str">
            <v/>
          </cell>
          <cell r="X1693" t="str">
            <v/>
          </cell>
          <cell r="Y1693" t="str">
            <v/>
          </cell>
          <cell r="Z1693" t="str">
            <v/>
          </cell>
          <cell r="AA1693" t="str">
            <v/>
          </cell>
          <cell r="AB1693" t="str">
            <v>70000598</v>
          </cell>
          <cell r="AC1693">
            <v>1</v>
          </cell>
          <cell r="AD1693" t="str">
            <v/>
          </cell>
          <cell r="AE1693">
            <v>0</v>
          </cell>
          <cell r="AF1693" t="str">
            <v/>
          </cell>
          <cell r="AG1693" t="str">
            <v>70000598</v>
          </cell>
          <cell r="AH1693">
            <v>44960.997928240744</v>
          </cell>
          <cell r="AI1693" t="str">
            <v>B00</v>
          </cell>
          <cell r="AJ1693" t="str">
            <v>F</v>
          </cell>
          <cell r="AK1693" t="str">
            <v>--</v>
          </cell>
        </row>
        <row r="1694">
          <cell r="A1694" t="str">
            <v>70000599828521</v>
          </cell>
          <cell r="B1694">
            <v>0</v>
          </cell>
          <cell r="C1694" t="e">
            <v>#N/A</v>
          </cell>
          <cell r="D1694" t="str">
            <v>EK65</v>
          </cell>
          <cell r="E1694" t="str">
            <v>706766</v>
          </cell>
          <cell r="F1694" t="str">
            <v>E</v>
          </cell>
          <cell r="G1694" t="str">
            <v>70000599</v>
          </cell>
          <cell r="H1694" t="str">
            <v>PLATE</v>
          </cell>
          <cell r="I1694">
            <v>450</v>
          </cell>
          <cell r="J1694" t="str">
            <v>Stk</v>
          </cell>
          <cell r="K1694">
            <v>45084</v>
          </cell>
          <cell r="L1694" t="str">
            <v>828521</v>
          </cell>
          <cell r="M1694" t="str">
            <v/>
          </cell>
          <cell r="N1694" t="str">
            <v/>
          </cell>
          <cell r="O1694" t="str">
            <v/>
          </cell>
          <cell r="P1694" t="str">
            <v/>
          </cell>
          <cell r="Q1694" t="str">
            <v/>
          </cell>
          <cell r="R1694" t="str">
            <v/>
          </cell>
          <cell r="S1694" t="str">
            <v/>
          </cell>
          <cell r="T1694" t="str">
            <v/>
          </cell>
          <cell r="U1694" t="str">
            <v>BB20038410008</v>
          </cell>
          <cell r="V1694" t="str">
            <v>B00</v>
          </cell>
          <cell r="W1694" t="str">
            <v/>
          </cell>
          <cell r="X1694" t="str">
            <v/>
          </cell>
          <cell r="Y1694" t="str">
            <v/>
          </cell>
          <cell r="Z1694" t="str">
            <v/>
          </cell>
          <cell r="AA1694" t="str">
            <v/>
          </cell>
          <cell r="AB1694" t="str">
            <v>70000599</v>
          </cell>
          <cell r="AC1694">
            <v>1</v>
          </cell>
          <cell r="AD1694" t="str">
            <v/>
          </cell>
          <cell r="AE1694">
            <v>0</v>
          </cell>
          <cell r="AF1694" t="str">
            <v/>
          </cell>
          <cell r="AG1694" t="str">
            <v>70000599</v>
          </cell>
          <cell r="AH1694">
            <v>44960.99795138889</v>
          </cell>
          <cell r="AI1694" t="str">
            <v>B00</v>
          </cell>
          <cell r="AJ1694" t="str">
            <v>F</v>
          </cell>
          <cell r="AK1694" t="str">
            <v>--</v>
          </cell>
        </row>
        <row r="1695">
          <cell r="A1695" t="str">
            <v>70000616828521</v>
          </cell>
          <cell r="B1695">
            <v>0</v>
          </cell>
          <cell r="C1695" t="e">
            <v>#N/A</v>
          </cell>
          <cell r="D1695" t="str">
            <v>EK65</v>
          </cell>
          <cell r="E1695" t="str">
            <v>706768</v>
          </cell>
          <cell r="F1695" t="str">
            <v>E</v>
          </cell>
          <cell r="G1695" t="str">
            <v>70000616</v>
          </cell>
          <cell r="H1695" t="str">
            <v>BRACKET ASSEMBLY</v>
          </cell>
          <cell r="I1695">
            <v>90</v>
          </cell>
          <cell r="J1695" t="str">
            <v>Stk</v>
          </cell>
          <cell r="K1695">
            <v>45084</v>
          </cell>
          <cell r="L1695" t="str">
            <v>828521</v>
          </cell>
          <cell r="M1695" t="str">
            <v/>
          </cell>
          <cell r="N1695" t="str">
            <v/>
          </cell>
          <cell r="O1695" t="str">
            <v/>
          </cell>
          <cell r="P1695" t="str">
            <v/>
          </cell>
          <cell r="Q1695" t="str">
            <v/>
          </cell>
          <cell r="R1695" t="str">
            <v/>
          </cell>
          <cell r="S1695" t="str">
            <v/>
          </cell>
          <cell r="T1695" t="str">
            <v/>
          </cell>
          <cell r="U1695" t="str">
            <v>BB20042530200</v>
          </cell>
          <cell r="V1695" t="str">
            <v>B00</v>
          </cell>
          <cell r="W1695" t="str">
            <v/>
          </cell>
          <cell r="X1695" t="str">
            <v/>
          </cell>
          <cell r="Y1695" t="str">
            <v/>
          </cell>
          <cell r="Z1695" t="str">
            <v/>
          </cell>
          <cell r="AA1695" t="str">
            <v/>
          </cell>
          <cell r="AB1695" t="str">
            <v>70000616</v>
          </cell>
          <cell r="AC1695">
            <v>1</v>
          </cell>
          <cell r="AD1695" t="str">
            <v/>
          </cell>
          <cell r="AE1695">
            <v>0</v>
          </cell>
          <cell r="AF1695" t="str">
            <v/>
          </cell>
          <cell r="AG1695" t="str">
            <v>70000616</v>
          </cell>
          <cell r="AH1695">
            <v>44960.998333333337</v>
          </cell>
          <cell r="AI1695" t="str">
            <v>B00</v>
          </cell>
          <cell r="AJ1695" t="str">
            <v>F</v>
          </cell>
          <cell r="AK1695" t="str">
            <v>--</v>
          </cell>
        </row>
        <row r="1696">
          <cell r="A1696" t="str">
            <v>70001181828521</v>
          </cell>
          <cell r="B1696">
            <v>0</v>
          </cell>
          <cell r="C1696" t="e">
            <v>#N/A</v>
          </cell>
          <cell r="D1696" t="str">
            <v>EK65</v>
          </cell>
          <cell r="E1696" t="str">
            <v>706821</v>
          </cell>
          <cell r="F1696" t="str">
            <v>E</v>
          </cell>
          <cell r="G1696" t="str">
            <v>70001181</v>
          </cell>
          <cell r="H1696" t="str">
            <v>FOLDED PLATE</v>
          </cell>
          <cell r="I1696">
            <v>90</v>
          </cell>
          <cell r="J1696" t="str">
            <v>Stk</v>
          </cell>
          <cell r="K1696">
            <v>45084</v>
          </cell>
          <cell r="L1696" t="str">
            <v>828521</v>
          </cell>
          <cell r="M1696" t="str">
            <v/>
          </cell>
          <cell r="N1696" t="str">
            <v/>
          </cell>
          <cell r="O1696" t="str">
            <v/>
          </cell>
          <cell r="P1696" t="str">
            <v/>
          </cell>
          <cell r="Q1696" t="str">
            <v/>
          </cell>
          <cell r="R1696" t="str">
            <v/>
          </cell>
          <cell r="S1696" t="str">
            <v/>
          </cell>
          <cell r="T1696" t="str">
            <v/>
          </cell>
          <cell r="U1696" t="str">
            <v>BB20020010201</v>
          </cell>
          <cell r="V1696" t="str">
            <v>B00</v>
          </cell>
          <cell r="W1696" t="str">
            <v/>
          </cell>
          <cell r="X1696" t="str">
            <v/>
          </cell>
          <cell r="Y1696" t="str">
            <v/>
          </cell>
          <cell r="Z1696" t="str">
            <v/>
          </cell>
          <cell r="AA1696" t="str">
            <v/>
          </cell>
          <cell r="AB1696" t="str">
            <v>70001181</v>
          </cell>
          <cell r="AC1696">
            <v>1</v>
          </cell>
          <cell r="AD1696" t="str">
            <v/>
          </cell>
          <cell r="AE1696">
            <v>0</v>
          </cell>
          <cell r="AF1696" t="str">
            <v/>
          </cell>
          <cell r="AG1696" t="str">
            <v>70001181</v>
          </cell>
          <cell r="AH1696">
            <v>44961.005567129629</v>
          </cell>
          <cell r="AI1696" t="str">
            <v>B00</v>
          </cell>
          <cell r="AJ1696" t="str">
            <v>F</v>
          </cell>
          <cell r="AK1696" t="str">
            <v>--</v>
          </cell>
        </row>
        <row r="1697">
          <cell r="A1697" t="str">
            <v>70001182828521</v>
          </cell>
          <cell r="B1697">
            <v>0</v>
          </cell>
          <cell r="C1697" t="e">
            <v>#N/A</v>
          </cell>
          <cell r="D1697" t="str">
            <v>EK65</v>
          </cell>
          <cell r="E1697" t="str">
            <v>706822</v>
          </cell>
          <cell r="F1697" t="str">
            <v>E</v>
          </cell>
          <cell r="G1697" t="str">
            <v>70001182</v>
          </cell>
          <cell r="H1697" t="str">
            <v>PLATE</v>
          </cell>
          <cell r="I1697">
            <v>90</v>
          </cell>
          <cell r="J1697" t="str">
            <v>Stk</v>
          </cell>
          <cell r="K1697">
            <v>45084</v>
          </cell>
          <cell r="L1697" t="str">
            <v>828521</v>
          </cell>
          <cell r="M1697" t="str">
            <v/>
          </cell>
          <cell r="N1697" t="str">
            <v/>
          </cell>
          <cell r="O1697" t="str">
            <v/>
          </cell>
          <cell r="P1697" t="str">
            <v/>
          </cell>
          <cell r="Q1697" t="str">
            <v/>
          </cell>
          <cell r="R1697" t="str">
            <v/>
          </cell>
          <cell r="S1697" t="str">
            <v/>
          </cell>
          <cell r="T1697" t="str">
            <v/>
          </cell>
          <cell r="U1697" t="str">
            <v>BB20020010206</v>
          </cell>
          <cell r="V1697" t="str">
            <v>B00</v>
          </cell>
          <cell r="W1697" t="str">
            <v/>
          </cell>
          <cell r="X1697" t="str">
            <v/>
          </cell>
          <cell r="Y1697" t="str">
            <v/>
          </cell>
          <cell r="Z1697" t="str">
            <v/>
          </cell>
          <cell r="AA1697" t="str">
            <v/>
          </cell>
          <cell r="AB1697" t="str">
            <v>70001182</v>
          </cell>
          <cell r="AC1697">
            <v>1</v>
          </cell>
          <cell r="AD1697" t="str">
            <v/>
          </cell>
          <cell r="AE1697">
            <v>0</v>
          </cell>
          <cell r="AF1697" t="str">
            <v/>
          </cell>
          <cell r="AG1697" t="str">
            <v>70001182</v>
          </cell>
          <cell r="AH1697">
            <v>44961.005578703705</v>
          </cell>
          <cell r="AI1697" t="str">
            <v>B00</v>
          </cell>
          <cell r="AJ1697" t="str">
            <v>F</v>
          </cell>
          <cell r="AK1697" t="str">
            <v>--</v>
          </cell>
        </row>
        <row r="1698">
          <cell r="A1698" t="str">
            <v>70001183828521</v>
          </cell>
          <cell r="B1698">
            <v>0</v>
          </cell>
          <cell r="C1698" t="e">
            <v>#N/A</v>
          </cell>
          <cell r="D1698" t="str">
            <v>EK65</v>
          </cell>
          <cell r="E1698" t="str">
            <v>706823</v>
          </cell>
          <cell r="F1698" t="str">
            <v>E</v>
          </cell>
          <cell r="G1698" t="str">
            <v>70001183</v>
          </cell>
          <cell r="H1698" t="str">
            <v>FOLDED PLATE</v>
          </cell>
          <cell r="I1698">
            <v>90</v>
          </cell>
          <cell r="J1698" t="str">
            <v>Stk</v>
          </cell>
          <cell r="K1698">
            <v>45084</v>
          </cell>
          <cell r="L1698" t="str">
            <v>828521</v>
          </cell>
          <cell r="M1698" t="str">
            <v/>
          </cell>
          <cell r="N1698" t="str">
            <v/>
          </cell>
          <cell r="O1698" t="str">
            <v/>
          </cell>
          <cell r="P1698" t="str">
            <v/>
          </cell>
          <cell r="Q1698" t="str">
            <v/>
          </cell>
          <cell r="R1698" t="str">
            <v/>
          </cell>
          <cell r="S1698" t="str">
            <v/>
          </cell>
          <cell r="T1698" t="str">
            <v/>
          </cell>
          <cell r="U1698" t="str">
            <v>BB20020010203</v>
          </cell>
          <cell r="V1698" t="str">
            <v>B00</v>
          </cell>
          <cell r="W1698" t="str">
            <v/>
          </cell>
          <cell r="X1698" t="str">
            <v/>
          </cell>
          <cell r="Y1698" t="str">
            <v/>
          </cell>
          <cell r="Z1698" t="str">
            <v/>
          </cell>
          <cell r="AA1698" t="str">
            <v/>
          </cell>
          <cell r="AB1698" t="str">
            <v>70001183</v>
          </cell>
          <cell r="AC1698">
            <v>1</v>
          </cell>
          <cell r="AD1698" t="str">
            <v/>
          </cell>
          <cell r="AE1698">
            <v>0</v>
          </cell>
          <cell r="AF1698" t="str">
            <v/>
          </cell>
          <cell r="AG1698" t="str">
            <v>70001183</v>
          </cell>
          <cell r="AH1698">
            <v>44961.005590277775</v>
          </cell>
          <cell r="AI1698" t="str">
            <v>B00</v>
          </cell>
          <cell r="AJ1698" t="str">
            <v>F</v>
          </cell>
          <cell r="AK1698" t="str">
            <v>--</v>
          </cell>
        </row>
        <row r="1699">
          <cell r="A1699" t="str">
            <v>70001184828521</v>
          </cell>
          <cell r="B1699">
            <v>0</v>
          </cell>
          <cell r="C1699" t="e">
            <v>#N/A</v>
          </cell>
          <cell r="D1699" t="str">
            <v>EK65</v>
          </cell>
          <cell r="E1699" t="str">
            <v>706824</v>
          </cell>
          <cell r="F1699" t="str">
            <v>E</v>
          </cell>
          <cell r="G1699" t="str">
            <v>70001184</v>
          </cell>
          <cell r="H1699" t="str">
            <v>FOLDED PLATE</v>
          </cell>
          <cell r="I1699">
            <v>90</v>
          </cell>
          <cell r="J1699" t="str">
            <v>Stk</v>
          </cell>
          <cell r="K1699">
            <v>45084</v>
          </cell>
          <cell r="L1699" t="str">
            <v>828521</v>
          </cell>
          <cell r="M1699" t="str">
            <v/>
          </cell>
          <cell r="N1699" t="str">
            <v/>
          </cell>
          <cell r="O1699" t="str">
            <v/>
          </cell>
          <cell r="P1699" t="str">
            <v/>
          </cell>
          <cell r="Q1699" t="str">
            <v/>
          </cell>
          <cell r="R1699" t="str">
            <v/>
          </cell>
          <cell r="S1699" t="str">
            <v/>
          </cell>
          <cell r="T1699" t="str">
            <v/>
          </cell>
          <cell r="U1699" t="str">
            <v>BB20020010204</v>
          </cell>
          <cell r="V1699" t="str">
            <v>B00</v>
          </cell>
          <cell r="W1699" t="str">
            <v/>
          </cell>
          <cell r="X1699" t="str">
            <v/>
          </cell>
          <cell r="Y1699" t="str">
            <v/>
          </cell>
          <cell r="Z1699" t="str">
            <v/>
          </cell>
          <cell r="AA1699" t="str">
            <v/>
          </cell>
          <cell r="AB1699" t="str">
            <v>70001184</v>
          </cell>
          <cell r="AC1699">
            <v>1</v>
          </cell>
          <cell r="AD1699" t="str">
            <v/>
          </cell>
          <cell r="AE1699">
            <v>0</v>
          </cell>
          <cell r="AF1699" t="str">
            <v/>
          </cell>
          <cell r="AG1699" t="str">
            <v>70001184</v>
          </cell>
          <cell r="AH1699">
            <v>44961.005613425928</v>
          </cell>
          <cell r="AI1699" t="str">
            <v>B00</v>
          </cell>
          <cell r="AJ1699" t="str">
            <v>F</v>
          </cell>
          <cell r="AK1699" t="str">
            <v>--</v>
          </cell>
        </row>
        <row r="1700">
          <cell r="A1700" t="str">
            <v>70001226828521</v>
          </cell>
          <cell r="B1700">
            <v>0</v>
          </cell>
          <cell r="C1700" t="e">
            <v>#N/A</v>
          </cell>
          <cell r="D1700" t="str">
            <v>EK65</v>
          </cell>
          <cell r="E1700" t="str">
            <v>706831</v>
          </cell>
          <cell r="F1700" t="str">
            <v>E</v>
          </cell>
          <cell r="G1700" t="str">
            <v>70001226</v>
          </cell>
          <cell r="H1700" t="str">
            <v>SHIM</v>
          </cell>
          <cell r="I1700">
            <v>900</v>
          </cell>
          <cell r="J1700" t="str">
            <v>Stk</v>
          </cell>
          <cell r="K1700">
            <v>45084</v>
          </cell>
          <cell r="L1700" t="str">
            <v>828521</v>
          </cell>
          <cell r="M1700" t="str">
            <v/>
          </cell>
          <cell r="N1700" t="str">
            <v/>
          </cell>
          <cell r="O1700" t="str">
            <v/>
          </cell>
          <cell r="P1700" t="str">
            <v/>
          </cell>
          <cell r="Q1700" t="str">
            <v/>
          </cell>
          <cell r="R1700" t="str">
            <v/>
          </cell>
          <cell r="S1700" t="str">
            <v/>
          </cell>
          <cell r="T1700" t="str">
            <v/>
          </cell>
          <cell r="U1700" t="str">
            <v>BB20021510001</v>
          </cell>
          <cell r="V1700" t="str">
            <v>B00</v>
          </cell>
          <cell r="W1700" t="str">
            <v/>
          </cell>
          <cell r="X1700" t="str">
            <v/>
          </cell>
          <cell r="Y1700" t="str">
            <v/>
          </cell>
          <cell r="Z1700" t="str">
            <v/>
          </cell>
          <cell r="AA1700" t="str">
            <v/>
          </cell>
          <cell r="AB1700" t="str">
            <v>70001226</v>
          </cell>
          <cell r="AC1700">
            <v>1</v>
          </cell>
          <cell r="AD1700" t="str">
            <v/>
          </cell>
          <cell r="AE1700">
            <v>0</v>
          </cell>
          <cell r="AF1700" t="str">
            <v/>
          </cell>
          <cell r="AG1700" t="str">
            <v>70001226</v>
          </cell>
          <cell r="AH1700">
            <v>44961.006273148145</v>
          </cell>
          <cell r="AI1700" t="str">
            <v>B00</v>
          </cell>
          <cell r="AJ1700" t="str">
            <v>F</v>
          </cell>
          <cell r="AK1700" t="str">
            <v>--</v>
          </cell>
        </row>
        <row r="1701">
          <cell r="A1701" t="str">
            <v>70001441828521</v>
          </cell>
          <cell r="B1701">
            <v>0</v>
          </cell>
          <cell r="C1701" t="e">
            <v>#N/A</v>
          </cell>
          <cell r="D1701" t="str">
            <v>EK65</v>
          </cell>
          <cell r="E1701" t="str">
            <v>706844</v>
          </cell>
          <cell r="F1701" t="str">
            <v>E</v>
          </cell>
          <cell r="G1701" t="str">
            <v>70001441</v>
          </cell>
          <cell r="H1701" t="str">
            <v>PLATE</v>
          </cell>
          <cell r="I1701">
            <v>270</v>
          </cell>
          <cell r="J1701" t="str">
            <v>Stk</v>
          </cell>
          <cell r="K1701">
            <v>45084</v>
          </cell>
          <cell r="L1701" t="str">
            <v>828521</v>
          </cell>
          <cell r="M1701" t="str">
            <v/>
          </cell>
          <cell r="N1701" t="str">
            <v/>
          </cell>
          <cell r="O1701" t="str">
            <v/>
          </cell>
          <cell r="P1701" t="str">
            <v/>
          </cell>
          <cell r="Q1701" t="str">
            <v/>
          </cell>
          <cell r="R1701" t="str">
            <v/>
          </cell>
          <cell r="S1701" t="str">
            <v/>
          </cell>
          <cell r="T1701" t="str">
            <v/>
          </cell>
          <cell r="U1701" t="str">
            <v>BB21525611804</v>
          </cell>
          <cell r="V1701" t="str">
            <v>B00</v>
          </cell>
          <cell r="W1701" t="str">
            <v/>
          </cell>
          <cell r="X1701" t="str">
            <v/>
          </cell>
          <cell r="Y1701" t="str">
            <v/>
          </cell>
          <cell r="Z1701" t="str">
            <v/>
          </cell>
          <cell r="AA1701" t="str">
            <v/>
          </cell>
          <cell r="AB1701" t="str">
            <v>70001441</v>
          </cell>
          <cell r="AC1701">
            <v>1</v>
          </cell>
          <cell r="AD1701" t="str">
            <v/>
          </cell>
          <cell r="AE1701">
            <v>0</v>
          </cell>
          <cell r="AF1701" t="str">
            <v/>
          </cell>
          <cell r="AG1701" t="str">
            <v>70001441</v>
          </cell>
          <cell r="AH1701">
            <v>44961.008437500001</v>
          </cell>
          <cell r="AI1701" t="str">
            <v>B00</v>
          </cell>
          <cell r="AJ1701" t="str">
            <v>F</v>
          </cell>
          <cell r="AK1701" t="str">
            <v>--</v>
          </cell>
        </row>
        <row r="1702">
          <cell r="A1702" t="str">
            <v>70001442828521</v>
          </cell>
          <cell r="B1702" t="str">
            <v>angefragt 24.03.23</v>
          </cell>
          <cell r="C1702" t="e">
            <v>#N/A</v>
          </cell>
          <cell r="D1702" t="str">
            <v>EK65</v>
          </cell>
          <cell r="E1702" t="str">
            <v>723430</v>
          </cell>
          <cell r="F1702" t="str">
            <v>E</v>
          </cell>
          <cell r="G1702" t="str">
            <v>70001442</v>
          </cell>
          <cell r="H1702" t="str">
            <v>BRACKET ASSEMBLY</v>
          </cell>
          <cell r="I1702">
            <v>90</v>
          </cell>
          <cell r="J1702" t="str">
            <v>Stk</v>
          </cell>
          <cell r="K1702">
            <v>45084</v>
          </cell>
          <cell r="L1702" t="str">
            <v>828521</v>
          </cell>
          <cell r="M1702" t="str">
            <v/>
          </cell>
          <cell r="N1702" t="str">
            <v/>
          </cell>
          <cell r="O1702" t="str">
            <v/>
          </cell>
          <cell r="P1702" t="str">
            <v/>
          </cell>
          <cell r="Q1702" t="str">
            <v/>
          </cell>
          <cell r="R1702" t="str">
            <v/>
          </cell>
          <cell r="S1702" t="str">
            <v/>
          </cell>
          <cell r="T1702" t="str">
            <v/>
          </cell>
          <cell r="U1702" t="str">
            <v>BB20025612900</v>
          </cell>
          <cell r="V1702" t="str">
            <v>B00</v>
          </cell>
          <cell r="W1702" t="str">
            <v/>
          </cell>
          <cell r="X1702" t="str">
            <v/>
          </cell>
          <cell r="Y1702" t="str">
            <v/>
          </cell>
          <cell r="Z1702" t="str">
            <v/>
          </cell>
          <cell r="AA1702" t="str">
            <v/>
          </cell>
          <cell r="AB1702" t="str">
            <v>70001442</v>
          </cell>
          <cell r="AC1702">
            <v>1</v>
          </cell>
          <cell r="AD1702" t="str">
            <v/>
          </cell>
          <cell r="AE1702">
            <v>0</v>
          </cell>
          <cell r="AF1702" t="str">
            <v/>
          </cell>
          <cell r="AG1702" t="str">
            <v>70001442</v>
          </cell>
          <cell r="AH1702">
            <v>45016.919594907406</v>
          </cell>
          <cell r="AI1702" t="str">
            <v>B00</v>
          </cell>
          <cell r="AJ1702" t="str">
            <v>F</v>
          </cell>
          <cell r="AK1702" t="str">
            <v>A0</v>
          </cell>
        </row>
        <row r="1703">
          <cell r="A1703" t="str">
            <v>70000128828521</v>
          </cell>
          <cell r="B1703">
            <v>0</v>
          </cell>
          <cell r="C1703" t="e">
            <v>#N/A</v>
          </cell>
          <cell r="D1703" t="str">
            <v>EK65</v>
          </cell>
          <cell r="E1703" t="str">
            <v>684669</v>
          </cell>
          <cell r="F1703" t="str">
            <v>E</v>
          </cell>
          <cell r="G1703" t="str">
            <v>70000128</v>
          </cell>
          <cell r="H1703" t="str">
            <v>PERFORATED TRAY</v>
          </cell>
          <cell r="I1703">
            <v>90</v>
          </cell>
          <cell r="J1703" t="str">
            <v>Stk</v>
          </cell>
          <cell r="K1703">
            <v>45085</v>
          </cell>
          <cell r="L1703" t="str">
            <v>828521</v>
          </cell>
          <cell r="M1703" t="str">
            <v/>
          </cell>
          <cell r="N1703" t="str">
            <v/>
          </cell>
          <cell r="O1703" t="str">
            <v/>
          </cell>
          <cell r="P1703" t="str">
            <v/>
          </cell>
          <cell r="Q1703" t="str">
            <v/>
          </cell>
          <cell r="R1703" t="str">
            <v/>
          </cell>
          <cell r="S1703" t="str">
            <v/>
          </cell>
          <cell r="T1703" t="str">
            <v/>
          </cell>
          <cell r="U1703" t="str">
            <v>BB20030930002</v>
          </cell>
          <cell r="V1703" t="str">
            <v>E19</v>
          </cell>
          <cell r="W1703" t="str">
            <v/>
          </cell>
          <cell r="X1703" t="str">
            <v/>
          </cell>
          <cell r="Y1703" t="str">
            <v/>
          </cell>
          <cell r="Z1703" t="str">
            <v/>
          </cell>
          <cell r="AA1703" t="str">
            <v/>
          </cell>
          <cell r="AB1703" t="str">
            <v>70000128</v>
          </cell>
          <cell r="AC1703">
            <v>1</v>
          </cell>
          <cell r="AD1703" t="str">
            <v/>
          </cell>
          <cell r="AE1703">
            <v>0</v>
          </cell>
          <cell r="AF1703" t="str">
            <v/>
          </cell>
          <cell r="AG1703" t="str">
            <v>70000128</v>
          </cell>
          <cell r="AH1703">
            <v>44910.908587962964</v>
          </cell>
          <cell r="AI1703" t="str">
            <v>E19</v>
          </cell>
          <cell r="AJ1703" t="str">
            <v>F</v>
          </cell>
          <cell r="AK1703" t="str">
            <v>--</v>
          </cell>
        </row>
        <row r="1704">
          <cell r="A1704" t="str">
            <v>70000129828521</v>
          </cell>
          <cell r="B1704">
            <v>0</v>
          </cell>
          <cell r="C1704" t="e">
            <v>#N/A</v>
          </cell>
          <cell r="D1704" t="str">
            <v>EK65</v>
          </cell>
          <cell r="E1704" t="str">
            <v>684670</v>
          </cell>
          <cell r="F1704" t="str">
            <v>E</v>
          </cell>
          <cell r="G1704" t="str">
            <v>70000129</v>
          </cell>
          <cell r="H1704" t="str">
            <v>PERFORATED TRAY</v>
          </cell>
          <cell r="I1704">
            <v>45</v>
          </cell>
          <cell r="J1704" t="str">
            <v>Stk</v>
          </cell>
          <cell r="K1704">
            <v>45085</v>
          </cell>
          <cell r="L1704" t="str">
            <v>828521</v>
          </cell>
          <cell r="M1704" t="str">
            <v/>
          </cell>
          <cell r="N1704" t="str">
            <v/>
          </cell>
          <cell r="O1704" t="str">
            <v/>
          </cell>
          <cell r="P1704" t="str">
            <v/>
          </cell>
          <cell r="Q1704" t="str">
            <v/>
          </cell>
          <cell r="R1704" t="str">
            <v/>
          </cell>
          <cell r="S1704" t="str">
            <v/>
          </cell>
          <cell r="T1704" t="str">
            <v/>
          </cell>
          <cell r="U1704" t="str">
            <v>BB20030930003</v>
          </cell>
          <cell r="V1704" t="str">
            <v>E19</v>
          </cell>
          <cell r="W1704" t="str">
            <v/>
          </cell>
          <cell r="X1704" t="str">
            <v/>
          </cell>
          <cell r="Y1704" t="str">
            <v/>
          </cell>
          <cell r="Z1704" t="str">
            <v/>
          </cell>
          <cell r="AA1704" t="str">
            <v/>
          </cell>
          <cell r="AB1704" t="str">
            <v>70000129</v>
          </cell>
          <cell r="AC1704">
            <v>1</v>
          </cell>
          <cell r="AD1704" t="str">
            <v/>
          </cell>
          <cell r="AE1704">
            <v>0</v>
          </cell>
          <cell r="AF1704" t="str">
            <v/>
          </cell>
          <cell r="AG1704" t="str">
            <v>70000129</v>
          </cell>
          <cell r="AH1704">
            <v>44910.908587962964</v>
          </cell>
          <cell r="AI1704" t="str">
            <v>E19</v>
          </cell>
          <cell r="AJ1704" t="str">
            <v>F</v>
          </cell>
          <cell r="AK1704" t="str">
            <v>--</v>
          </cell>
        </row>
        <row r="1705">
          <cell r="A1705" t="str">
            <v>70000130828521</v>
          </cell>
          <cell r="B1705">
            <v>0</v>
          </cell>
          <cell r="C1705" t="e">
            <v>#N/A</v>
          </cell>
          <cell r="D1705" t="str">
            <v>EK65</v>
          </cell>
          <cell r="E1705" t="str">
            <v>684671</v>
          </cell>
          <cell r="F1705" t="str">
            <v>E</v>
          </cell>
          <cell r="G1705" t="str">
            <v>70000130</v>
          </cell>
          <cell r="H1705" t="str">
            <v>PERFORATED TRAY</v>
          </cell>
          <cell r="I1705">
            <v>45</v>
          </cell>
          <cell r="J1705" t="str">
            <v>Stk</v>
          </cell>
          <cell r="K1705">
            <v>45085</v>
          </cell>
          <cell r="L1705" t="str">
            <v>828521</v>
          </cell>
          <cell r="M1705" t="str">
            <v/>
          </cell>
          <cell r="N1705" t="str">
            <v/>
          </cell>
          <cell r="O1705" t="str">
            <v/>
          </cell>
          <cell r="P1705" t="str">
            <v/>
          </cell>
          <cell r="Q1705" t="str">
            <v/>
          </cell>
          <cell r="R1705" t="str">
            <v/>
          </cell>
          <cell r="S1705" t="str">
            <v/>
          </cell>
          <cell r="T1705" t="str">
            <v/>
          </cell>
          <cell r="U1705" t="str">
            <v>BB20030930004</v>
          </cell>
          <cell r="V1705" t="str">
            <v>E19</v>
          </cell>
          <cell r="W1705" t="str">
            <v/>
          </cell>
          <cell r="X1705" t="str">
            <v/>
          </cell>
          <cell r="Y1705" t="str">
            <v/>
          </cell>
          <cell r="Z1705" t="str">
            <v/>
          </cell>
          <cell r="AA1705" t="str">
            <v/>
          </cell>
          <cell r="AB1705" t="str">
            <v>70000130</v>
          </cell>
          <cell r="AC1705">
            <v>1</v>
          </cell>
          <cell r="AD1705" t="str">
            <v/>
          </cell>
          <cell r="AE1705">
            <v>0</v>
          </cell>
          <cell r="AF1705" t="str">
            <v/>
          </cell>
          <cell r="AG1705" t="str">
            <v>70000130</v>
          </cell>
          <cell r="AH1705">
            <v>44910.908599537041</v>
          </cell>
          <cell r="AI1705" t="str">
            <v>E19</v>
          </cell>
          <cell r="AJ1705" t="str">
            <v>F</v>
          </cell>
          <cell r="AK1705" t="str">
            <v>--</v>
          </cell>
        </row>
        <row r="1706">
          <cell r="A1706" t="str">
            <v>70000131828521</v>
          </cell>
          <cell r="B1706">
            <v>0</v>
          </cell>
          <cell r="C1706" t="e">
            <v>#N/A</v>
          </cell>
          <cell r="D1706" t="str">
            <v>EK65</v>
          </cell>
          <cell r="E1706" t="str">
            <v>706698</v>
          </cell>
          <cell r="F1706" t="str">
            <v>E</v>
          </cell>
          <cell r="G1706" t="str">
            <v>70000131</v>
          </cell>
          <cell r="H1706" t="str">
            <v>BRACKET</v>
          </cell>
          <cell r="I1706">
            <v>90</v>
          </cell>
          <cell r="J1706" t="str">
            <v>Stk</v>
          </cell>
          <cell r="K1706">
            <v>45085</v>
          </cell>
          <cell r="L1706" t="str">
            <v>828521</v>
          </cell>
          <cell r="M1706" t="str">
            <v/>
          </cell>
          <cell r="N1706" t="str">
            <v/>
          </cell>
          <cell r="O1706" t="str">
            <v/>
          </cell>
          <cell r="P1706" t="str">
            <v/>
          </cell>
          <cell r="Q1706" t="str">
            <v>X2CrNi18-9</v>
          </cell>
          <cell r="R1706" t="str">
            <v>EN 10088</v>
          </cell>
          <cell r="S1706" t="str">
            <v/>
          </cell>
          <cell r="T1706" t="str">
            <v/>
          </cell>
          <cell r="U1706" t="str">
            <v>BB20030930005</v>
          </cell>
          <cell r="V1706" t="str">
            <v>B00</v>
          </cell>
          <cell r="W1706" t="str">
            <v/>
          </cell>
          <cell r="X1706" t="str">
            <v/>
          </cell>
          <cell r="Y1706" t="str">
            <v/>
          </cell>
          <cell r="Z1706" t="str">
            <v/>
          </cell>
          <cell r="AA1706" t="str">
            <v/>
          </cell>
          <cell r="AB1706" t="str">
            <v>70000131</v>
          </cell>
          <cell r="AC1706">
            <v>1</v>
          </cell>
          <cell r="AD1706" t="str">
            <v/>
          </cell>
          <cell r="AE1706">
            <v>0</v>
          </cell>
          <cell r="AF1706" t="str">
            <v/>
          </cell>
          <cell r="AG1706" t="str">
            <v>70000131</v>
          </cell>
          <cell r="AH1706">
            <v>44960.990173611113</v>
          </cell>
          <cell r="AI1706" t="str">
            <v>B00</v>
          </cell>
          <cell r="AJ1706" t="str">
            <v>F</v>
          </cell>
          <cell r="AK1706" t="str">
            <v>A0</v>
          </cell>
        </row>
        <row r="1707">
          <cell r="A1707" t="str">
            <v>70000462828521</v>
          </cell>
          <cell r="B1707">
            <v>0</v>
          </cell>
          <cell r="C1707" t="e">
            <v>#N/A</v>
          </cell>
          <cell r="D1707" t="str">
            <v>EK65</v>
          </cell>
          <cell r="E1707" t="str">
            <v>706734</v>
          </cell>
          <cell r="F1707" t="str">
            <v>E</v>
          </cell>
          <cell r="G1707" t="str">
            <v>70000462</v>
          </cell>
          <cell r="H1707" t="str">
            <v>SUPPORT</v>
          </cell>
          <cell r="I1707">
            <v>720</v>
          </cell>
          <cell r="J1707" t="str">
            <v>Stk</v>
          </cell>
          <cell r="K1707">
            <v>45085</v>
          </cell>
          <cell r="L1707" t="str">
            <v>828521</v>
          </cell>
          <cell r="M1707" t="str">
            <v/>
          </cell>
          <cell r="N1707" t="str">
            <v/>
          </cell>
          <cell r="O1707" t="str">
            <v/>
          </cell>
          <cell r="P1707" t="str">
            <v/>
          </cell>
          <cell r="Q1707" t="str">
            <v/>
          </cell>
          <cell r="R1707" t="str">
            <v/>
          </cell>
          <cell r="S1707" t="str">
            <v/>
          </cell>
          <cell r="T1707" t="str">
            <v/>
          </cell>
          <cell r="U1707" t="str">
            <v>BB20035210015</v>
          </cell>
          <cell r="V1707" t="str">
            <v>B00</v>
          </cell>
          <cell r="W1707" t="str">
            <v/>
          </cell>
          <cell r="X1707" t="str">
            <v/>
          </cell>
          <cell r="Y1707" t="str">
            <v/>
          </cell>
          <cell r="Z1707" t="str">
            <v/>
          </cell>
          <cell r="AA1707" t="str">
            <v/>
          </cell>
          <cell r="AB1707" t="str">
            <v>70000462</v>
          </cell>
          <cell r="AC1707">
            <v>1</v>
          </cell>
          <cell r="AD1707" t="str">
            <v/>
          </cell>
          <cell r="AE1707">
            <v>0</v>
          </cell>
          <cell r="AF1707" t="str">
            <v/>
          </cell>
          <cell r="AG1707" t="str">
            <v>70000462</v>
          </cell>
          <cell r="AH1707">
            <v>44960.994525462964</v>
          </cell>
          <cell r="AI1707" t="str">
            <v>B00</v>
          </cell>
          <cell r="AJ1707" t="str">
            <v>F</v>
          </cell>
          <cell r="AK1707" t="str">
            <v>--</v>
          </cell>
        </row>
        <row r="1708">
          <cell r="A1708" t="str">
            <v>70000463828521</v>
          </cell>
          <cell r="B1708">
            <v>0</v>
          </cell>
          <cell r="C1708" t="e">
            <v>#N/A</v>
          </cell>
          <cell r="D1708" t="str">
            <v>EK65</v>
          </cell>
          <cell r="E1708" t="str">
            <v>706735</v>
          </cell>
          <cell r="F1708" t="str">
            <v>E</v>
          </cell>
          <cell r="G1708" t="str">
            <v>70000463</v>
          </cell>
          <cell r="H1708" t="str">
            <v>SUPPORT</v>
          </cell>
          <cell r="I1708">
            <v>1305</v>
          </cell>
          <cell r="J1708" t="str">
            <v>Stk</v>
          </cell>
          <cell r="K1708">
            <v>45085</v>
          </cell>
          <cell r="L1708" t="str">
            <v>828521</v>
          </cell>
          <cell r="M1708" t="str">
            <v/>
          </cell>
          <cell r="N1708" t="str">
            <v/>
          </cell>
          <cell r="O1708" t="str">
            <v/>
          </cell>
          <cell r="P1708" t="str">
            <v/>
          </cell>
          <cell r="Q1708" t="str">
            <v/>
          </cell>
          <cell r="R1708" t="str">
            <v/>
          </cell>
          <cell r="S1708" t="str">
            <v/>
          </cell>
          <cell r="T1708" t="str">
            <v/>
          </cell>
          <cell r="U1708" t="str">
            <v>BB20035210016</v>
          </cell>
          <cell r="V1708" t="str">
            <v>B00</v>
          </cell>
          <cell r="W1708" t="str">
            <v/>
          </cell>
          <cell r="X1708" t="str">
            <v/>
          </cell>
          <cell r="Y1708" t="str">
            <v/>
          </cell>
          <cell r="Z1708" t="str">
            <v/>
          </cell>
          <cell r="AA1708" t="str">
            <v/>
          </cell>
          <cell r="AB1708" t="str">
            <v>70000463</v>
          </cell>
          <cell r="AC1708">
            <v>1</v>
          </cell>
          <cell r="AD1708" t="str">
            <v/>
          </cell>
          <cell r="AE1708">
            <v>0</v>
          </cell>
          <cell r="AF1708" t="str">
            <v/>
          </cell>
          <cell r="AG1708" t="str">
            <v>70000463</v>
          </cell>
          <cell r="AH1708">
            <v>44960.99454861111</v>
          </cell>
          <cell r="AI1708" t="str">
            <v>B00</v>
          </cell>
          <cell r="AJ1708" t="str">
            <v>F</v>
          </cell>
          <cell r="AK1708" t="str">
            <v>--</v>
          </cell>
        </row>
        <row r="1709">
          <cell r="A1709" t="str">
            <v>70000468828521</v>
          </cell>
          <cell r="B1709">
            <v>0</v>
          </cell>
          <cell r="C1709" t="e">
            <v>#N/A</v>
          </cell>
          <cell r="D1709" t="str">
            <v>EK65</v>
          </cell>
          <cell r="E1709" t="str">
            <v>706736</v>
          </cell>
          <cell r="F1709" t="str">
            <v>E</v>
          </cell>
          <cell r="G1709" t="str">
            <v>70000468</v>
          </cell>
          <cell r="H1709" t="str">
            <v>SUPPORT ASSEMBLY</v>
          </cell>
          <cell r="I1709">
            <v>90</v>
          </cell>
          <cell r="J1709" t="str">
            <v>Stk</v>
          </cell>
          <cell r="K1709">
            <v>45085</v>
          </cell>
          <cell r="L1709" t="str">
            <v>828521</v>
          </cell>
          <cell r="M1709" t="str">
            <v/>
          </cell>
          <cell r="N1709" t="str">
            <v/>
          </cell>
          <cell r="O1709" t="str">
            <v/>
          </cell>
          <cell r="P1709" t="str">
            <v/>
          </cell>
          <cell r="Q1709" t="str">
            <v/>
          </cell>
          <cell r="R1709" t="str">
            <v/>
          </cell>
          <cell r="S1709" t="str">
            <v/>
          </cell>
          <cell r="T1709" t="str">
            <v/>
          </cell>
          <cell r="U1709" t="str">
            <v>BB20035230700</v>
          </cell>
          <cell r="V1709" t="str">
            <v>B00</v>
          </cell>
          <cell r="W1709" t="str">
            <v/>
          </cell>
          <cell r="X1709" t="str">
            <v/>
          </cell>
          <cell r="Y1709" t="str">
            <v/>
          </cell>
          <cell r="Z1709" t="str">
            <v/>
          </cell>
          <cell r="AA1709" t="str">
            <v/>
          </cell>
          <cell r="AB1709" t="str">
            <v>70000468</v>
          </cell>
          <cell r="AC1709">
            <v>1</v>
          </cell>
          <cell r="AD1709" t="str">
            <v/>
          </cell>
          <cell r="AE1709">
            <v>0</v>
          </cell>
          <cell r="AF1709" t="str">
            <v/>
          </cell>
          <cell r="AG1709" t="str">
            <v>70000468</v>
          </cell>
          <cell r="AH1709">
            <v>44960.99459490741</v>
          </cell>
          <cell r="AI1709" t="str">
            <v>B00</v>
          </cell>
          <cell r="AJ1709" t="str">
            <v>F</v>
          </cell>
          <cell r="AK1709" t="str">
            <v>--</v>
          </cell>
        </row>
        <row r="1710">
          <cell r="A1710" t="str">
            <v>70000471828521</v>
          </cell>
          <cell r="B1710">
            <v>0</v>
          </cell>
          <cell r="C1710" t="e">
            <v>#N/A</v>
          </cell>
          <cell r="D1710" t="str">
            <v>EK65</v>
          </cell>
          <cell r="E1710" t="str">
            <v>706738</v>
          </cell>
          <cell r="F1710" t="str">
            <v>E</v>
          </cell>
          <cell r="G1710" t="str">
            <v>70000471</v>
          </cell>
          <cell r="H1710" t="str">
            <v>CLAMP</v>
          </cell>
          <cell r="I1710">
            <v>2160</v>
          </cell>
          <cell r="J1710" t="str">
            <v>Stk</v>
          </cell>
          <cell r="K1710">
            <v>45085</v>
          </cell>
          <cell r="L1710" t="str">
            <v>828521</v>
          </cell>
          <cell r="M1710" t="str">
            <v/>
          </cell>
          <cell r="N1710" t="str">
            <v/>
          </cell>
          <cell r="O1710" t="str">
            <v/>
          </cell>
          <cell r="P1710" t="str">
            <v/>
          </cell>
          <cell r="Q1710" t="str">
            <v>X2CRNI 18-9</v>
          </cell>
          <cell r="R1710" t="str">
            <v>EN 10088-96</v>
          </cell>
          <cell r="S1710" t="str">
            <v/>
          </cell>
          <cell r="T1710" t="str">
            <v/>
          </cell>
          <cell r="U1710" t="str">
            <v>BB14535231101</v>
          </cell>
          <cell r="V1710" t="str">
            <v>I31</v>
          </cell>
          <cell r="W1710" t="str">
            <v/>
          </cell>
          <cell r="X1710" t="str">
            <v/>
          </cell>
          <cell r="Y1710" t="str">
            <v/>
          </cell>
          <cell r="Z1710" t="str">
            <v/>
          </cell>
          <cell r="AA1710" t="str">
            <v/>
          </cell>
          <cell r="AB1710" t="str">
            <v>70000471</v>
          </cell>
          <cell r="AC1710">
            <v>1</v>
          </cell>
          <cell r="AD1710" t="str">
            <v/>
          </cell>
          <cell r="AE1710">
            <v>0</v>
          </cell>
          <cell r="AF1710" t="str">
            <v/>
          </cell>
          <cell r="AG1710" t="str">
            <v>70000471</v>
          </cell>
          <cell r="AH1710">
            <v>44960.994664351849</v>
          </cell>
          <cell r="AI1710" t="str">
            <v>I31</v>
          </cell>
          <cell r="AJ1710" t="str">
            <v>F</v>
          </cell>
          <cell r="AK1710" t="str">
            <v>--</v>
          </cell>
        </row>
        <row r="1711">
          <cell r="A1711" t="str">
            <v>70000475828521</v>
          </cell>
          <cell r="B1711">
            <v>0</v>
          </cell>
          <cell r="C1711" t="e">
            <v>#N/A</v>
          </cell>
          <cell r="D1711" t="str">
            <v>EK65</v>
          </cell>
          <cell r="E1711" t="str">
            <v>706739</v>
          </cell>
          <cell r="F1711" t="str">
            <v>E</v>
          </cell>
          <cell r="G1711" t="str">
            <v>70000475</v>
          </cell>
          <cell r="H1711" t="str">
            <v>SUPPORT ASSEMBLY</v>
          </cell>
          <cell r="I1711">
            <v>1260</v>
          </cell>
          <cell r="J1711" t="str">
            <v>Stk</v>
          </cell>
          <cell r="K1711">
            <v>45085</v>
          </cell>
          <cell r="L1711" t="str">
            <v>828521</v>
          </cell>
          <cell r="M1711" t="str">
            <v/>
          </cell>
          <cell r="N1711" t="str">
            <v/>
          </cell>
          <cell r="O1711" t="str">
            <v/>
          </cell>
          <cell r="P1711" t="str">
            <v/>
          </cell>
          <cell r="Q1711" t="str">
            <v/>
          </cell>
          <cell r="R1711" t="str">
            <v/>
          </cell>
          <cell r="S1711" t="str">
            <v/>
          </cell>
          <cell r="T1711" t="str">
            <v/>
          </cell>
          <cell r="U1711" t="str">
            <v>BB14535212700</v>
          </cell>
          <cell r="V1711" t="str">
            <v>I31</v>
          </cell>
          <cell r="W1711" t="str">
            <v/>
          </cell>
          <cell r="X1711" t="str">
            <v/>
          </cell>
          <cell r="Y1711" t="str">
            <v/>
          </cell>
          <cell r="Z1711" t="str">
            <v/>
          </cell>
          <cell r="AA1711" t="str">
            <v/>
          </cell>
          <cell r="AB1711" t="str">
            <v>70000475</v>
          </cell>
          <cell r="AC1711">
            <v>1</v>
          </cell>
          <cell r="AD1711" t="str">
            <v/>
          </cell>
          <cell r="AE1711">
            <v>0</v>
          </cell>
          <cell r="AF1711" t="str">
            <v/>
          </cell>
          <cell r="AG1711" t="str">
            <v>70000475</v>
          </cell>
          <cell r="AH1711">
            <v>44960.994988425926</v>
          </cell>
          <cell r="AI1711" t="str">
            <v>I31</v>
          </cell>
          <cell r="AJ1711" t="str">
            <v>F</v>
          </cell>
          <cell r="AK1711" t="str">
            <v>--</v>
          </cell>
        </row>
        <row r="1712">
          <cell r="A1712" t="str">
            <v>70000476828521</v>
          </cell>
          <cell r="B1712">
            <v>0</v>
          </cell>
          <cell r="C1712" t="e">
            <v>#N/A</v>
          </cell>
          <cell r="D1712" t="str">
            <v>EK65</v>
          </cell>
          <cell r="E1712" t="str">
            <v>706740</v>
          </cell>
          <cell r="F1712" t="str">
            <v>E</v>
          </cell>
          <cell r="G1712" t="str">
            <v>70000476</v>
          </cell>
          <cell r="H1712" t="str">
            <v>SUPPORT ASSEMBLY</v>
          </cell>
          <cell r="I1712">
            <v>360</v>
          </cell>
          <cell r="J1712" t="str">
            <v>Stk</v>
          </cell>
          <cell r="K1712">
            <v>45085</v>
          </cell>
          <cell r="L1712" t="str">
            <v>828521</v>
          </cell>
          <cell r="M1712" t="str">
            <v/>
          </cell>
          <cell r="N1712" t="str">
            <v/>
          </cell>
          <cell r="O1712" t="str">
            <v/>
          </cell>
          <cell r="P1712" t="str">
            <v/>
          </cell>
          <cell r="Q1712" t="str">
            <v/>
          </cell>
          <cell r="R1712" t="str">
            <v/>
          </cell>
          <cell r="S1712" t="str">
            <v/>
          </cell>
          <cell r="T1712" t="str">
            <v/>
          </cell>
          <cell r="U1712" t="str">
            <v>BB14535212200</v>
          </cell>
          <cell r="V1712" t="str">
            <v>I31</v>
          </cell>
          <cell r="W1712" t="str">
            <v/>
          </cell>
          <cell r="X1712" t="str">
            <v/>
          </cell>
          <cell r="Y1712" t="str">
            <v/>
          </cell>
          <cell r="Z1712" t="str">
            <v/>
          </cell>
          <cell r="AA1712" t="str">
            <v/>
          </cell>
          <cell r="AB1712" t="str">
            <v>70000476</v>
          </cell>
          <cell r="AC1712">
            <v>1</v>
          </cell>
          <cell r="AD1712" t="str">
            <v/>
          </cell>
          <cell r="AE1712">
            <v>0</v>
          </cell>
          <cell r="AF1712" t="str">
            <v/>
          </cell>
          <cell r="AG1712" t="str">
            <v>70000476</v>
          </cell>
          <cell r="AH1712">
            <v>44960.995011574072</v>
          </cell>
          <cell r="AI1712" t="str">
            <v>I31</v>
          </cell>
          <cell r="AJ1712" t="str">
            <v>F</v>
          </cell>
          <cell r="AK1712" t="str">
            <v>A0</v>
          </cell>
        </row>
        <row r="1713">
          <cell r="A1713" t="str">
            <v>70000477828521</v>
          </cell>
          <cell r="B1713">
            <v>0</v>
          </cell>
          <cell r="C1713" t="e">
            <v>#N/A</v>
          </cell>
          <cell r="D1713" t="str">
            <v>EK65</v>
          </cell>
          <cell r="E1713" t="str">
            <v>706741</v>
          </cell>
          <cell r="F1713" t="str">
            <v>E</v>
          </cell>
          <cell r="G1713" t="str">
            <v>70000477</v>
          </cell>
          <cell r="H1713" t="str">
            <v>SUPPORT ASSEMBLY</v>
          </cell>
          <cell r="I1713">
            <v>180</v>
          </cell>
          <cell r="J1713" t="str">
            <v>Stk</v>
          </cell>
          <cell r="K1713">
            <v>45085</v>
          </cell>
          <cell r="L1713" t="str">
            <v>828521</v>
          </cell>
          <cell r="M1713" t="str">
            <v/>
          </cell>
          <cell r="N1713" t="str">
            <v/>
          </cell>
          <cell r="O1713" t="str">
            <v/>
          </cell>
          <cell r="P1713" t="str">
            <v/>
          </cell>
          <cell r="Q1713" t="str">
            <v/>
          </cell>
          <cell r="R1713" t="str">
            <v/>
          </cell>
          <cell r="S1713" t="str">
            <v/>
          </cell>
          <cell r="T1713" t="str">
            <v/>
          </cell>
          <cell r="U1713" t="str">
            <v>BB14535212300</v>
          </cell>
          <cell r="V1713" t="str">
            <v>I31</v>
          </cell>
          <cell r="W1713" t="str">
            <v/>
          </cell>
          <cell r="X1713" t="str">
            <v/>
          </cell>
          <cell r="Y1713" t="str">
            <v/>
          </cell>
          <cell r="Z1713" t="str">
            <v/>
          </cell>
          <cell r="AA1713" t="str">
            <v/>
          </cell>
          <cell r="AB1713" t="str">
            <v>70000477</v>
          </cell>
          <cell r="AC1713">
            <v>1</v>
          </cell>
          <cell r="AD1713" t="str">
            <v/>
          </cell>
          <cell r="AE1713">
            <v>0</v>
          </cell>
          <cell r="AF1713" t="str">
            <v/>
          </cell>
          <cell r="AG1713" t="str">
            <v>70000477</v>
          </cell>
          <cell r="AH1713">
            <v>44960.995034722226</v>
          </cell>
          <cell r="AI1713" t="str">
            <v>I31</v>
          </cell>
          <cell r="AJ1713" t="str">
            <v>F</v>
          </cell>
          <cell r="AK1713" t="str">
            <v>A0</v>
          </cell>
        </row>
        <row r="1714">
          <cell r="A1714" t="str">
            <v>70000478828521</v>
          </cell>
          <cell r="B1714">
            <v>0</v>
          </cell>
          <cell r="C1714" t="e">
            <v>#N/A</v>
          </cell>
          <cell r="D1714" t="str">
            <v>EK65</v>
          </cell>
          <cell r="E1714" t="str">
            <v>706742</v>
          </cell>
          <cell r="F1714" t="str">
            <v>E</v>
          </cell>
          <cell r="G1714" t="str">
            <v>70000478</v>
          </cell>
          <cell r="H1714" t="str">
            <v>SUPPORT ASSEMBLY</v>
          </cell>
          <cell r="I1714">
            <v>1800</v>
          </cell>
          <cell r="J1714" t="str">
            <v>Stk</v>
          </cell>
          <cell r="K1714">
            <v>45085</v>
          </cell>
          <cell r="L1714" t="str">
            <v>828521</v>
          </cell>
          <cell r="M1714" t="str">
            <v/>
          </cell>
          <cell r="N1714" t="str">
            <v/>
          </cell>
          <cell r="O1714" t="str">
            <v/>
          </cell>
          <cell r="P1714" t="str">
            <v/>
          </cell>
          <cell r="Q1714" t="str">
            <v/>
          </cell>
          <cell r="R1714" t="str">
            <v/>
          </cell>
          <cell r="S1714" t="str">
            <v/>
          </cell>
          <cell r="T1714" t="str">
            <v/>
          </cell>
          <cell r="U1714" t="str">
            <v>BB14535212500</v>
          </cell>
          <cell r="V1714" t="str">
            <v>I31</v>
          </cell>
          <cell r="W1714" t="str">
            <v/>
          </cell>
          <cell r="X1714" t="str">
            <v/>
          </cell>
          <cell r="Y1714" t="str">
            <v/>
          </cell>
          <cell r="Z1714" t="str">
            <v/>
          </cell>
          <cell r="AA1714" t="str">
            <v/>
          </cell>
          <cell r="AB1714" t="str">
            <v>70000478</v>
          </cell>
          <cell r="AC1714">
            <v>1</v>
          </cell>
          <cell r="AD1714" t="str">
            <v/>
          </cell>
          <cell r="AE1714">
            <v>0</v>
          </cell>
          <cell r="AF1714" t="str">
            <v/>
          </cell>
          <cell r="AG1714" t="str">
            <v>70000478</v>
          </cell>
          <cell r="AH1714">
            <v>44960.995046296295</v>
          </cell>
          <cell r="AI1714" t="str">
            <v>I31</v>
          </cell>
          <cell r="AJ1714" t="str">
            <v>F</v>
          </cell>
          <cell r="AK1714" t="str">
            <v>A0</v>
          </cell>
        </row>
        <row r="1715">
          <cell r="A1715" t="str">
            <v>70000479828521</v>
          </cell>
          <cell r="B1715">
            <v>0</v>
          </cell>
          <cell r="C1715" t="e">
            <v>#N/A</v>
          </cell>
          <cell r="D1715" t="str">
            <v>EK65</v>
          </cell>
          <cell r="E1715" t="str">
            <v>706743</v>
          </cell>
          <cell r="F1715" t="str">
            <v>E</v>
          </cell>
          <cell r="G1715" t="str">
            <v>70000479</v>
          </cell>
          <cell r="H1715" t="str">
            <v>SUPPORT ASSEMBLY</v>
          </cell>
          <cell r="I1715">
            <v>180</v>
          </cell>
          <cell r="J1715" t="str">
            <v>Stk</v>
          </cell>
          <cell r="K1715">
            <v>45085</v>
          </cell>
          <cell r="L1715" t="str">
            <v>828521</v>
          </cell>
          <cell r="M1715" t="str">
            <v/>
          </cell>
          <cell r="N1715" t="str">
            <v/>
          </cell>
          <cell r="O1715" t="str">
            <v/>
          </cell>
          <cell r="P1715" t="str">
            <v/>
          </cell>
          <cell r="Q1715" t="str">
            <v/>
          </cell>
          <cell r="R1715" t="str">
            <v/>
          </cell>
          <cell r="S1715" t="str">
            <v/>
          </cell>
          <cell r="T1715" t="str">
            <v/>
          </cell>
          <cell r="U1715" t="str">
            <v>BB14535212400</v>
          </cell>
          <cell r="V1715" t="str">
            <v>I31</v>
          </cell>
          <cell r="W1715" t="str">
            <v/>
          </cell>
          <cell r="X1715" t="str">
            <v/>
          </cell>
          <cell r="Y1715" t="str">
            <v/>
          </cell>
          <cell r="Z1715" t="str">
            <v/>
          </cell>
          <cell r="AA1715" t="str">
            <v/>
          </cell>
          <cell r="AB1715" t="str">
            <v>70000479</v>
          </cell>
          <cell r="AC1715">
            <v>1</v>
          </cell>
          <cell r="AD1715" t="str">
            <v/>
          </cell>
          <cell r="AE1715">
            <v>0</v>
          </cell>
          <cell r="AF1715" t="str">
            <v/>
          </cell>
          <cell r="AG1715" t="str">
            <v>70000479</v>
          </cell>
          <cell r="AH1715">
            <v>44960.995069444441</v>
          </cell>
          <cell r="AI1715" t="str">
            <v>I31</v>
          </cell>
          <cell r="AJ1715" t="str">
            <v>F</v>
          </cell>
          <cell r="AK1715" t="str">
            <v>A0</v>
          </cell>
        </row>
        <row r="1716">
          <cell r="A1716" t="str">
            <v>70001168828521</v>
          </cell>
          <cell r="B1716">
            <v>0</v>
          </cell>
          <cell r="C1716" t="e">
            <v>#N/A</v>
          </cell>
          <cell r="D1716" t="str">
            <v>EK65</v>
          </cell>
          <cell r="E1716" t="str">
            <v>686629</v>
          </cell>
          <cell r="F1716" t="str">
            <v>E</v>
          </cell>
          <cell r="G1716" t="str">
            <v>70001168</v>
          </cell>
          <cell r="H1716" t="str">
            <v>SPACER</v>
          </cell>
          <cell r="I1716">
            <v>360</v>
          </cell>
          <cell r="J1716" t="str">
            <v>Stk</v>
          </cell>
          <cell r="K1716">
            <v>45086</v>
          </cell>
          <cell r="L1716" t="str">
            <v>828521</v>
          </cell>
          <cell r="M1716" t="str">
            <v/>
          </cell>
          <cell r="N1716" t="str">
            <v/>
          </cell>
          <cell r="O1716" t="str">
            <v/>
          </cell>
          <cell r="P1716" t="str">
            <v/>
          </cell>
          <cell r="Q1716" t="str">
            <v/>
          </cell>
          <cell r="R1716" t="str">
            <v/>
          </cell>
          <cell r="S1716" t="str">
            <v/>
          </cell>
          <cell r="T1716" t="str">
            <v/>
          </cell>
          <cell r="U1716" t="str">
            <v>BB20019310002</v>
          </cell>
          <cell r="V1716" t="str">
            <v>N52</v>
          </cell>
          <cell r="W1716" t="str">
            <v/>
          </cell>
          <cell r="X1716" t="str">
            <v/>
          </cell>
          <cell r="Y1716" t="str">
            <v/>
          </cell>
          <cell r="Z1716" t="str">
            <v/>
          </cell>
          <cell r="AA1716" t="str">
            <v/>
          </cell>
          <cell r="AB1716" t="str">
            <v>70001168</v>
          </cell>
          <cell r="AC1716">
            <v>1</v>
          </cell>
          <cell r="AD1716" t="str">
            <v/>
          </cell>
          <cell r="AE1716">
            <v>0</v>
          </cell>
          <cell r="AF1716" t="str">
            <v/>
          </cell>
          <cell r="AG1716" t="str">
            <v>70001168</v>
          </cell>
          <cell r="AH1716">
            <v>44916.12228009259</v>
          </cell>
          <cell r="AI1716" t="str">
            <v>N52</v>
          </cell>
          <cell r="AJ1716" t="str">
            <v>F</v>
          </cell>
          <cell r="AK1716" t="str">
            <v>--</v>
          </cell>
        </row>
        <row r="1717">
          <cell r="A1717" t="str">
            <v>70001169828521</v>
          </cell>
          <cell r="B1717">
            <v>0</v>
          </cell>
          <cell r="C1717" t="e">
            <v>#N/A</v>
          </cell>
          <cell r="D1717" t="str">
            <v>EK65</v>
          </cell>
          <cell r="E1717" t="str">
            <v>686630</v>
          </cell>
          <cell r="F1717" t="str">
            <v>E</v>
          </cell>
          <cell r="G1717" t="str">
            <v>70001169</v>
          </cell>
          <cell r="H1717" t="str">
            <v>SPACER</v>
          </cell>
          <cell r="I1717">
            <v>720</v>
          </cell>
          <cell r="J1717" t="str">
            <v>Stk</v>
          </cell>
          <cell r="K1717">
            <v>45086</v>
          </cell>
          <cell r="L1717" t="str">
            <v>828521</v>
          </cell>
          <cell r="M1717" t="str">
            <v/>
          </cell>
          <cell r="N1717" t="str">
            <v/>
          </cell>
          <cell r="O1717" t="str">
            <v/>
          </cell>
          <cell r="P1717" t="str">
            <v/>
          </cell>
          <cell r="Q1717" t="str">
            <v/>
          </cell>
          <cell r="R1717" t="str">
            <v/>
          </cell>
          <cell r="S1717" t="str">
            <v/>
          </cell>
          <cell r="T1717" t="str">
            <v/>
          </cell>
          <cell r="U1717" t="str">
            <v>BB20019310003</v>
          </cell>
          <cell r="V1717" t="str">
            <v>N52</v>
          </cell>
          <cell r="W1717" t="str">
            <v/>
          </cell>
          <cell r="X1717" t="str">
            <v/>
          </cell>
          <cell r="Y1717" t="str">
            <v/>
          </cell>
          <cell r="Z1717" t="str">
            <v/>
          </cell>
          <cell r="AA1717" t="str">
            <v/>
          </cell>
          <cell r="AB1717" t="str">
            <v>70001169</v>
          </cell>
          <cell r="AC1717">
            <v>1</v>
          </cell>
          <cell r="AD1717" t="str">
            <v/>
          </cell>
          <cell r="AE1717">
            <v>0</v>
          </cell>
          <cell r="AF1717" t="str">
            <v/>
          </cell>
          <cell r="AG1717" t="str">
            <v>70001169</v>
          </cell>
          <cell r="AH1717">
            <v>44916.122291666667</v>
          </cell>
          <cell r="AI1717" t="str">
            <v>N52</v>
          </cell>
          <cell r="AJ1717" t="str">
            <v>F</v>
          </cell>
          <cell r="AK1717" t="str">
            <v>--</v>
          </cell>
        </row>
        <row r="1718">
          <cell r="A1718" t="str">
            <v>70001170828521</v>
          </cell>
          <cell r="B1718">
            <v>0</v>
          </cell>
          <cell r="C1718" t="e">
            <v>#N/A</v>
          </cell>
          <cell r="D1718" t="str">
            <v>EK65</v>
          </cell>
          <cell r="E1718" t="str">
            <v>686631</v>
          </cell>
          <cell r="F1718" t="str">
            <v>E</v>
          </cell>
          <cell r="G1718" t="str">
            <v>70001170</v>
          </cell>
          <cell r="H1718" t="str">
            <v>BLOCK</v>
          </cell>
          <cell r="I1718">
            <v>360</v>
          </cell>
          <cell r="J1718" t="str">
            <v>Stk</v>
          </cell>
          <cell r="K1718">
            <v>45086</v>
          </cell>
          <cell r="L1718" t="str">
            <v>828521</v>
          </cell>
          <cell r="M1718" t="str">
            <v/>
          </cell>
          <cell r="N1718" t="str">
            <v/>
          </cell>
          <cell r="O1718" t="str">
            <v/>
          </cell>
          <cell r="P1718" t="str">
            <v/>
          </cell>
          <cell r="Q1718" t="str">
            <v/>
          </cell>
          <cell r="R1718" t="str">
            <v/>
          </cell>
          <cell r="S1718" t="str">
            <v/>
          </cell>
          <cell r="T1718" t="str">
            <v/>
          </cell>
          <cell r="U1718" t="str">
            <v>BB20019310004</v>
          </cell>
          <cell r="V1718" t="str">
            <v>N52</v>
          </cell>
          <cell r="W1718" t="str">
            <v/>
          </cell>
          <cell r="X1718" t="str">
            <v/>
          </cell>
          <cell r="Y1718" t="str">
            <v/>
          </cell>
          <cell r="Z1718" t="str">
            <v/>
          </cell>
          <cell r="AA1718" t="str">
            <v/>
          </cell>
          <cell r="AB1718" t="str">
            <v>70001170</v>
          </cell>
          <cell r="AC1718">
            <v>1</v>
          </cell>
          <cell r="AD1718" t="str">
            <v/>
          </cell>
          <cell r="AE1718">
            <v>0</v>
          </cell>
          <cell r="AF1718" t="str">
            <v/>
          </cell>
          <cell r="AG1718" t="str">
            <v>70001170</v>
          </cell>
          <cell r="AH1718">
            <v>44916.122314814813</v>
          </cell>
          <cell r="AI1718" t="str">
            <v>N52</v>
          </cell>
          <cell r="AJ1718" t="str">
            <v>F</v>
          </cell>
          <cell r="AK1718" t="str">
            <v>--</v>
          </cell>
        </row>
        <row r="1719">
          <cell r="A1719" t="str">
            <v>70000983828521</v>
          </cell>
          <cell r="B1719">
            <v>0</v>
          </cell>
          <cell r="C1719" t="e">
            <v>#N/A</v>
          </cell>
          <cell r="D1719" t="str">
            <v>EK65</v>
          </cell>
          <cell r="E1719" t="str">
            <v>700228</v>
          </cell>
          <cell r="F1719" t="str">
            <v>E</v>
          </cell>
          <cell r="G1719" t="str">
            <v>70000983</v>
          </cell>
          <cell r="H1719" t="str">
            <v>SPRING BRACKET</v>
          </cell>
          <cell r="I1719">
            <v>90</v>
          </cell>
          <cell r="J1719" t="str">
            <v>Stk</v>
          </cell>
          <cell r="K1719">
            <v>45086</v>
          </cell>
          <cell r="L1719" t="str">
            <v>828521</v>
          </cell>
          <cell r="M1719" t="str">
            <v/>
          </cell>
          <cell r="N1719" t="str">
            <v/>
          </cell>
          <cell r="O1719" t="str">
            <v/>
          </cell>
          <cell r="P1719" t="str">
            <v/>
          </cell>
          <cell r="Q1719" t="str">
            <v>X2CrNi18-9</v>
          </cell>
          <cell r="R1719" t="str">
            <v>EN 10088</v>
          </cell>
          <cell r="S1719" t="str">
            <v/>
          </cell>
          <cell r="T1719" t="str">
            <v/>
          </cell>
          <cell r="U1719" t="str">
            <v>BB21152000003</v>
          </cell>
          <cell r="V1719" t="str">
            <v>N32</v>
          </cell>
          <cell r="W1719" t="str">
            <v/>
          </cell>
          <cell r="X1719" t="str">
            <v/>
          </cell>
          <cell r="Y1719" t="str">
            <v/>
          </cell>
          <cell r="Z1719" t="str">
            <v/>
          </cell>
          <cell r="AA1719" t="str">
            <v/>
          </cell>
          <cell r="AB1719" t="str">
            <v>70000983</v>
          </cell>
          <cell r="AC1719">
            <v>1</v>
          </cell>
          <cell r="AD1719" t="str">
            <v/>
          </cell>
          <cell r="AE1719">
            <v>0</v>
          </cell>
          <cell r="AF1719" t="str">
            <v/>
          </cell>
          <cell r="AG1719" t="str">
            <v>70000983</v>
          </cell>
          <cell r="AH1719">
            <v>44944.9378125</v>
          </cell>
          <cell r="AI1719" t="str">
            <v>N32</v>
          </cell>
          <cell r="AJ1719" t="str">
            <v>F</v>
          </cell>
          <cell r="AK1719" t="str">
            <v>A0</v>
          </cell>
        </row>
        <row r="1720">
          <cell r="A1720" t="str">
            <v>70000982828521</v>
          </cell>
          <cell r="B1720">
            <v>0</v>
          </cell>
          <cell r="C1720" t="e">
            <v>#N/A</v>
          </cell>
          <cell r="D1720" t="str">
            <v>EK65</v>
          </cell>
          <cell r="E1720" t="str">
            <v>706783</v>
          </cell>
          <cell r="F1720" t="str">
            <v>E</v>
          </cell>
          <cell r="G1720" t="str">
            <v>70000982</v>
          </cell>
          <cell r="H1720" t="str">
            <v>SHEET</v>
          </cell>
          <cell r="I1720">
            <v>90</v>
          </cell>
          <cell r="J1720" t="str">
            <v>Stk</v>
          </cell>
          <cell r="K1720">
            <v>45086</v>
          </cell>
          <cell r="L1720" t="str">
            <v>828521</v>
          </cell>
          <cell r="M1720" t="str">
            <v/>
          </cell>
          <cell r="N1720" t="str">
            <v/>
          </cell>
          <cell r="O1720" t="str">
            <v/>
          </cell>
          <cell r="P1720" t="str">
            <v/>
          </cell>
          <cell r="Q1720" t="str">
            <v>X2CrNi18-9</v>
          </cell>
          <cell r="R1720" t="str">
            <v>EN 10088</v>
          </cell>
          <cell r="S1720" t="str">
            <v/>
          </cell>
          <cell r="T1720" t="str">
            <v/>
          </cell>
          <cell r="U1720" t="str">
            <v>BB20030210002</v>
          </cell>
          <cell r="V1720" t="str">
            <v>L02</v>
          </cell>
          <cell r="W1720" t="str">
            <v/>
          </cell>
          <cell r="X1720" t="str">
            <v/>
          </cell>
          <cell r="Y1720" t="str">
            <v/>
          </cell>
          <cell r="Z1720" t="str">
            <v/>
          </cell>
          <cell r="AA1720" t="str">
            <v/>
          </cell>
          <cell r="AB1720" t="str">
            <v>70000982</v>
          </cell>
          <cell r="AC1720">
            <v>1</v>
          </cell>
          <cell r="AD1720" t="str">
            <v/>
          </cell>
          <cell r="AE1720">
            <v>0</v>
          </cell>
          <cell r="AF1720" t="str">
            <v/>
          </cell>
          <cell r="AG1720" t="str">
            <v>70000982</v>
          </cell>
          <cell r="AH1720">
            <v>44961.002592592595</v>
          </cell>
          <cell r="AI1720" t="str">
            <v>L02</v>
          </cell>
          <cell r="AJ1720" t="str">
            <v>F</v>
          </cell>
          <cell r="AK1720" t="str">
            <v>--</v>
          </cell>
        </row>
        <row r="1721">
          <cell r="A1721" t="str">
            <v>70000985828521</v>
          </cell>
          <cell r="B1721">
            <v>0</v>
          </cell>
          <cell r="C1721" t="e">
            <v>#N/A</v>
          </cell>
          <cell r="D1721" t="str">
            <v>EK65</v>
          </cell>
          <cell r="E1721" t="str">
            <v>706784</v>
          </cell>
          <cell r="F1721" t="str">
            <v>E</v>
          </cell>
          <cell r="G1721" t="str">
            <v>70000985</v>
          </cell>
          <cell r="H1721" t="str">
            <v>COUPLER SUPPORT SHIM 1MM</v>
          </cell>
          <cell r="I1721">
            <v>180</v>
          </cell>
          <cell r="J1721" t="str">
            <v>Stk</v>
          </cell>
          <cell r="K1721">
            <v>45086</v>
          </cell>
          <cell r="L1721" t="str">
            <v>828521</v>
          </cell>
          <cell r="M1721" t="str">
            <v/>
          </cell>
          <cell r="N1721" t="str">
            <v/>
          </cell>
          <cell r="O1721" t="str">
            <v/>
          </cell>
          <cell r="P1721" t="str">
            <v/>
          </cell>
          <cell r="Q1721" t="str">
            <v>X2CrNi18-9</v>
          </cell>
          <cell r="R1721" t="str">
            <v>EN 10088</v>
          </cell>
          <cell r="S1721" t="str">
            <v/>
          </cell>
          <cell r="T1721" t="str">
            <v/>
          </cell>
          <cell r="U1721" t="str">
            <v>BB20030210005</v>
          </cell>
          <cell r="V1721" t="str">
            <v>B50</v>
          </cell>
          <cell r="W1721" t="str">
            <v/>
          </cell>
          <cell r="X1721" t="str">
            <v/>
          </cell>
          <cell r="Y1721" t="str">
            <v/>
          </cell>
          <cell r="Z1721" t="str">
            <v/>
          </cell>
          <cell r="AA1721" t="str">
            <v/>
          </cell>
          <cell r="AB1721" t="str">
            <v>70000985</v>
          </cell>
          <cell r="AC1721">
            <v>1</v>
          </cell>
          <cell r="AD1721" t="str">
            <v/>
          </cell>
          <cell r="AE1721">
            <v>0</v>
          </cell>
          <cell r="AF1721" t="str">
            <v/>
          </cell>
          <cell r="AG1721" t="str">
            <v>70000985</v>
          </cell>
          <cell r="AH1721">
            <v>44961.002650462964</v>
          </cell>
          <cell r="AI1721" t="str">
            <v>B50</v>
          </cell>
          <cell r="AJ1721" t="str">
            <v>F</v>
          </cell>
          <cell r="AK1721" t="str">
            <v>--</v>
          </cell>
        </row>
        <row r="1722">
          <cell r="A1722" t="str">
            <v>70000986828521</v>
          </cell>
          <cell r="B1722">
            <v>0</v>
          </cell>
          <cell r="C1722" t="e">
            <v>#N/A</v>
          </cell>
          <cell r="D1722" t="str">
            <v>EK65</v>
          </cell>
          <cell r="E1722" t="str">
            <v>706785</v>
          </cell>
          <cell r="F1722" t="str">
            <v>E</v>
          </cell>
          <cell r="G1722" t="str">
            <v>70000986</v>
          </cell>
          <cell r="H1722" t="str">
            <v>COUPLER SUPPORT SHIM 1MM</v>
          </cell>
          <cell r="I1722">
            <v>180</v>
          </cell>
          <cell r="J1722" t="str">
            <v>Stk</v>
          </cell>
          <cell r="K1722">
            <v>45086</v>
          </cell>
          <cell r="L1722" t="str">
            <v>828521</v>
          </cell>
          <cell r="M1722" t="str">
            <v/>
          </cell>
          <cell r="N1722" t="str">
            <v/>
          </cell>
          <cell r="O1722" t="str">
            <v/>
          </cell>
          <cell r="P1722" t="str">
            <v/>
          </cell>
          <cell r="Q1722" t="str">
            <v>X2CrNi18-9</v>
          </cell>
          <cell r="R1722" t="str">
            <v>EN 10088</v>
          </cell>
          <cell r="S1722" t="str">
            <v/>
          </cell>
          <cell r="T1722" t="str">
            <v/>
          </cell>
          <cell r="U1722" t="str">
            <v>BB20030210006</v>
          </cell>
          <cell r="V1722" t="str">
            <v>B50</v>
          </cell>
          <cell r="W1722" t="str">
            <v/>
          </cell>
          <cell r="X1722" t="str">
            <v/>
          </cell>
          <cell r="Y1722" t="str">
            <v/>
          </cell>
          <cell r="Z1722" t="str">
            <v/>
          </cell>
          <cell r="AA1722" t="str">
            <v/>
          </cell>
          <cell r="AB1722" t="str">
            <v>70000986</v>
          </cell>
          <cell r="AC1722">
            <v>1</v>
          </cell>
          <cell r="AD1722" t="str">
            <v/>
          </cell>
          <cell r="AE1722">
            <v>0</v>
          </cell>
          <cell r="AF1722" t="str">
            <v/>
          </cell>
          <cell r="AG1722" t="str">
            <v>70000986</v>
          </cell>
          <cell r="AH1722">
            <v>44961.00267361111</v>
          </cell>
          <cell r="AI1722" t="str">
            <v>B50</v>
          </cell>
          <cell r="AJ1722" t="str">
            <v>F</v>
          </cell>
          <cell r="AK1722" t="str">
            <v>--</v>
          </cell>
        </row>
        <row r="1723">
          <cell r="A1723" t="str">
            <v>70000987828521</v>
          </cell>
          <cell r="B1723">
            <v>0</v>
          </cell>
          <cell r="C1723" t="e">
            <v>#N/A</v>
          </cell>
          <cell r="D1723" t="str">
            <v>EK65</v>
          </cell>
          <cell r="E1723" t="str">
            <v>706786</v>
          </cell>
          <cell r="F1723" t="str">
            <v>E</v>
          </cell>
          <cell r="G1723" t="str">
            <v>70000987</v>
          </cell>
          <cell r="H1723" t="str">
            <v>COUPLER SUPPORT SHIM 2MM</v>
          </cell>
          <cell r="I1723">
            <v>180</v>
          </cell>
          <cell r="J1723" t="str">
            <v>Stk</v>
          </cell>
          <cell r="K1723">
            <v>45086</v>
          </cell>
          <cell r="L1723" t="str">
            <v>828521</v>
          </cell>
          <cell r="M1723" t="str">
            <v/>
          </cell>
          <cell r="N1723" t="str">
            <v/>
          </cell>
          <cell r="O1723" t="str">
            <v/>
          </cell>
          <cell r="P1723" t="str">
            <v/>
          </cell>
          <cell r="Q1723" t="str">
            <v>X2CrNi18-9</v>
          </cell>
          <cell r="R1723" t="str">
            <v>EN 10088</v>
          </cell>
          <cell r="S1723" t="str">
            <v/>
          </cell>
          <cell r="T1723" t="str">
            <v/>
          </cell>
          <cell r="U1723" t="str">
            <v>BB20030210007</v>
          </cell>
          <cell r="V1723" t="str">
            <v>B50</v>
          </cell>
          <cell r="W1723" t="str">
            <v/>
          </cell>
          <cell r="X1723" t="str">
            <v/>
          </cell>
          <cell r="Y1723" t="str">
            <v/>
          </cell>
          <cell r="Z1723" t="str">
            <v/>
          </cell>
          <cell r="AA1723" t="str">
            <v/>
          </cell>
          <cell r="AB1723" t="str">
            <v>70000987</v>
          </cell>
          <cell r="AC1723">
            <v>1</v>
          </cell>
          <cell r="AD1723" t="str">
            <v/>
          </cell>
          <cell r="AE1723">
            <v>0</v>
          </cell>
          <cell r="AF1723" t="str">
            <v/>
          </cell>
          <cell r="AG1723" t="str">
            <v>70000987</v>
          </cell>
          <cell r="AH1723">
            <v>44961.002685185187</v>
          </cell>
          <cell r="AI1723" t="str">
            <v>B50</v>
          </cell>
          <cell r="AJ1723" t="str">
            <v>F</v>
          </cell>
          <cell r="AK1723" t="str">
            <v>--</v>
          </cell>
        </row>
        <row r="1724">
          <cell r="A1724" t="str">
            <v>70000988828521</v>
          </cell>
          <cell r="B1724">
            <v>0</v>
          </cell>
          <cell r="C1724" t="e">
            <v>#N/A</v>
          </cell>
          <cell r="D1724" t="str">
            <v>EK65</v>
          </cell>
          <cell r="E1724" t="str">
            <v>706787</v>
          </cell>
          <cell r="F1724" t="str">
            <v>E</v>
          </cell>
          <cell r="G1724" t="str">
            <v>70000988</v>
          </cell>
          <cell r="H1724" t="str">
            <v>COUPLER SUPPORT SHIM 2MM</v>
          </cell>
          <cell r="I1724">
            <v>180</v>
          </cell>
          <cell r="J1724" t="str">
            <v>Stk</v>
          </cell>
          <cell r="K1724">
            <v>45086</v>
          </cell>
          <cell r="L1724" t="str">
            <v>828521</v>
          </cell>
          <cell r="M1724" t="str">
            <v/>
          </cell>
          <cell r="N1724" t="str">
            <v/>
          </cell>
          <cell r="O1724" t="str">
            <v/>
          </cell>
          <cell r="P1724" t="str">
            <v/>
          </cell>
          <cell r="Q1724" t="str">
            <v>X2CrNi18-9</v>
          </cell>
          <cell r="R1724" t="str">
            <v>EN 10088</v>
          </cell>
          <cell r="S1724" t="str">
            <v/>
          </cell>
          <cell r="T1724" t="str">
            <v/>
          </cell>
          <cell r="U1724" t="str">
            <v>BB20030210008</v>
          </cell>
          <cell r="V1724" t="str">
            <v>B50</v>
          </cell>
          <cell r="W1724" t="str">
            <v/>
          </cell>
          <cell r="X1724" t="str">
            <v/>
          </cell>
          <cell r="Y1724" t="str">
            <v/>
          </cell>
          <cell r="Z1724" t="str">
            <v/>
          </cell>
          <cell r="AA1724" t="str">
            <v/>
          </cell>
          <cell r="AB1724" t="str">
            <v>70000988</v>
          </cell>
          <cell r="AC1724">
            <v>1</v>
          </cell>
          <cell r="AD1724" t="str">
            <v/>
          </cell>
          <cell r="AE1724">
            <v>0</v>
          </cell>
          <cell r="AF1724" t="str">
            <v/>
          </cell>
          <cell r="AG1724" t="str">
            <v>70000988</v>
          </cell>
          <cell r="AH1724">
            <v>44961.002696759257</v>
          </cell>
          <cell r="AI1724" t="str">
            <v>B50</v>
          </cell>
          <cell r="AJ1724" t="str">
            <v>F</v>
          </cell>
          <cell r="AK1724" t="str">
            <v>--</v>
          </cell>
        </row>
        <row r="1725">
          <cell r="A1725" t="str">
            <v>70000989828521</v>
          </cell>
          <cell r="B1725">
            <v>0</v>
          </cell>
          <cell r="C1725" t="e">
            <v>#N/A</v>
          </cell>
          <cell r="D1725" t="str">
            <v>EK65</v>
          </cell>
          <cell r="E1725" t="str">
            <v>706788</v>
          </cell>
          <cell r="F1725" t="str">
            <v>E</v>
          </cell>
          <cell r="G1725" t="str">
            <v>70000989</v>
          </cell>
          <cell r="H1725" t="str">
            <v>COUPLER SUPPORT SHIM 1MM</v>
          </cell>
          <cell r="I1725">
            <v>180</v>
          </cell>
          <cell r="J1725" t="str">
            <v>Stk</v>
          </cell>
          <cell r="K1725">
            <v>45086</v>
          </cell>
          <cell r="L1725" t="str">
            <v>828521</v>
          </cell>
          <cell r="M1725" t="str">
            <v/>
          </cell>
          <cell r="N1725" t="str">
            <v/>
          </cell>
          <cell r="O1725" t="str">
            <v/>
          </cell>
          <cell r="P1725" t="str">
            <v/>
          </cell>
          <cell r="Q1725" t="str">
            <v>X2CrNi18-9</v>
          </cell>
          <cell r="R1725" t="str">
            <v>EN 10088</v>
          </cell>
          <cell r="S1725" t="str">
            <v/>
          </cell>
          <cell r="T1725" t="str">
            <v/>
          </cell>
          <cell r="U1725" t="str">
            <v>BB20030210009</v>
          </cell>
          <cell r="V1725" t="str">
            <v>B50</v>
          </cell>
          <cell r="W1725" t="str">
            <v/>
          </cell>
          <cell r="X1725" t="str">
            <v/>
          </cell>
          <cell r="Y1725" t="str">
            <v/>
          </cell>
          <cell r="Z1725" t="str">
            <v/>
          </cell>
          <cell r="AA1725" t="str">
            <v/>
          </cell>
          <cell r="AB1725" t="str">
            <v>70000989</v>
          </cell>
          <cell r="AC1725">
            <v>1</v>
          </cell>
          <cell r="AD1725" t="str">
            <v/>
          </cell>
          <cell r="AE1725">
            <v>0</v>
          </cell>
          <cell r="AF1725" t="str">
            <v/>
          </cell>
          <cell r="AG1725" t="str">
            <v>70000989</v>
          </cell>
          <cell r="AH1725">
            <v>44961.00271990741</v>
          </cell>
          <cell r="AI1725" t="str">
            <v>B50</v>
          </cell>
          <cell r="AJ1725" t="str">
            <v>F</v>
          </cell>
          <cell r="AK1725" t="str">
            <v>--</v>
          </cell>
        </row>
        <row r="1726">
          <cell r="A1726" t="str">
            <v>70000990828521</v>
          </cell>
          <cell r="B1726">
            <v>0</v>
          </cell>
          <cell r="C1726" t="e">
            <v>#N/A</v>
          </cell>
          <cell r="D1726" t="str">
            <v>EK65</v>
          </cell>
          <cell r="E1726" t="str">
            <v>706789</v>
          </cell>
          <cell r="F1726" t="str">
            <v>E</v>
          </cell>
          <cell r="G1726" t="str">
            <v>70000990</v>
          </cell>
          <cell r="H1726" t="str">
            <v>COUPLER SUPPORT SHIM 3MM</v>
          </cell>
          <cell r="I1726">
            <v>180</v>
          </cell>
          <cell r="J1726" t="str">
            <v>Stk</v>
          </cell>
          <cell r="K1726">
            <v>45086</v>
          </cell>
          <cell r="L1726" t="str">
            <v>828521</v>
          </cell>
          <cell r="M1726" t="str">
            <v/>
          </cell>
          <cell r="N1726" t="str">
            <v/>
          </cell>
          <cell r="O1726" t="str">
            <v/>
          </cell>
          <cell r="P1726" t="str">
            <v/>
          </cell>
          <cell r="Q1726" t="str">
            <v>X2CrNi18-9</v>
          </cell>
          <cell r="R1726" t="str">
            <v>EN 10088</v>
          </cell>
          <cell r="S1726" t="str">
            <v/>
          </cell>
          <cell r="T1726" t="str">
            <v/>
          </cell>
          <cell r="U1726" t="str">
            <v>BB20030210010</v>
          </cell>
          <cell r="V1726" t="str">
            <v>B50</v>
          </cell>
          <cell r="W1726" t="str">
            <v/>
          </cell>
          <cell r="X1726" t="str">
            <v/>
          </cell>
          <cell r="Y1726" t="str">
            <v/>
          </cell>
          <cell r="Z1726" t="str">
            <v/>
          </cell>
          <cell r="AA1726" t="str">
            <v/>
          </cell>
          <cell r="AB1726" t="str">
            <v>70000990</v>
          </cell>
          <cell r="AC1726">
            <v>1</v>
          </cell>
          <cell r="AD1726" t="str">
            <v/>
          </cell>
          <cell r="AE1726">
            <v>0</v>
          </cell>
          <cell r="AF1726" t="str">
            <v/>
          </cell>
          <cell r="AG1726" t="str">
            <v>70000990</v>
          </cell>
          <cell r="AH1726">
            <v>44961.00273148148</v>
          </cell>
          <cell r="AI1726" t="str">
            <v>B50</v>
          </cell>
          <cell r="AJ1726" t="str">
            <v>F</v>
          </cell>
          <cell r="AK1726" t="str">
            <v>--</v>
          </cell>
        </row>
        <row r="1727">
          <cell r="A1727" t="str">
            <v>70000991828521</v>
          </cell>
          <cell r="B1727">
            <v>0</v>
          </cell>
          <cell r="C1727" t="e">
            <v>#N/A</v>
          </cell>
          <cell r="D1727" t="str">
            <v>EK65</v>
          </cell>
          <cell r="E1727" t="str">
            <v>706790</v>
          </cell>
          <cell r="F1727" t="str">
            <v>E</v>
          </cell>
          <cell r="G1727" t="str">
            <v>70000991</v>
          </cell>
          <cell r="H1727" t="str">
            <v>COUPLER SUPPORT SHIM 5MM</v>
          </cell>
          <cell r="I1727">
            <v>90</v>
          </cell>
          <cell r="J1727" t="str">
            <v>Stk</v>
          </cell>
          <cell r="K1727">
            <v>45086</v>
          </cell>
          <cell r="L1727" t="str">
            <v>828521</v>
          </cell>
          <cell r="M1727" t="str">
            <v/>
          </cell>
          <cell r="N1727" t="str">
            <v/>
          </cell>
          <cell r="O1727" t="str">
            <v/>
          </cell>
          <cell r="P1727" t="str">
            <v/>
          </cell>
          <cell r="Q1727" t="str">
            <v>X2CrNi18-9</v>
          </cell>
          <cell r="R1727" t="str">
            <v>EN 10088</v>
          </cell>
          <cell r="S1727" t="str">
            <v/>
          </cell>
          <cell r="T1727" t="str">
            <v/>
          </cell>
          <cell r="U1727" t="str">
            <v>BB20030210011</v>
          </cell>
          <cell r="V1727" t="str">
            <v>B50</v>
          </cell>
          <cell r="W1727" t="str">
            <v/>
          </cell>
          <cell r="X1727" t="str">
            <v/>
          </cell>
          <cell r="Y1727" t="str">
            <v/>
          </cell>
          <cell r="Z1727" t="str">
            <v/>
          </cell>
          <cell r="AA1727" t="str">
            <v/>
          </cell>
          <cell r="AB1727" t="str">
            <v>70000991</v>
          </cell>
          <cell r="AC1727">
            <v>1</v>
          </cell>
          <cell r="AD1727" t="str">
            <v/>
          </cell>
          <cell r="AE1727">
            <v>0</v>
          </cell>
          <cell r="AF1727" t="str">
            <v/>
          </cell>
          <cell r="AG1727" t="str">
            <v>70000991</v>
          </cell>
          <cell r="AH1727">
            <v>44961.002743055556</v>
          </cell>
          <cell r="AI1727" t="str">
            <v>B50</v>
          </cell>
          <cell r="AJ1727" t="str">
            <v>F</v>
          </cell>
          <cell r="AK1727" t="str">
            <v>--</v>
          </cell>
        </row>
        <row r="1728">
          <cell r="A1728" t="str">
            <v>70000992828521</v>
          </cell>
          <cell r="B1728">
            <v>0</v>
          </cell>
          <cell r="C1728" t="e">
            <v>#N/A</v>
          </cell>
          <cell r="D1728" t="str">
            <v>EK65</v>
          </cell>
          <cell r="E1728" t="str">
            <v>706791</v>
          </cell>
          <cell r="F1728" t="str">
            <v>E</v>
          </cell>
          <cell r="G1728" t="str">
            <v>70000992</v>
          </cell>
          <cell r="H1728" t="str">
            <v>COUPLER SUPPORT SHIM 5MM</v>
          </cell>
          <cell r="I1728">
            <v>90</v>
          </cell>
          <cell r="J1728" t="str">
            <v>Stk</v>
          </cell>
          <cell r="K1728">
            <v>45086</v>
          </cell>
          <cell r="L1728" t="str">
            <v>828521</v>
          </cell>
          <cell r="M1728" t="str">
            <v/>
          </cell>
          <cell r="N1728" t="str">
            <v/>
          </cell>
          <cell r="O1728" t="str">
            <v/>
          </cell>
          <cell r="P1728" t="str">
            <v/>
          </cell>
          <cell r="Q1728" t="str">
            <v>X2CrNi18-9</v>
          </cell>
          <cell r="R1728" t="str">
            <v>EN 10088</v>
          </cell>
          <cell r="S1728" t="str">
            <v/>
          </cell>
          <cell r="T1728" t="str">
            <v/>
          </cell>
          <cell r="U1728" t="str">
            <v>BB20030210012</v>
          </cell>
          <cell r="V1728" t="str">
            <v>B50</v>
          </cell>
          <cell r="W1728" t="str">
            <v/>
          </cell>
          <cell r="X1728" t="str">
            <v/>
          </cell>
          <cell r="Y1728" t="str">
            <v/>
          </cell>
          <cell r="Z1728" t="str">
            <v/>
          </cell>
          <cell r="AA1728" t="str">
            <v/>
          </cell>
          <cell r="AB1728" t="str">
            <v>70000992</v>
          </cell>
          <cell r="AC1728">
            <v>1</v>
          </cell>
          <cell r="AD1728" t="str">
            <v/>
          </cell>
          <cell r="AE1728">
            <v>0</v>
          </cell>
          <cell r="AF1728" t="str">
            <v/>
          </cell>
          <cell r="AG1728" t="str">
            <v>70000992</v>
          </cell>
          <cell r="AH1728">
            <v>44961.002754629626</v>
          </cell>
          <cell r="AI1728" t="str">
            <v>B50</v>
          </cell>
          <cell r="AJ1728" t="str">
            <v>F</v>
          </cell>
          <cell r="AK1728" t="str">
            <v>--</v>
          </cell>
        </row>
        <row r="1729">
          <cell r="A1729" t="str">
            <v>70001086828521</v>
          </cell>
          <cell r="B1729">
            <v>0</v>
          </cell>
          <cell r="C1729" t="e">
            <v>#N/A</v>
          </cell>
          <cell r="D1729" t="str">
            <v>EK65</v>
          </cell>
          <cell r="E1729" t="str">
            <v>706805</v>
          </cell>
          <cell r="F1729" t="str">
            <v>E</v>
          </cell>
          <cell r="G1729" t="str">
            <v>70001086</v>
          </cell>
          <cell r="H1729" t="str">
            <v>PLATE</v>
          </cell>
          <cell r="I1729">
            <v>180</v>
          </cell>
          <cell r="J1729" t="str">
            <v>Stk</v>
          </cell>
          <cell r="K1729">
            <v>45086</v>
          </cell>
          <cell r="L1729" t="str">
            <v>828521</v>
          </cell>
          <cell r="M1729" t="str">
            <v/>
          </cell>
          <cell r="N1729" t="str">
            <v/>
          </cell>
          <cell r="O1729" t="str">
            <v/>
          </cell>
          <cell r="P1729" t="str">
            <v/>
          </cell>
          <cell r="Q1729" t="str">
            <v>AW 5083 H111</v>
          </cell>
          <cell r="R1729" t="str">
            <v>EN 485</v>
          </cell>
          <cell r="S1729" t="str">
            <v/>
          </cell>
          <cell r="T1729" t="str">
            <v/>
          </cell>
          <cell r="U1729" t="str">
            <v>BB20018010001</v>
          </cell>
          <cell r="V1729" t="str">
            <v>B00</v>
          </cell>
          <cell r="W1729" t="str">
            <v/>
          </cell>
          <cell r="X1729" t="str">
            <v/>
          </cell>
          <cell r="Y1729" t="str">
            <v/>
          </cell>
          <cell r="Z1729" t="str">
            <v/>
          </cell>
          <cell r="AA1729" t="str">
            <v/>
          </cell>
          <cell r="AB1729" t="str">
            <v>70001086</v>
          </cell>
          <cell r="AC1729">
            <v>1</v>
          </cell>
          <cell r="AD1729" t="str">
            <v/>
          </cell>
          <cell r="AE1729">
            <v>0</v>
          </cell>
          <cell r="AF1729" t="str">
            <v/>
          </cell>
          <cell r="AG1729" t="str">
            <v>70001086</v>
          </cell>
          <cell r="AH1729">
            <v>44961.00408564815</v>
          </cell>
          <cell r="AI1729" t="str">
            <v>B00</v>
          </cell>
          <cell r="AJ1729" t="str">
            <v>F</v>
          </cell>
          <cell r="AK1729" t="str">
            <v>A0</v>
          </cell>
        </row>
        <row r="1730">
          <cell r="A1730" t="str">
            <v>70001088828521</v>
          </cell>
          <cell r="B1730">
            <v>0</v>
          </cell>
          <cell r="C1730" t="e">
            <v>#N/A</v>
          </cell>
          <cell r="D1730" t="str">
            <v>EK65</v>
          </cell>
          <cell r="E1730" t="str">
            <v>706806</v>
          </cell>
          <cell r="F1730" t="str">
            <v>E</v>
          </cell>
          <cell r="G1730" t="str">
            <v>70001088</v>
          </cell>
          <cell r="H1730" t="str">
            <v>PLATE</v>
          </cell>
          <cell r="I1730">
            <v>90</v>
          </cell>
          <cell r="J1730" t="str">
            <v>Stk</v>
          </cell>
          <cell r="K1730">
            <v>45086</v>
          </cell>
          <cell r="L1730" t="str">
            <v>828521</v>
          </cell>
          <cell r="M1730" t="str">
            <v/>
          </cell>
          <cell r="N1730" t="str">
            <v/>
          </cell>
          <cell r="O1730" t="str">
            <v/>
          </cell>
          <cell r="P1730" t="str">
            <v/>
          </cell>
          <cell r="Q1730" t="str">
            <v/>
          </cell>
          <cell r="R1730" t="str">
            <v/>
          </cell>
          <cell r="S1730" t="str">
            <v/>
          </cell>
          <cell r="T1730" t="str">
            <v/>
          </cell>
          <cell r="U1730" t="str">
            <v>BB20018010002</v>
          </cell>
          <cell r="V1730" t="str">
            <v>B00</v>
          </cell>
          <cell r="W1730" t="str">
            <v/>
          </cell>
          <cell r="X1730" t="str">
            <v/>
          </cell>
          <cell r="Y1730" t="str">
            <v/>
          </cell>
          <cell r="Z1730" t="str">
            <v/>
          </cell>
          <cell r="AA1730" t="str">
            <v/>
          </cell>
          <cell r="AB1730" t="str">
            <v>70001088</v>
          </cell>
          <cell r="AC1730">
            <v>1</v>
          </cell>
          <cell r="AD1730" t="str">
            <v/>
          </cell>
          <cell r="AE1730">
            <v>0</v>
          </cell>
          <cell r="AF1730" t="str">
            <v/>
          </cell>
          <cell r="AG1730" t="str">
            <v>70001088</v>
          </cell>
          <cell r="AH1730">
            <v>44961.004120370373</v>
          </cell>
          <cell r="AI1730" t="str">
            <v>B00</v>
          </cell>
          <cell r="AJ1730" t="str">
            <v>F</v>
          </cell>
          <cell r="AK1730" t="str">
            <v>--</v>
          </cell>
        </row>
        <row r="1731">
          <cell r="A1731" t="str">
            <v>70001097828521</v>
          </cell>
          <cell r="B1731">
            <v>0</v>
          </cell>
          <cell r="C1731" t="e">
            <v>#N/A</v>
          </cell>
          <cell r="D1731" t="str">
            <v>EK65</v>
          </cell>
          <cell r="E1731" t="str">
            <v>706807</v>
          </cell>
          <cell r="F1731" t="str">
            <v>E</v>
          </cell>
          <cell r="G1731" t="str">
            <v>70001097</v>
          </cell>
          <cell r="H1731" t="str">
            <v>PLATE</v>
          </cell>
          <cell r="I1731">
            <v>180</v>
          </cell>
          <cell r="J1731" t="str">
            <v>Stk</v>
          </cell>
          <cell r="K1731">
            <v>45086</v>
          </cell>
          <cell r="L1731" t="str">
            <v>828521</v>
          </cell>
          <cell r="M1731" t="str">
            <v/>
          </cell>
          <cell r="N1731" t="str">
            <v/>
          </cell>
          <cell r="O1731" t="str">
            <v/>
          </cell>
          <cell r="P1731" t="str">
            <v/>
          </cell>
          <cell r="Q1731" t="str">
            <v>AW 5083 H111</v>
          </cell>
          <cell r="R1731" t="str">
            <v>EN 485</v>
          </cell>
          <cell r="S1731" t="str">
            <v/>
          </cell>
          <cell r="T1731" t="str">
            <v/>
          </cell>
          <cell r="U1731" t="str">
            <v>BB20018010012</v>
          </cell>
          <cell r="V1731" t="str">
            <v>B00</v>
          </cell>
          <cell r="W1731" t="str">
            <v/>
          </cell>
          <cell r="X1731" t="str">
            <v/>
          </cell>
          <cell r="Y1731" t="str">
            <v/>
          </cell>
          <cell r="Z1731" t="str">
            <v/>
          </cell>
          <cell r="AA1731" t="str">
            <v/>
          </cell>
          <cell r="AB1731" t="str">
            <v>70001097</v>
          </cell>
          <cell r="AC1731">
            <v>1</v>
          </cell>
          <cell r="AD1731" t="str">
            <v/>
          </cell>
          <cell r="AE1731">
            <v>0</v>
          </cell>
          <cell r="AF1731" t="str">
            <v/>
          </cell>
          <cell r="AG1731" t="str">
            <v>70001097</v>
          </cell>
          <cell r="AH1731">
            <v>44961.004293981481</v>
          </cell>
          <cell r="AI1731" t="str">
            <v>B00</v>
          </cell>
          <cell r="AJ1731" t="str">
            <v>F</v>
          </cell>
          <cell r="AK1731" t="str">
            <v>--</v>
          </cell>
        </row>
        <row r="1732">
          <cell r="A1732" t="str">
            <v>70001161828521</v>
          </cell>
          <cell r="B1732">
            <v>0</v>
          </cell>
          <cell r="C1732" t="e">
            <v>#N/A</v>
          </cell>
          <cell r="D1732" t="str">
            <v>EK65</v>
          </cell>
          <cell r="E1732" t="str">
            <v>706815</v>
          </cell>
          <cell r="F1732" t="str">
            <v>E</v>
          </cell>
          <cell r="G1732" t="str">
            <v>70001161</v>
          </cell>
          <cell r="H1732" t="str">
            <v>PLATE</v>
          </cell>
          <cell r="I1732">
            <v>90</v>
          </cell>
          <cell r="J1732" t="str">
            <v>Stk</v>
          </cell>
          <cell r="K1732">
            <v>45086</v>
          </cell>
          <cell r="L1732" t="str">
            <v>828521</v>
          </cell>
          <cell r="M1732" t="str">
            <v/>
          </cell>
          <cell r="N1732" t="str">
            <v/>
          </cell>
          <cell r="O1732" t="str">
            <v/>
          </cell>
          <cell r="P1732" t="str">
            <v/>
          </cell>
          <cell r="Q1732" t="str">
            <v/>
          </cell>
          <cell r="R1732" t="str">
            <v/>
          </cell>
          <cell r="S1732" t="str">
            <v/>
          </cell>
          <cell r="T1732" t="str">
            <v/>
          </cell>
          <cell r="U1732" t="str">
            <v>BB20024310001</v>
          </cell>
          <cell r="V1732" t="str">
            <v>B00</v>
          </cell>
          <cell r="W1732" t="str">
            <v/>
          </cell>
          <cell r="X1732" t="str">
            <v/>
          </cell>
          <cell r="Y1732" t="str">
            <v/>
          </cell>
          <cell r="Z1732" t="str">
            <v/>
          </cell>
          <cell r="AA1732" t="str">
            <v/>
          </cell>
          <cell r="AB1732" t="str">
            <v>70001161</v>
          </cell>
          <cell r="AC1732">
            <v>1</v>
          </cell>
          <cell r="AD1732" t="str">
            <v/>
          </cell>
          <cell r="AE1732">
            <v>0</v>
          </cell>
          <cell r="AF1732" t="str">
            <v/>
          </cell>
          <cell r="AG1732" t="str">
            <v>70001161</v>
          </cell>
          <cell r="AH1732">
            <v>44961.005185185182</v>
          </cell>
          <cell r="AI1732" t="str">
            <v>B00</v>
          </cell>
          <cell r="AJ1732" t="str">
            <v>F</v>
          </cell>
          <cell r="AK1732" t="str">
            <v>--</v>
          </cell>
        </row>
        <row r="1733">
          <cell r="A1733" t="str">
            <v>70001162828521</v>
          </cell>
          <cell r="B1733">
            <v>0</v>
          </cell>
          <cell r="C1733" t="e">
            <v>#N/A</v>
          </cell>
          <cell r="D1733" t="str">
            <v>EK65</v>
          </cell>
          <cell r="E1733" t="str">
            <v>706816</v>
          </cell>
          <cell r="F1733" t="str">
            <v>E</v>
          </cell>
          <cell r="G1733" t="str">
            <v>70001162</v>
          </cell>
          <cell r="H1733" t="str">
            <v>RAIL</v>
          </cell>
          <cell r="I1733">
            <v>90</v>
          </cell>
          <cell r="J1733" t="str">
            <v>Stk</v>
          </cell>
          <cell r="K1733">
            <v>45086</v>
          </cell>
          <cell r="L1733" t="str">
            <v>828521</v>
          </cell>
          <cell r="M1733" t="str">
            <v/>
          </cell>
          <cell r="N1733" t="str">
            <v/>
          </cell>
          <cell r="O1733" t="str">
            <v/>
          </cell>
          <cell r="P1733" t="str">
            <v/>
          </cell>
          <cell r="Q1733" t="str">
            <v>X2CrNi18-9</v>
          </cell>
          <cell r="R1733" t="str">
            <v>EN 10088</v>
          </cell>
          <cell r="S1733" t="str">
            <v/>
          </cell>
          <cell r="T1733" t="str">
            <v/>
          </cell>
          <cell r="U1733" t="str">
            <v>BB17059800005</v>
          </cell>
          <cell r="V1733" t="str">
            <v>E19</v>
          </cell>
          <cell r="W1733" t="str">
            <v/>
          </cell>
          <cell r="X1733" t="str">
            <v/>
          </cell>
          <cell r="Y1733" t="str">
            <v/>
          </cell>
          <cell r="Z1733" t="str">
            <v/>
          </cell>
          <cell r="AA1733" t="str">
            <v/>
          </cell>
          <cell r="AB1733" t="str">
            <v>70001162</v>
          </cell>
          <cell r="AC1733">
            <v>1</v>
          </cell>
          <cell r="AD1733" t="str">
            <v/>
          </cell>
          <cell r="AE1733">
            <v>0</v>
          </cell>
          <cell r="AF1733" t="str">
            <v/>
          </cell>
          <cell r="AG1733" t="str">
            <v>70001162</v>
          </cell>
          <cell r="AH1733">
            <v>44961.005208333336</v>
          </cell>
          <cell r="AI1733" t="str">
            <v>E19</v>
          </cell>
          <cell r="AJ1733" t="str">
            <v>F</v>
          </cell>
          <cell r="AK1733" t="str">
            <v>--</v>
          </cell>
        </row>
        <row r="1734">
          <cell r="A1734" t="str">
            <v>70001163828521</v>
          </cell>
          <cell r="B1734">
            <v>0</v>
          </cell>
          <cell r="C1734" t="e">
            <v>#N/A</v>
          </cell>
          <cell r="D1734" t="str">
            <v>EK65</v>
          </cell>
          <cell r="E1734" t="str">
            <v>706817</v>
          </cell>
          <cell r="F1734" t="str">
            <v>E</v>
          </cell>
          <cell r="G1734" t="str">
            <v>70001163</v>
          </cell>
          <cell r="H1734" t="str">
            <v>BRACKET</v>
          </cell>
          <cell r="I1734">
            <v>90</v>
          </cell>
          <cell r="J1734" t="str">
            <v>Stk</v>
          </cell>
          <cell r="K1734">
            <v>45086</v>
          </cell>
          <cell r="L1734" t="str">
            <v>828521</v>
          </cell>
          <cell r="M1734" t="str">
            <v/>
          </cell>
          <cell r="N1734" t="str">
            <v/>
          </cell>
          <cell r="O1734" t="str">
            <v/>
          </cell>
          <cell r="P1734" t="str">
            <v/>
          </cell>
          <cell r="Q1734" t="str">
            <v>AW 5083 H111</v>
          </cell>
          <cell r="R1734" t="str">
            <v>EN 485</v>
          </cell>
          <cell r="S1734" t="str">
            <v/>
          </cell>
          <cell r="T1734" t="str">
            <v/>
          </cell>
          <cell r="U1734" t="str">
            <v>BB20024310002</v>
          </cell>
          <cell r="V1734" t="str">
            <v>I31</v>
          </cell>
          <cell r="W1734" t="str">
            <v/>
          </cell>
          <cell r="X1734" t="str">
            <v/>
          </cell>
          <cell r="Y1734" t="str">
            <v/>
          </cell>
          <cell r="Z1734" t="str">
            <v/>
          </cell>
          <cell r="AA1734" t="str">
            <v/>
          </cell>
          <cell r="AB1734" t="str">
            <v>70001163</v>
          </cell>
          <cell r="AC1734">
            <v>1</v>
          </cell>
          <cell r="AD1734" t="str">
            <v/>
          </cell>
          <cell r="AE1734">
            <v>0</v>
          </cell>
          <cell r="AF1734" t="str">
            <v/>
          </cell>
          <cell r="AG1734" t="str">
            <v>70001163</v>
          </cell>
          <cell r="AH1734">
            <v>44961.005219907405</v>
          </cell>
          <cell r="AI1734" t="str">
            <v>I31</v>
          </cell>
          <cell r="AJ1734" t="str">
            <v>F</v>
          </cell>
          <cell r="AK1734" t="str">
            <v>--</v>
          </cell>
        </row>
        <row r="1735">
          <cell r="A1735" t="str">
            <v>70001171828521</v>
          </cell>
          <cell r="B1735">
            <v>0</v>
          </cell>
          <cell r="C1735" t="e">
            <v>#N/A</v>
          </cell>
          <cell r="D1735" t="str">
            <v>EK65</v>
          </cell>
          <cell r="E1735" t="str">
            <v>706819</v>
          </cell>
          <cell r="F1735" t="str">
            <v>E</v>
          </cell>
          <cell r="G1735" t="str">
            <v>70001171</v>
          </cell>
          <cell r="H1735" t="str">
            <v>SHIM 2MM</v>
          </cell>
          <cell r="I1735">
            <v>360</v>
          </cell>
          <cell r="J1735" t="str">
            <v>Stk</v>
          </cell>
          <cell r="K1735">
            <v>45086</v>
          </cell>
          <cell r="L1735" t="str">
            <v>828521</v>
          </cell>
          <cell r="M1735" t="str">
            <v/>
          </cell>
          <cell r="N1735" t="str">
            <v/>
          </cell>
          <cell r="O1735" t="str">
            <v/>
          </cell>
          <cell r="P1735" t="str">
            <v/>
          </cell>
          <cell r="Q1735" t="str">
            <v/>
          </cell>
          <cell r="R1735" t="str">
            <v/>
          </cell>
          <cell r="S1735" t="str">
            <v/>
          </cell>
          <cell r="T1735" t="str">
            <v/>
          </cell>
          <cell r="U1735" t="str">
            <v>BB20019310005</v>
          </cell>
          <cell r="V1735" t="str">
            <v>B00</v>
          </cell>
          <cell r="W1735" t="str">
            <v/>
          </cell>
          <cell r="X1735" t="str">
            <v/>
          </cell>
          <cell r="Y1735" t="str">
            <v/>
          </cell>
          <cell r="Z1735" t="str">
            <v/>
          </cell>
          <cell r="AA1735" t="str">
            <v/>
          </cell>
          <cell r="AB1735" t="str">
            <v>70001171</v>
          </cell>
          <cell r="AC1735">
            <v>1</v>
          </cell>
          <cell r="AD1735" t="str">
            <v/>
          </cell>
          <cell r="AE1735">
            <v>0</v>
          </cell>
          <cell r="AF1735" t="str">
            <v/>
          </cell>
          <cell r="AG1735" t="str">
            <v>70001171</v>
          </cell>
          <cell r="AH1735">
            <v>44961.005335648151</v>
          </cell>
          <cell r="AI1735" t="str">
            <v>B00</v>
          </cell>
          <cell r="AJ1735" t="str">
            <v>F</v>
          </cell>
          <cell r="AK1735" t="str">
            <v>--</v>
          </cell>
        </row>
        <row r="1736">
          <cell r="A1736" t="str">
            <v>70001172828521</v>
          </cell>
          <cell r="B1736">
            <v>0</v>
          </cell>
          <cell r="C1736" t="e">
            <v>#N/A</v>
          </cell>
          <cell r="D1736" t="str">
            <v>EK65</v>
          </cell>
          <cell r="E1736" t="str">
            <v>706820</v>
          </cell>
          <cell r="F1736" t="str">
            <v>E</v>
          </cell>
          <cell r="G1736" t="str">
            <v>70001172</v>
          </cell>
          <cell r="H1736" t="str">
            <v>SHIM 1MM</v>
          </cell>
          <cell r="I1736">
            <v>720</v>
          </cell>
          <cell r="J1736" t="str">
            <v>Stk</v>
          </cell>
          <cell r="K1736">
            <v>45086</v>
          </cell>
          <cell r="L1736" t="str">
            <v>828521</v>
          </cell>
          <cell r="M1736" t="str">
            <v/>
          </cell>
          <cell r="N1736" t="str">
            <v/>
          </cell>
          <cell r="O1736" t="str">
            <v/>
          </cell>
          <cell r="P1736" t="str">
            <v/>
          </cell>
          <cell r="Q1736" t="str">
            <v/>
          </cell>
          <cell r="R1736" t="str">
            <v/>
          </cell>
          <cell r="S1736" t="str">
            <v/>
          </cell>
          <cell r="T1736" t="str">
            <v/>
          </cell>
          <cell r="U1736" t="str">
            <v>BB20019310006</v>
          </cell>
          <cell r="V1736" t="str">
            <v>B00</v>
          </cell>
          <cell r="W1736" t="str">
            <v/>
          </cell>
          <cell r="X1736" t="str">
            <v/>
          </cell>
          <cell r="Y1736" t="str">
            <v/>
          </cell>
          <cell r="Z1736" t="str">
            <v/>
          </cell>
          <cell r="AA1736" t="str">
            <v/>
          </cell>
          <cell r="AB1736" t="str">
            <v>70001172</v>
          </cell>
          <cell r="AC1736">
            <v>1</v>
          </cell>
          <cell r="AD1736" t="str">
            <v/>
          </cell>
          <cell r="AE1736">
            <v>0</v>
          </cell>
          <cell r="AF1736" t="str">
            <v/>
          </cell>
          <cell r="AG1736" t="str">
            <v>70001172</v>
          </cell>
          <cell r="AH1736">
            <v>44961.005358796298</v>
          </cell>
          <cell r="AI1736" t="str">
            <v>B00</v>
          </cell>
          <cell r="AJ1736" t="str">
            <v>F</v>
          </cell>
          <cell r="AK1736" t="str">
            <v>--</v>
          </cell>
        </row>
        <row r="1737">
          <cell r="A1737" t="str">
            <v>70002557828521</v>
          </cell>
          <cell r="B1737">
            <v>0</v>
          </cell>
          <cell r="C1737" t="e">
            <v>#N/A</v>
          </cell>
          <cell r="D1737" t="str">
            <v>EK65</v>
          </cell>
          <cell r="E1737" t="str">
            <v>687074</v>
          </cell>
          <cell r="F1737" t="str">
            <v>E</v>
          </cell>
          <cell r="G1737" t="str">
            <v>70002557</v>
          </cell>
          <cell r="H1737" t="str">
            <v>THREADED SHAFT</v>
          </cell>
          <cell r="I1737">
            <v>180</v>
          </cell>
          <cell r="J1737" t="str">
            <v>Stk</v>
          </cell>
          <cell r="K1737">
            <v>45089</v>
          </cell>
          <cell r="L1737" t="str">
            <v>828521</v>
          </cell>
          <cell r="M1737" t="str">
            <v/>
          </cell>
          <cell r="N1737" t="str">
            <v/>
          </cell>
          <cell r="O1737" t="str">
            <v/>
          </cell>
          <cell r="P1737" t="str">
            <v/>
          </cell>
          <cell r="Q1737" t="str">
            <v/>
          </cell>
          <cell r="R1737" t="str">
            <v/>
          </cell>
          <cell r="S1737" t="str">
            <v/>
          </cell>
          <cell r="T1737" t="str">
            <v/>
          </cell>
          <cell r="U1737" t="str">
            <v>BB20039710007</v>
          </cell>
          <cell r="V1737" t="str">
            <v>N52</v>
          </cell>
          <cell r="W1737" t="str">
            <v/>
          </cell>
          <cell r="X1737" t="str">
            <v/>
          </cell>
          <cell r="Y1737" t="str">
            <v/>
          </cell>
          <cell r="Z1737" t="str">
            <v/>
          </cell>
          <cell r="AA1737" t="str">
            <v/>
          </cell>
          <cell r="AB1737" t="str">
            <v>70002557</v>
          </cell>
          <cell r="AC1737">
            <v>1</v>
          </cell>
          <cell r="AD1737" t="str">
            <v/>
          </cell>
          <cell r="AE1737">
            <v>0</v>
          </cell>
          <cell r="AF1737" t="str">
            <v/>
          </cell>
          <cell r="AG1737" t="str">
            <v>70002557</v>
          </cell>
          <cell r="AH1737">
            <v>44916.137245370373</v>
          </cell>
          <cell r="AI1737" t="str">
            <v>N52</v>
          </cell>
          <cell r="AJ1737" t="str">
            <v>F</v>
          </cell>
          <cell r="AK1737" t="str">
            <v>--</v>
          </cell>
        </row>
        <row r="1738">
          <cell r="A1738" t="str">
            <v>70001117828521</v>
          </cell>
          <cell r="B1738">
            <v>0</v>
          </cell>
          <cell r="C1738" t="e">
            <v>#N/A</v>
          </cell>
          <cell r="D1738" t="str">
            <v>EK65</v>
          </cell>
          <cell r="E1738" t="str">
            <v>700450</v>
          </cell>
          <cell r="F1738" t="str">
            <v>E</v>
          </cell>
          <cell r="G1738" t="str">
            <v>70001117</v>
          </cell>
          <cell r="H1738" t="str">
            <v>SHIM</v>
          </cell>
          <cell r="I1738">
            <v>180</v>
          </cell>
          <cell r="J1738" t="str">
            <v>Stk</v>
          </cell>
          <cell r="K1738">
            <v>45089</v>
          </cell>
          <cell r="L1738" t="str">
            <v>828521</v>
          </cell>
          <cell r="M1738" t="str">
            <v/>
          </cell>
          <cell r="N1738" t="str">
            <v/>
          </cell>
          <cell r="O1738" t="str">
            <v/>
          </cell>
          <cell r="P1738" t="str">
            <v/>
          </cell>
          <cell r="Q1738" t="str">
            <v/>
          </cell>
          <cell r="R1738" t="str">
            <v/>
          </cell>
          <cell r="S1738" t="str">
            <v/>
          </cell>
          <cell r="T1738" t="str">
            <v/>
          </cell>
          <cell r="U1738" t="str">
            <v>BB12956410022</v>
          </cell>
          <cell r="V1738" t="str">
            <v>N32</v>
          </cell>
          <cell r="W1738" t="str">
            <v/>
          </cell>
          <cell r="X1738" t="str">
            <v/>
          </cell>
          <cell r="Y1738" t="str">
            <v/>
          </cell>
          <cell r="Z1738" t="str">
            <v/>
          </cell>
          <cell r="AA1738" t="str">
            <v/>
          </cell>
          <cell r="AB1738" t="str">
            <v>70001117</v>
          </cell>
          <cell r="AC1738">
            <v>1</v>
          </cell>
          <cell r="AD1738" t="str">
            <v/>
          </cell>
          <cell r="AE1738">
            <v>0</v>
          </cell>
          <cell r="AF1738" t="str">
            <v/>
          </cell>
          <cell r="AG1738" t="str">
            <v>70001117</v>
          </cell>
          <cell r="AH1738">
            <v>44945.943287037036</v>
          </cell>
          <cell r="AI1738" t="str">
            <v>N32</v>
          </cell>
          <cell r="AJ1738" t="str">
            <v>F</v>
          </cell>
          <cell r="AK1738" t="str">
            <v>A0</v>
          </cell>
        </row>
        <row r="1739">
          <cell r="A1739" t="str">
            <v>70001118828521</v>
          </cell>
          <cell r="B1739">
            <v>0</v>
          </cell>
          <cell r="C1739" t="e">
            <v>#N/A</v>
          </cell>
          <cell r="D1739" t="str">
            <v>EK65</v>
          </cell>
          <cell r="E1739" t="str">
            <v>700451</v>
          </cell>
          <cell r="F1739" t="str">
            <v>E</v>
          </cell>
          <cell r="G1739" t="str">
            <v>70001118</v>
          </cell>
          <cell r="H1739" t="str">
            <v>SHIM</v>
          </cell>
          <cell r="I1739">
            <v>180</v>
          </cell>
          <cell r="J1739" t="str">
            <v>Stk</v>
          </cell>
          <cell r="K1739">
            <v>45089</v>
          </cell>
          <cell r="L1739" t="str">
            <v>828521</v>
          </cell>
          <cell r="M1739" t="str">
            <v/>
          </cell>
          <cell r="N1739" t="str">
            <v/>
          </cell>
          <cell r="O1739" t="str">
            <v/>
          </cell>
          <cell r="P1739" t="str">
            <v/>
          </cell>
          <cell r="Q1739" t="str">
            <v/>
          </cell>
          <cell r="R1739" t="str">
            <v/>
          </cell>
          <cell r="S1739" t="str">
            <v/>
          </cell>
          <cell r="T1739" t="str">
            <v/>
          </cell>
          <cell r="U1739" t="str">
            <v>BB12956410010</v>
          </cell>
          <cell r="V1739" t="str">
            <v>N32</v>
          </cell>
          <cell r="W1739" t="str">
            <v/>
          </cell>
          <cell r="X1739" t="str">
            <v/>
          </cell>
          <cell r="Y1739" t="str">
            <v/>
          </cell>
          <cell r="Z1739" t="str">
            <v/>
          </cell>
          <cell r="AA1739" t="str">
            <v/>
          </cell>
          <cell r="AB1739" t="str">
            <v>70001118</v>
          </cell>
          <cell r="AC1739">
            <v>1</v>
          </cell>
          <cell r="AD1739" t="str">
            <v/>
          </cell>
          <cell r="AE1739">
            <v>0</v>
          </cell>
          <cell r="AF1739" t="str">
            <v/>
          </cell>
          <cell r="AG1739" t="str">
            <v>70001118</v>
          </cell>
          <cell r="AH1739">
            <v>44945.943298611113</v>
          </cell>
          <cell r="AI1739" t="str">
            <v>N32</v>
          </cell>
          <cell r="AJ1739" t="str">
            <v>F</v>
          </cell>
          <cell r="AK1739" t="str">
            <v>B0</v>
          </cell>
        </row>
        <row r="1740">
          <cell r="A1740" t="str">
            <v>70001107828521</v>
          </cell>
          <cell r="B1740">
            <v>0</v>
          </cell>
          <cell r="C1740" t="e">
            <v>#N/A</v>
          </cell>
          <cell r="D1740" t="str">
            <v>EK65</v>
          </cell>
          <cell r="E1740" t="str">
            <v>706808</v>
          </cell>
          <cell r="F1740" t="str">
            <v>E</v>
          </cell>
          <cell r="G1740" t="str">
            <v>70001107</v>
          </cell>
          <cell r="H1740" t="str">
            <v>BRACKET</v>
          </cell>
          <cell r="I1740">
            <v>90</v>
          </cell>
          <cell r="J1740" t="str">
            <v>Stk</v>
          </cell>
          <cell r="K1740">
            <v>45089</v>
          </cell>
          <cell r="L1740" t="str">
            <v>828521</v>
          </cell>
          <cell r="M1740" t="str">
            <v/>
          </cell>
          <cell r="N1740" t="str">
            <v/>
          </cell>
          <cell r="O1740" t="str">
            <v/>
          </cell>
          <cell r="P1740" t="str">
            <v/>
          </cell>
          <cell r="Q1740" t="str">
            <v/>
          </cell>
          <cell r="R1740" t="str">
            <v/>
          </cell>
          <cell r="S1740" t="str">
            <v/>
          </cell>
          <cell r="T1740" t="str">
            <v/>
          </cell>
          <cell r="U1740" t="str">
            <v>BB20018210002</v>
          </cell>
          <cell r="V1740" t="str">
            <v>B00</v>
          </cell>
          <cell r="W1740" t="str">
            <v/>
          </cell>
          <cell r="X1740" t="str">
            <v/>
          </cell>
          <cell r="Y1740" t="str">
            <v/>
          </cell>
          <cell r="Z1740" t="str">
            <v/>
          </cell>
          <cell r="AA1740" t="str">
            <v/>
          </cell>
          <cell r="AB1740" t="str">
            <v>70001107</v>
          </cell>
          <cell r="AC1740">
            <v>1</v>
          </cell>
          <cell r="AD1740" t="str">
            <v/>
          </cell>
          <cell r="AE1740">
            <v>0</v>
          </cell>
          <cell r="AF1740" t="str">
            <v/>
          </cell>
          <cell r="AG1740" t="str">
            <v>70001107</v>
          </cell>
          <cell r="AH1740">
            <v>44961.004490740743</v>
          </cell>
          <cell r="AI1740" t="str">
            <v>B00</v>
          </cell>
          <cell r="AJ1740" t="str">
            <v>F</v>
          </cell>
          <cell r="AK1740" t="str">
            <v>--</v>
          </cell>
        </row>
        <row r="1741">
          <cell r="A1741" t="str">
            <v>70001108828521</v>
          </cell>
          <cell r="B1741">
            <v>0</v>
          </cell>
          <cell r="C1741" t="e">
            <v>#N/A</v>
          </cell>
          <cell r="D1741" t="str">
            <v>EK65</v>
          </cell>
          <cell r="E1741" t="str">
            <v>706809</v>
          </cell>
          <cell r="F1741" t="str">
            <v>E</v>
          </cell>
          <cell r="G1741" t="str">
            <v>70001108</v>
          </cell>
          <cell r="H1741" t="str">
            <v>BRACKET</v>
          </cell>
          <cell r="I1741">
            <v>90</v>
          </cell>
          <cell r="J1741" t="str">
            <v>Stk</v>
          </cell>
          <cell r="K1741">
            <v>45089</v>
          </cell>
          <cell r="L1741" t="str">
            <v>828521</v>
          </cell>
          <cell r="M1741" t="str">
            <v/>
          </cell>
          <cell r="N1741" t="str">
            <v/>
          </cell>
          <cell r="O1741" t="str">
            <v/>
          </cell>
          <cell r="P1741" t="str">
            <v/>
          </cell>
          <cell r="Q1741" t="str">
            <v/>
          </cell>
          <cell r="R1741" t="str">
            <v/>
          </cell>
          <cell r="S1741" t="str">
            <v/>
          </cell>
          <cell r="T1741" t="str">
            <v/>
          </cell>
          <cell r="U1741" t="str">
            <v>BB20018210003</v>
          </cell>
          <cell r="V1741" t="str">
            <v>B00</v>
          </cell>
          <cell r="W1741" t="str">
            <v/>
          </cell>
          <cell r="X1741" t="str">
            <v/>
          </cell>
          <cell r="Y1741" t="str">
            <v/>
          </cell>
          <cell r="Z1741" t="str">
            <v/>
          </cell>
          <cell r="AA1741" t="str">
            <v/>
          </cell>
          <cell r="AB1741" t="str">
            <v>70001108</v>
          </cell>
          <cell r="AC1741">
            <v>1</v>
          </cell>
          <cell r="AD1741" t="str">
            <v/>
          </cell>
          <cell r="AE1741">
            <v>0</v>
          </cell>
          <cell r="AF1741" t="str">
            <v/>
          </cell>
          <cell r="AG1741" t="str">
            <v>70001108</v>
          </cell>
          <cell r="AH1741">
            <v>44961.004502314812</v>
          </cell>
          <cell r="AI1741" t="str">
            <v>B00</v>
          </cell>
          <cell r="AJ1741" t="str">
            <v>F</v>
          </cell>
          <cell r="AK1741" t="str">
            <v>--</v>
          </cell>
        </row>
        <row r="1742">
          <cell r="A1742" t="str">
            <v>70001109828521</v>
          </cell>
          <cell r="B1742">
            <v>0</v>
          </cell>
          <cell r="C1742" t="e">
            <v>#N/A</v>
          </cell>
          <cell r="D1742" t="str">
            <v>EK65</v>
          </cell>
          <cell r="E1742" t="str">
            <v>706810</v>
          </cell>
          <cell r="F1742" t="str">
            <v>E</v>
          </cell>
          <cell r="G1742" t="str">
            <v>70001109</v>
          </cell>
          <cell r="H1742" t="str">
            <v>BRACKET</v>
          </cell>
          <cell r="I1742">
            <v>90</v>
          </cell>
          <cell r="J1742" t="str">
            <v>Stk</v>
          </cell>
          <cell r="K1742">
            <v>45089</v>
          </cell>
          <cell r="L1742" t="str">
            <v>828521</v>
          </cell>
          <cell r="M1742" t="str">
            <v/>
          </cell>
          <cell r="N1742" t="str">
            <v/>
          </cell>
          <cell r="O1742" t="str">
            <v/>
          </cell>
          <cell r="P1742" t="str">
            <v/>
          </cell>
          <cell r="Q1742" t="str">
            <v/>
          </cell>
          <cell r="R1742" t="str">
            <v/>
          </cell>
          <cell r="S1742" t="str">
            <v/>
          </cell>
          <cell r="T1742" t="str">
            <v/>
          </cell>
          <cell r="U1742" t="str">
            <v>BB20018210004</v>
          </cell>
          <cell r="V1742" t="str">
            <v>B00</v>
          </cell>
          <cell r="W1742" t="str">
            <v/>
          </cell>
          <cell r="X1742" t="str">
            <v/>
          </cell>
          <cell r="Y1742" t="str">
            <v/>
          </cell>
          <cell r="Z1742" t="str">
            <v/>
          </cell>
          <cell r="AA1742" t="str">
            <v/>
          </cell>
          <cell r="AB1742" t="str">
            <v>70001109</v>
          </cell>
          <cell r="AC1742">
            <v>1</v>
          </cell>
          <cell r="AD1742" t="str">
            <v/>
          </cell>
          <cell r="AE1742">
            <v>0</v>
          </cell>
          <cell r="AF1742" t="str">
            <v/>
          </cell>
          <cell r="AG1742" t="str">
            <v>70001109</v>
          </cell>
          <cell r="AH1742">
            <v>44961.004525462966</v>
          </cell>
          <cell r="AI1742" t="str">
            <v>B00</v>
          </cell>
          <cell r="AJ1742" t="str">
            <v>F</v>
          </cell>
          <cell r="AK1742" t="str">
            <v>--</v>
          </cell>
        </row>
        <row r="1743">
          <cell r="A1743" t="str">
            <v>70001110828521</v>
          </cell>
          <cell r="B1743">
            <v>0</v>
          </cell>
          <cell r="C1743" t="e">
            <v>#N/A</v>
          </cell>
          <cell r="D1743" t="str">
            <v>EK65</v>
          </cell>
          <cell r="E1743" t="str">
            <v>706811</v>
          </cell>
          <cell r="F1743" t="str">
            <v>E</v>
          </cell>
          <cell r="G1743" t="str">
            <v>70001110</v>
          </cell>
          <cell r="H1743" t="str">
            <v>SHIM</v>
          </cell>
          <cell r="I1743">
            <v>4860</v>
          </cell>
          <cell r="J1743" t="str">
            <v>Stk</v>
          </cell>
          <cell r="K1743">
            <v>45089</v>
          </cell>
          <cell r="L1743" t="str">
            <v>828521</v>
          </cell>
          <cell r="M1743" t="str">
            <v/>
          </cell>
          <cell r="N1743" t="str">
            <v/>
          </cell>
          <cell r="O1743" t="str">
            <v/>
          </cell>
          <cell r="P1743" t="str">
            <v/>
          </cell>
          <cell r="Q1743" t="str">
            <v/>
          </cell>
          <cell r="R1743" t="str">
            <v/>
          </cell>
          <cell r="S1743" t="str">
            <v/>
          </cell>
          <cell r="T1743" t="str">
            <v/>
          </cell>
          <cell r="U1743" t="str">
            <v>BB20018210005</v>
          </cell>
          <cell r="V1743" t="str">
            <v>B00</v>
          </cell>
          <cell r="W1743" t="str">
            <v/>
          </cell>
          <cell r="X1743" t="str">
            <v/>
          </cell>
          <cell r="Y1743" t="str">
            <v/>
          </cell>
          <cell r="Z1743" t="str">
            <v/>
          </cell>
          <cell r="AA1743" t="str">
            <v/>
          </cell>
          <cell r="AB1743" t="str">
            <v>70001110</v>
          </cell>
          <cell r="AC1743">
            <v>1</v>
          </cell>
          <cell r="AD1743" t="str">
            <v/>
          </cell>
          <cell r="AE1743">
            <v>0</v>
          </cell>
          <cell r="AF1743" t="str">
            <v/>
          </cell>
          <cell r="AG1743" t="str">
            <v>70001110</v>
          </cell>
          <cell r="AH1743">
            <v>44961.004537037035</v>
          </cell>
          <cell r="AI1743" t="str">
            <v>B00</v>
          </cell>
          <cell r="AJ1743" t="str">
            <v>F</v>
          </cell>
          <cell r="AK1743" t="str">
            <v>--</v>
          </cell>
        </row>
        <row r="1744">
          <cell r="A1744" t="str">
            <v>70001111828521</v>
          </cell>
          <cell r="B1744">
            <v>0</v>
          </cell>
          <cell r="C1744" t="e">
            <v>#N/A</v>
          </cell>
          <cell r="D1744" t="str">
            <v>EK65</v>
          </cell>
          <cell r="E1744" t="str">
            <v>706812</v>
          </cell>
          <cell r="F1744" t="str">
            <v>E</v>
          </cell>
          <cell r="G1744" t="str">
            <v>70001111</v>
          </cell>
          <cell r="H1744" t="str">
            <v>SHIM</v>
          </cell>
          <cell r="I1744">
            <v>6480</v>
          </cell>
          <cell r="J1744" t="str">
            <v>Stk</v>
          </cell>
          <cell r="K1744">
            <v>45089</v>
          </cell>
          <cell r="L1744" t="str">
            <v>828521</v>
          </cell>
          <cell r="M1744" t="str">
            <v/>
          </cell>
          <cell r="N1744" t="str">
            <v/>
          </cell>
          <cell r="O1744" t="str">
            <v/>
          </cell>
          <cell r="P1744" t="str">
            <v/>
          </cell>
          <cell r="Q1744" t="str">
            <v/>
          </cell>
          <cell r="R1744" t="str">
            <v/>
          </cell>
          <cell r="S1744" t="str">
            <v/>
          </cell>
          <cell r="T1744" t="str">
            <v/>
          </cell>
          <cell r="U1744" t="str">
            <v>BB20018210006</v>
          </cell>
          <cell r="V1744" t="str">
            <v>B00</v>
          </cell>
          <cell r="W1744" t="str">
            <v/>
          </cell>
          <cell r="X1744" t="str">
            <v/>
          </cell>
          <cell r="Y1744" t="str">
            <v/>
          </cell>
          <cell r="Z1744" t="str">
            <v/>
          </cell>
          <cell r="AA1744" t="str">
            <v/>
          </cell>
          <cell r="AB1744" t="str">
            <v>70001111</v>
          </cell>
          <cell r="AC1744">
            <v>1</v>
          </cell>
          <cell r="AD1744" t="str">
            <v/>
          </cell>
          <cell r="AE1744">
            <v>0</v>
          </cell>
          <cell r="AF1744" t="str">
            <v/>
          </cell>
          <cell r="AG1744" t="str">
            <v>70001111</v>
          </cell>
          <cell r="AH1744">
            <v>44961.004548611112</v>
          </cell>
          <cell r="AI1744" t="str">
            <v>B00</v>
          </cell>
          <cell r="AJ1744" t="str">
            <v>F</v>
          </cell>
          <cell r="AK1744" t="str">
            <v>--</v>
          </cell>
        </row>
        <row r="1745">
          <cell r="A1745" t="str">
            <v>70001332828521</v>
          </cell>
          <cell r="B1745">
            <v>0</v>
          </cell>
          <cell r="C1745" t="e">
            <v>#N/A</v>
          </cell>
          <cell r="D1745" t="str">
            <v>EK65</v>
          </cell>
          <cell r="E1745" t="str">
            <v>706836</v>
          </cell>
          <cell r="F1745" t="str">
            <v>E</v>
          </cell>
          <cell r="G1745" t="str">
            <v>70001332</v>
          </cell>
          <cell r="H1745" t="str">
            <v>SUPPORT</v>
          </cell>
          <cell r="I1745">
            <v>90</v>
          </cell>
          <cell r="J1745" t="str">
            <v>Stk</v>
          </cell>
          <cell r="K1745">
            <v>45089</v>
          </cell>
          <cell r="L1745" t="str">
            <v>828521</v>
          </cell>
          <cell r="M1745" t="str">
            <v/>
          </cell>
          <cell r="N1745" t="str">
            <v/>
          </cell>
          <cell r="O1745" t="str">
            <v/>
          </cell>
          <cell r="P1745" t="str">
            <v/>
          </cell>
          <cell r="Q1745" t="str">
            <v/>
          </cell>
          <cell r="R1745" t="str">
            <v/>
          </cell>
          <cell r="S1745" t="str">
            <v/>
          </cell>
          <cell r="T1745" t="str">
            <v/>
          </cell>
          <cell r="U1745" t="str">
            <v>BB18719710001</v>
          </cell>
          <cell r="V1745" t="str">
            <v>B50</v>
          </cell>
          <cell r="W1745" t="str">
            <v/>
          </cell>
          <cell r="X1745" t="str">
            <v/>
          </cell>
          <cell r="Y1745" t="str">
            <v/>
          </cell>
          <cell r="Z1745" t="str">
            <v/>
          </cell>
          <cell r="AA1745" t="str">
            <v/>
          </cell>
          <cell r="AB1745" t="str">
            <v>70001332</v>
          </cell>
          <cell r="AC1745">
            <v>1</v>
          </cell>
          <cell r="AD1745" t="str">
            <v/>
          </cell>
          <cell r="AE1745">
            <v>0</v>
          </cell>
          <cell r="AF1745" t="str">
            <v/>
          </cell>
          <cell r="AG1745" t="str">
            <v>70001332</v>
          </cell>
          <cell r="AH1745">
            <v>44961.007662037038</v>
          </cell>
          <cell r="AI1745" t="str">
            <v>B50</v>
          </cell>
          <cell r="AJ1745" t="str">
            <v>F</v>
          </cell>
          <cell r="AK1745" t="str">
            <v>--</v>
          </cell>
        </row>
        <row r="1746">
          <cell r="A1746" t="str">
            <v>70002563828521</v>
          </cell>
          <cell r="B1746">
            <v>0</v>
          </cell>
          <cell r="C1746" t="e">
            <v>#N/A</v>
          </cell>
          <cell r="D1746" t="str">
            <v>EK65</v>
          </cell>
          <cell r="E1746" t="str">
            <v>706935</v>
          </cell>
          <cell r="F1746" t="str">
            <v>E</v>
          </cell>
          <cell r="G1746" t="str">
            <v>70002563</v>
          </cell>
          <cell r="H1746" t="str">
            <v>SHIM 1MM</v>
          </cell>
          <cell r="I1746">
            <v>360</v>
          </cell>
          <cell r="J1746" t="str">
            <v>Stk</v>
          </cell>
          <cell r="K1746">
            <v>45089</v>
          </cell>
          <cell r="L1746" t="str">
            <v>828521</v>
          </cell>
          <cell r="M1746" t="str">
            <v/>
          </cell>
          <cell r="N1746" t="str">
            <v/>
          </cell>
          <cell r="O1746" t="str">
            <v/>
          </cell>
          <cell r="P1746" t="str">
            <v/>
          </cell>
          <cell r="Q1746" t="str">
            <v/>
          </cell>
          <cell r="R1746" t="str">
            <v/>
          </cell>
          <cell r="S1746" t="str">
            <v/>
          </cell>
          <cell r="T1746" t="str">
            <v/>
          </cell>
          <cell r="U1746" t="str">
            <v>BB20039710014</v>
          </cell>
          <cell r="V1746" t="str">
            <v>B50</v>
          </cell>
          <cell r="W1746" t="str">
            <v/>
          </cell>
          <cell r="X1746" t="str">
            <v/>
          </cell>
          <cell r="Y1746" t="str">
            <v/>
          </cell>
          <cell r="Z1746" t="str">
            <v/>
          </cell>
          <cell r="AA1746" t="str">
            <v/>
          </cell>
          <cell r="AB1746" t="str">
            <v>70002563</v>
          </cell>
          <cell r="AC1746">
            <v>1</v>
          </cell>
          <cell r="AD1746" t="str">
            <v/>
          </cell>
          <cell r="AE1746">
            <v>0</v>
          </cell>
          <cell r="AF1746" t="str">
            <v/>
          </cell>
          <cell r="AG1746" t="str">
            <v>70002563</v>
          </cell>
          <cell r="AH1746">
            <v>44961.018252314818</v>
          </cell>
          <cell r="AI1746" t="str">
            <v>B50</v>
          </cell>
          <cell r="AJ1746" t="str">
            <v>F</v>
          </cell>
          <cell r="AK1746" t="str">
            <v>--</v>
          </cell>
        </row>
        <row r="1747">
          <cell r="A1747" t="str">
            <v>70002564828521</v>
          </cell>
          <cell r="B1747">
            <v>0</v>
          </cell>
          <cell r="C1747" t="e">
            <v>#N/A</v>
          </cell>
          <cell r="D1747" t="str">
            <v>EK65</v>
          </cell>
          <cell r="E1747" t="str">
            <v>706936</v>
          </cell>
          <cell r="F1747" t="str">
            <v>E</v>
          </cell>
          <cell r="G1747" t="str">
            <v>70002564</v>
          </cell>
          <cell r="H1747" t="str">
            <v>SHIM 1MM</v>
          </cell>
          <cell r="I1747">
            <v>360</v>
          </cell>
          <cell r="J1747" t="str">
            <v>Stk</v>
          </cell>
          <cell r="K1747">
            <v>45089</v>
          </cell>
          <cell r="L1747" t="str">
            <v>828521</v>
          </cell>
          <cell r="M1747" t="str">
            <v/>
          </cell>
          <cell r="N1747" t="str">
            <v/>
          </cell>
          <cell r="O1747" t="str">
            <v/>
          </cell>
          <cell r="P1747" t="str">
            <v/>
          </cell>
          <cell r="Q1747" t="str">
            <v/>
          </cell>
          <cell r="R1747" t="str">
            <v/>
          </cell>
          <cell r="S1747" t="str">
            <v/>
          </cell>
          <cell r="T1747" t="str">
            <v/>
          </cell>
          <cell r="U1747" t="str">
            <v>BB20039710015</v>
          </cell>
          <cell r="V1747" t="str">
            <v>B50</v>
          </cell>
          <cell r="W1747" t="str">
            <v/>
          </cell>
          <cell r="X1747" t="str">
            <v/>
          </cell>
          <cell r="Y1747" t="str">
            <v/>
          </cell>
          <cell r="Z1747" t="str">
            <v/>
          </cell>
          <cell r="AA1747" t="str">
            <v/>
          </cell>
          <cell r="AB1747" t="str">
            <v>70002564</v>
          </cell>
          <cell r="AC1747">
            <v>1</v>
          </cell>
          <cell r="AD1747" t="str">
            <v/>
          </cell>
          <cell r="AE1747">
            <v>0</v>
          </cell>
          <cell r="AF1747" t="str">
            <v/>
          </cell>
          <cell r="AG1747" t="str">
            <v>70002564</v>
          </cell>
          <cell r="AH1747">
            <v>44961.018275462964</v>
          </cell>
          <cell r="AI1747" t="str">
            <v>B50</v>
          </cell>
          <cell r="AJ1747" t="str">
            <v>F</v>
          </cell>
          <cell r="AK1747" t="str">
            <v>--</v>
          </cell>
        </row>
        <row r="1748">
          <cell r="A1748" t="str">
            <v>70000441828521</v>
          </cell>
          <cell r="B1748">
            <v>0</v>
          </cell>
          <cell r="C1748" t="e">
            <v>#N/A</v>
          </cell>
          <cell r="D1748" t="str">
            <v>EK65</v>
          </cell>
          <cell r="E1748" t="str">
            <v>706727</v>
          </cell>
          <cell r="F1748" t="str">
            <v>E</v>
          </cell>
          <cell r="G1748" t="str">
            <v>70000441</v>
          </cell>
          <cell r="H1748" t="str">
            <v>PLATE</v>
          </cell>
          <cell r="I1748">
            <v>360</v>
          </cell>
          <cell r="J1748" t="str">
            <v>Stk</v>
          </cell>
          <cell r="K1748">
            <v>45090</v>
          </cell>
          <cell r="L1748" t="str">
            <v>828521</v>
          </cell>
          <cell r="M1748" t="str">
            <v/>
          </cell>
          <cell r="N1748" t="str">
            <v/>
          </cell>
          <cell r="O1748" t="str">
            <v/>
          </cell>
          <cell r="P1748" t="str">
            <v/>
          </cell>
          <cell r="Q1748" t="str">
            <v/>
          </cell>
          <cell r="R1748" t="str">
            <v/>
          </cell>
          <cell r="S1748" t="str">
            <v/>
          </cell>
          <cell r="T1748" t="str">
            <v/>
          </cell>
          <cell r="U1748" t="str">
            <v>BB20034830004</v>
          </cell>
          <cell r="V1748" t="str">
            <v>B00</v>
          </cell>
          <cell r="W1748" t="str">
            <v/>
          </cell>
          <cell r="X1748" t="str">
            <v/>
          </cell>
          <cell r="Y1748" t="str">
            <v/>
          </cell>
          <cell r="Z1748" t="str">
            <v/>
          </cell>
          <cell r="AA1748" t="str">
            <v/>
          </cell>
          <cell r="AB1748" t="str">
            <v>70000441</v>
          </cell>
          <cell r="AC1748">
            <v>1</v>
          </cell>
          <cell r="AD1748" t="str">
            <v/>
          </cell>
          <cell r="AE1748">
            <v>0</v>
          </cell>
          <cell r="AF1748" t="str">
            <v/>
          </cell>
          <cell r="AG1748" t="str">
            <v>70000441</v>
          </cell>
          <cell r="AH1748">
            <v>44960.994062500002</v>
          </cell>
          <cell r="AI1748" t="str">
            <v>B00</v>
          </cell>
          <cell r="AJ1748" t="str">
            <v>F</v>
          </cell>
          <cell r="AK1748" t="str">
            <v>--</v>
          </cell>
        </row>
        <row r="1749">
          <cell r="A1749" t="str">
            <v>70000442828521</v>
          </cell>
          <cell r="B1749">
            <v>0</v>
          </cell>
          <cell r="C1749" t="e">
            <v>#N/A</v>
          </cell>
          <cell r="D1749" t="str">
            <v>EK65</v>
          </cell>
          <cell r="E1749" t="str">
            <v>706728</v>
          </cell>
          <cell r="F1749" t="str">
            <v>E</v>
          </cell>
          <cell r="G1749" t="str">
            <v>70000442</v>
          </cell>
          <cell r="H1749" t="str">
            <v>SHIM 1 MM</v>
          </cell>
          <cell r="I1749">
            <v>7380</v>
          </cell>
          <cell r="J1749" t="str">
            <v>Stk</v>
          </cell>
          <cell r="K1749">
            <v>45090</v>
          </cell>
          <cell r="L1749" t="str">
            <v>828521</v>
          </cell>
          <cell r="M1749" t="str">
            <v/>
          </cell>
          <cell r="N1749" t="str">
            <v/>
          </cell>
          <cell r="O1749" t="str">
            <v/>
          </cell>
          <cell r="P1749" t="str">
            <v/>
          </cell>
          <cell r="Q1749" t="str">
            <v/>
          </cell>
          <cell r="R1749" t="str">
            <v/>
          </cell>
          <cell r="S1749" t="str">
            <v/>
          </cell>
          <cell r="T1749" t="str">
            <v/>
          </cell>
          <cell r="U1749" t="str">
            <v>BB20034810008</v>
          </cell>
          <cell r="V1749" t="str">
            <v>B00</v>
          </cell>
          <cell r="W1749" t="str">
            <v/>
          </cell>
          <cell r="X1749" t="str">
            <v/>
          </cell>
          <cell r="Y1749" t="str">
            <v/>
          </cell>
          <cell r="Z1749" t="str">
            <v/>
          </cell>
          <cell r="AA1749" t="str">
            <v/>
          </cell>
          <cell r="AB1749" t="str">
            <v>70000442</v>
          </cell>
          <cell r="AC1749">
            <v>1</v>
          </cell>
          <cell r="AD1749" t="str">
            <v/>
          </cell>
          <cell r="AE1749">
            <v>0</v>
          </cell>
          <cell r="AF1749" t="str">
            <v/>
          </cell>
          <cell r="AG1749" t="str">
            <v>70000442</v>
          </cell>
          <cell r="AH1749">
            <v>44960.994074074071</v>
          </cell>
          <cell r="AI1749" t="str">
            <v>B00</v>
          </cell>
          <cell r="AJ1749" t="str">
            <v>F</v>
          </cell>
          <cell r="AK1749" t="str">
            <v>--</v>
          </cell>
        </row>
        <row r="1750">
          <cell r="A1750" t="str">
            <v>70000443828521</v>
          </cell>
          <cell r="B1750">
            <v>0</v>
          </cell>
          <cell r="C1750" t="e">
            <v>#N/A</v>
          </cell>
          <cell r="D1750" t="str">
            <v>EK65</v>
          </cell>
          <cell r="E1750" t="str">
            <v>706729</v>
          </cell>
          <cell r="F1750" t="str">
            <v>E</v>
          </cell>
          <cell r="G1750" t="str">
            <v>70000443</v>
          </cell>
          <cell r="H1750" t="str">
            <v>GAUGE T=1MM</v>
          </cell>
          <cell r="I1750">
            <v>5130</v>
          </cell>
          <cell r="J1750" t="str">
            <v>Stk</v>
          </cell>
          <cell r="K1750">
            <v>45090</v>
          </cell>
          <cell r="L1750" t="str">
            <v>828521</v>
          </cell>
          <cell r="M1750" t="str">
            <v/>
          </cell>
          <cell r="N1750" t="str">
            <v/>
          </cell>
          <cell r="O1750" t="str">
            <v/>
          </cell>
          <cell r="P1750" t="str">
            <v/>
          </cell>
          <cell r="Q1750" t="str">
            <v/>
          </cell>
          <cell r="R1750" t="str">
            <v/>
          </cell>
          <cell r="S1750" t="str">
            <v/>
          </cell>
          <cell r="T1750" t="str">
            <v/>
          </cell>
          <cell r="U1750" t="str">
            <v>BB20034810003</v>
          </cell>
          <cell r="V1750" t="str">
            <v>B00</v>
          </cell>
          <cell r="W1750" t="str">
            <v/>
          </cell>
          <cell r="X1750" t="str">
            <v/>
          </cell>
          <cell r="Y1750" t="str">
            <v/>
          </cell>
          <cell r="Z1750" t="str">
            <v/>
          </cell>
          <cell r="AA1750" t="str">
            <v/>
          </cell>
          <cell r="AB1750" t="str">
            <v>70000443</v>
          </cell>
          <cell r="AC1750">
            <v>1</v>
          </cell>
          <cell r="AD1750" t="str">
            <v/>
          </cell>
          <cell r="AE1750">
            <v>0</v>
          </cell>
          <cell r="AF1750" t="str">
            <v/>
          </cell>
          <cell r="AG1750" t="str">
            <v>70000443</v>
          </cell>
          <cell r="AH1750">
            <v>44960.994108796294</v>
          </cell>
          <cell r="AI1750" t="str">
            <v>B00</v>
          </cell>
          <cell r="AJ1750" t="str">
            <v>F</v>
          </cell>
          <cell r="AK1750" t="str">
            <v>--</v>
          </cell>
        </row>
        <row r="1751">
          <cell r="A1751" t="str">
            <v>70000444828521</v>
          </cell>
          <cell r="B1751">
            <v>0</v>
          </cell>
          <cell r="C1751" t="e">
            <v>#N/A</v>
          </cell>
          <cell r="D1751" t="str">
            <v>EK65</v>
          </cell>
          <cell r="E1751" t="str">
            <v>706730</v>
          </cell>
          <cell r="F1751" t="str">
            <v>E</v>
          </cell>
          <cell r="G1751" t="str">
            <v>70000444</v>
          </cell>
          <cell r="H1751" t="str">
            <v>GAUGE T=2MM</v>
          </cell>
          <cell r="I1751">
            <v>4500</v>
          </cell>
          <cell r="J1751" t="str">
            <v>Stk</v>
          </cell>
          <cell r="K1751">
            <v>45090</v>
          </cell>
          <cell r="L1751" t="str">
            <v>828521</v>
          </cell>
          <cell r="M1751" t="str">
            <v/>
          </cell>
          <cell r="N1751" t="str">
            <v/>
          </cell>
          <cell r="O1751" t="str">
            <v/>
          </cell>
          <cell r="P1751" t="str">
            <v/>
          </cell>
          <cell r="Q1751" t="str">
            <v/>
          </cell>
          <cell r="R1751" t="str">
            <v/>
          </cell>
          <cell r="S1751" t="str">
            <v/>
          </cell>
          <cell r="T1751" t="str">
            <v/>
          </cell>
          <cell r="U1751" t="str">
            <v>BB20034810004</v>
          </cell>
          <cell r="V1751" t="str">
            <v>B00</v>
          </cell>
          <cell r="W1751" t="str">
            <v/>
          </cell>
          <cell r="X1751" t="str">
            <v/>
          </cell>
          <cell r="Y1751" t="str">
            <v/>
          </cell>
          <cell r="Z1751" t="str">
            <v/>
          </cell>
          <cell r="AA1751" t="str">
            <v/>
          </cell>
          <cell r="AB1751" t="str">
            <v>70000444</v>
          </cell>
          <cell r="AC1751">
            <v>1</v>
          </cell>
          <cell r="AD1751" t="str">
            <v/>
          </cell>
          <cell r="AE1751">
            <v>0</v>
          </cell>
          <cell r="AF1751" t="str">
            <v/>
          </cell>
          <cell r="AG1751" t="str">
            <v>70000444</v>
          </cell>
          <cell r="AH1751">
            <v>44960.994143518517</v>
          </cell>
          <cell r="AI1751" t="str">
            <v>B00</v>
          </cell>
          <cell r="AJ1751" t="str">
            <v>F</v>
          </cell>
          <cell r="AK1751" t="str">
            <v>--</v>
          </cell>
        </row>
        <row r="1752">
          <cell r="A1752" t="str">
            <v>70000445828521</v>
          </cell>
          <cell r="B1752">
            <v>0</v>
          </cell>
          <cell r="C1752" t="e">
            <v>#N/A</v>
          </cell>
          <cell r="D1752" t="str">
            <v>EK65</v>
          </cell>
          <cell r="E1752" t="str">
            <v>706731</v>
          </cell>
          <cell r="F1752" t="str">
            <v>E</v>
          </cell>
          <cell r="G1752" t="str">
            <v>70000445</v>
          </cell>
          <cell r="H1752" t="str">
            <v>GAUGE T=2MM</v>
          </cell>
          <cell r="I1752">
            <v>720</v>
          </cell>
          <cell r="J1752" t="str">
            <v>Stk</v>
          </cell>
          <cell r="K1752">
            <v>45090</v>
          </cell>
          <cell r="L1752" t="str">
            <v>828521</v>
          </cell>
          <cell r="M1752" t="str">
            <v/>
          </cell>
          <cell r="N1752" t="str">
            <v/>
          </cell>
          <cell r="O1752" t="str">
            <v/>
          </cell>
          <cell r="P1752" t="str">
            <v/>
          </cell>
          <cell r="Q1752" t="str">
            <v>AW 5083 H111</v>
          </cell>
          <cell r="R1752" t="str">
            <v>EN 485</v>
          </cell>
          <cell r="S1752" t="str">
            <v/>
          </cell>
          <cell r="T1752" t="str">
            <v/>
          </cell>
          <cell r="U1752" t="str">
            <v>BB20034830006</v>
          </cell>
          <cell r="V1752" t="str">
            <v>B00</v>
          </cell>
          <cell r="W1752" t="str">
            <v/>
          </cell>
          <cell r="X1752" t="str">
            <v/>
          </cell>
          <cell r="Y1752" t="str">
            <v/>
          </cell>
          <cell r="Z1752" t="str">
            <v/>
          </cell>
          <cell r="AA1752" t="str">
            <v/>
          </cell>
          <cell r="AB1752" t="str">
            <v>70000445</v>
          </cell>
          <cell r="AC1752">
            <v>1</v>
          </cell>
          <cell r="AD1752" t="str">
            <v/>
          </cell>
          <cell r="AE1752">
            <v>0</v>
          </cell>
          <cell r="AF1752" t="str">
            <v/>
          </cell>
          <cell r="AG1752" t="str">
            <v>70000445</v>
          </cell>
          <cell r="AH1752">
            <v>44960.994166666664</v>
          </cell>
          <cell r="AI1752" t="str">
            <v>B00</v>
          </cell>
          <cell r="AJ1752" t="str">
            <v>F</v>
          </cell>
          <cell r="AK1752" t="str">
            <v>--</v>
          </cell>
        </row>
        <row r="1753">
          <cell r="A1753" t="str">
            <v>70000446828521</v>
          </cell>
          <cell r="B1753">
            <v>0</v>
          </cell>
          <cell r="C1753" t="e">
            <v>#N/A</v>
          </cell>
          <cell r="D1753" t="str">
            <v>EK65</v>
          </cell>
          <cell r="E1753" t="str">
            <v>706732</v>
          </cell>
          <cell r="F1753" t="str">
            <v>E</v>
          </cell>
          <cell r="G1753" t="str">
            <v>70000446</v>
          </cell>
          <cell r="H1753" t="str">
            <v>GAUGE T=1MM</v>
          </cell>
          <cell r="I1753">
            <v>1800</v>
          </cell>
          <cell r="J1753" t="str">
            <v>Stk</v>
          </cell>
          <cell r="K1753">
            <v>45090</v>
          </cell>
          <cell r="L1753" t="str">
            <v>828521</v>
          </cell>
          <cell r="M1753" t="str">
            <v/>
          </cell>
          <cell r="N1753" t="str">
            <v/>
          </cell>
          <cell r="O1753" t="str">
            <v/>
          </cell>
          <cell r="P1753" t="str">
            <v/>
          </cell>
          <cell r="Q1753" t="str">
            <v>AW 5083 H111</v>
          </cell>
          <cell r="R1753" t="str">
            <v>EN 485</v>
          </cell>
          <cell r="S1753" t="str">
            <v/>
          </cell>
          <cell r="T1753" t="str">
            <v/>
          </cell>
          <cell r="U1753" t="str">
            <v>BB20034830007</v>
          </cell>
          <cell r="V1753" t="str">
            <v>B00</v>
          </cell>
          <cell r="W1753" t="str">
            <v/>
          </cell>
          <cell r="X1753" t="str">
            <v/>
          </cell>
          <cell r="Y1753" t="str">
            <v/>
          </cell>
          <cell r="Z1753" t="str">
            <v/>
          </cell>
          <cell r="AA1753" t="str">
            <v/>
          </cell>
          <cell r="AB1753" t="str">
            <v>70000446</v>
          </cell>
          <cell r="AC1753">
            <v>1</v>
          </cell>
          <cell r="AD1753" t="str">
            <v/>
          </cell>
          <cell r="AE1753">
            <v>0</v>
          </cell>
          <cell r="AF1753" t="str">
            <v/>
          </cell>
          <cell r="AG1753" t="str">
            <v>70000446</v>
          </cell>
          <cell r="AH1753">
            <v>44960.994166666664</v>
          </cell>
          <cell r="AI1753" t="str">
            <v>B00</v>
          </cell>
          <cell r="AJ1753" t="str">
            <v>F</v>
          </cell>
          <cell r="AK1753" t="str">
            <v>--</v>
          </cell>
        </row>
        <row r="1754">
          <cell r="A1754" t="str">
            <v>70000509828521</v>
          </cell>
          <cell r="B1754">
            <v>0</v>
          </cell>
          <cell r="C1754" t="e">
            <v>#N/A</v>
          </cell>
          <cell r="D1754" t="str">
            <v>EK65</v>
          </cell>
          <cell r="E1754" t="str">
            <v>706749</v>
          </cell>
          <cell r="F1754" t="str">
            <v>E</v>
          </cell>
          <cell r="G1754" t="str">
            <v>70000509</v>
          </cell>
          <cell r="H1754" t="str">
            <v>FOLDING</v>
          </cell>
          <cell r="I1754">
            <v>180</v>
          </cell>
          <cell r="J1754" t="str">
            <v>Stk</v>
          </cell>
          <cell r="K1754">
            <v>45090</v>
          </cell>
          <cell r="L1754" t="str">
            <v>828521</v>
          </cell>
          <cell r="M1754" t="str">
            <v/>
          </cell>
          <cell r="N1754" t="str">
            <v/>
          </cell>
          <cell r="O1754" t="str">
            <v/>
          </cell>
          <cell r="P1754" t="str">
            <v/>
          </cell>
          <cell r="Q1754" t="str">
            <v>AW 5083 H111</v>
          </cell>
          <cell r="R1754" t="str">
            <v>EN 485</v>
          </cell>
          <cell r="S1754" t="str">
            <v/>
          </cell>
          <cell r="T1754" t="str">
            <v/>
          </cell>
          <cell r="U1754" t="str">
            <v>BB20036030004</v>
          </cell>
          <cell r="V1754" t="str">
            <v>B00</v>
          </cell>
          <cell r="W1754" t="str">
            <v/>
          </cell>
          <cell r="X1754" t="str">
            <v/>
          </cell>
          <cell r="Y1754" t="str">
            <v/>
          </cell>
          <cell r="Z1754" t="str">
            <v/>
          </cell>
          <cell r="AA1754" t="str">
            <v/>
          </cell>
          <cell r="AB1754" t="str">
            <v>70000509</v>
          </cell>
          <cell r="AC1754">
            <v>1</v>
          </cell>
          <cell r="AD1754" t="str">
            <v/>
          </cell>
          <cell r="AE1754">
            <v>0</v>
          </cell>
          <cell r="AF1754" t="str">
            <v/>
          </cell>
          <cell r="AG1754" t="str">
            <v>70000509</v>
          </cell>
          <cell r="AH1754">
            <v>44960.995891203704</v>
          </cell>
          <cell r="AI1754" t="str">
            <v>B00</v>
          </cell>
          <cell r="AJ1754" t="str">
            <v>F</v>
          </cell>
          <cell r="AK1754" t="str">
            <v>A0</v>
          </cell>
        </row>
        <row r="1755">
          <cell r="A1755" t="str">
            <v>70000510828521</v>
          </cell>
          <cell r="B1755">
            <v>0</v>
          </cell>
          <cell r="C1755" t="e">
            <v>#N/A</v>
          </cell>
          <cell r="D1755" t="str">
            <v>EK65</v>
          </cell>
          <cell r="E1755" t="str">
            <v>706750</v>
          </cell>
          <cell r="F1755" t="str">
            <v>E</v>
          </cell>
          <cell r="G1755" t="str">
            <v>70000510</v>
          </cell>
          <cell r="H1755" t="str">
            <v>FOLDING</v>
          </cell>
          <cell r="I1755">
            <v>180</v>
          </cell>
          <cell r="J1755" t="str">
            <v>Stk</v>
          </cell>
          <cell r="K1755">
            <v>45090</v>
          </cell>
          <cell r="L1755" t="str">
            <v>828521</v>
          </cell>
          <cell r="M1755" t="str">
            <v/>
          </cell>
          <cell r="N1755" t="str">
            <v/>
          </cell>
          <cell r="O1755" t="str">
            <v/>
          </cell>
          <cell r="P1755" t="str">
            <v/>
          </cell>
          <cell r="Q1755" t="str">
            <v>AW 5083 H111</v>
          </cell>
          <cell r="R1755" t="str">
            <v>EN 485</v>
          </cell>
          <cell r="S1755" t="str">
            <v/>
          </cell>
          <cell r="T1755" t="str">
            <v/>
          </cell>
          <cell r="U1755" t="str">
            <v>BB20036030005</v>
          </cell>
          <cell r="V1755" t="str">
            <v>B00</v>
          </cell>
          <cell r="W1755" t="str">
            <v/>
          </cell>
          <cell r="X1755" t="str">
            <v/>
          </cell>
          <cell r="Y1755" t="str">
            <v/>
          </cell>
          <cell r="Z1755" t="str">
            <v/>
          </cell>
          <cell r="AA1755" t="str">
            <v/>
          </cell>
          <cell r="AB1755" t="str">
            <v>70000510</v>
          </cell>
          <cell r="AC1755">
            <v>1</v>
          </cell>
          <cell r="AD1755" t="str">
            <v/>
          </cell>
          <cell r="AE1755">
            <v>0</v>
          </cell>
          <cell r="AF1755" t="str">
            <v/>
          </cell>
          <cell r="AG1755" t="str">
            <v>70000510</v>
          </cell>
          <cell r="AH1755">
            <v>44960.99590277778</v>
          </cell>
          <cell r="AI1755" t="str">
            <v>B00</v>
          </cell>
          <cell r="AJ1755" t="str">
            <v>F</v>
          </cell>
          <cell r="AK1755" t="str">
            <v>A0</v>
          </cell>
        </row>
        <row r="1756">
          <cell r="A1756" t="str">
            <v>70000564828521</v>
          </cell>
          <cell r="B1756">
            <v>0</v>
          </cell>
          <cell r="C1756" t="e">
            <v>#N/A</v>
          </cell>
          <cell r="D1756" t="str">
            <v>EK65</v>
          </cell>
          <cell r="E1756" t="str">
            <v>699208</v>
          </cell>
          <cell r="F1756" t="str">
            <v>E</v>
          </cell>
          <cell r="G1756" t="str">
            <v>70000564</v>
          </cell>
          <cell r="H1756" t="str">
            <v>CAGED NUT M10</v>
          </cell>
          <cell r="I1756">
            <v>720</v>
          </cell>
          <cell r="J1756" t="str">
            <v>Stk</v>
          </cell>
          <cell r="K1756">
            <v>45092</v>
          </cell>
          <cell r="L1756" t="str">
            <v>828521</v>
          </cell>
          <cell r="M1756" t="str">
            <v/>
          </cell>
          <cell r="N1756" t="str">
            <v/>
          </cell>
          <cell r="O1756" t="str">
            <v/>
          </cell>
          <cell r="P1756" t="str">
            <v/>
          </cell>
          <cell r="Q1756" t="str">
            <v/>
          </cell>
          <cell r="R1756" t="str">
            <v/>
          </cell>
          <cell r="S1756" t="str">
            <v/>
          </cell>
          <cell r="T1756" t="str">
            <v/>
          </cell>
          <cell r="U1756" t="str">
            <v>BB12914221900</v>
          </cell>
          <cell r="V1756" t="str">
            <v>N32</v>
          </cell>
          <cell r="W1756" t="str">
            <v/>
          </cell>
          <cell r="X1756" t="str">
            <v/>
          </cell>
          <cell r="Y1756" t="str">
            <v/>
          </cell>
          <cell r="Z1756" t="str">
            <v/>
          </cell>
          <cell r="AA1756" t="str">
            <v/>
          </cell>
          <cell r="AB1756" t="str">
            <v>70000564</v>
          </cell>
          <cell r="AC1756">
            <v>1</v>
          </cell>
          <cell r="AD1756" t="str">
            <v/>
          </cell>
          <cell r="AE1756">
            <v>0</v>
          </cell>
          <cell r="AF1756" t="str">
            <v/>
          </cell>
          <cell r="AG1756" t="str">
            <v>70000564</v>
          </cell>
          <cell r="AH1756">
            <v>44943.930011574077</v>
          </cell>
          <cell r="AI1756" t="str">
            <v>N32</v>
          </cell>
          <cell r="AJ1756" t="str">
            <v>F</v>
          </cell>
          <cell r="AK1756" t="str">
            <v>A0</v>
          </cell>
        </row>
        <row r="1757">
          <cell r="A1757" t="str">
            <v>70000533828521</v>
          </cell>
          <cell r="B1757">
            <v>0</v>
          </cell>
          <cell r="C1757" t="e">
            <v>#N/A</v>
          </cell>
          <cell r="D1757" t="str">
            <v>EK65</v>
          </cell>
          <cell r="E1757" t="str">
            <v>706752</v>
          </cell>
          <cell r="F1757" t="str">
            <v>E</v>
          </cell>
          <cell r="G1757" t="str">
            <v>70000533</v>
          </cell>
          <cell r="H1757" t="str">
            <v>DECORATIVE PROFILE</v>
          </cell>
          <cell r="I1757">
            <v>90</v>
          </cell>
          <cell r="J1757" t="str">
            <v>Stk</v>
          </cell>
          <cell r="K1757">
            <v>45092</v>
          </cell>
          <cell r="L1757" t="str">
            <v>828521</v>
          </cell>
          <cell r="M1757" t="str">
            <v/>
          </cell>
          <cell r="N1757" t="str">
            <v/>
          </cell>
          <cell r="O1757" t="str">
            <v/>
          </cell>
          <cell r="P1757" t="str">
            <v/>
          </cell>
          <cell r="Q1757" t="str">
            <v/>
          </cell>
          <cell r="R1757" t="str">
            <v/>
          </cell>
          <cell r="S1757" t="str">
            <v/>
          </cell>
          <cell r="T1757" t="str">
            <v/>
          </cell>
          <cell r="U1757" t="str">
            <v>BB20036230104</v>
          </cell>
          <cell r="V1757" t="str">
            <v>B00</v>
          </cell>
          <cell r="W1757" t="str">
            <v/>
          </cell>
          <cell r="X1757" t="str">
            <v/>
          </cell>
          <cell r="Y1757" t="str">
            <v/>
          </cell>
          <cell r="Z1757" t="str">
            <v/>
          </cell>
          <cell r="AA1757" t="str">
            <v/>
          </cell>
          <cell r="AB1757" t="str">
            <v>70000533</v>
          </cell>
          <cell r="AC1757">
            <v>1</v>
          </cell>
          <cell r="AD1757" t="str">
            <v/>
          </cell>
          <cell r="AE1757">
            <v>0</v>
          </cell>
          <cell r="AF1757" t="str">
            <v/>
          </cell>
          <cell r="AG1757" t="str">
            <v>70000533</v>
          </cell>
          <cell r="AH1757">
            <v>44960.996469907404</v>
          </cell>
          <cell r="AI1757" t="str">
            <v>B00</v>
          </cell>
          <cell r="AJ1757" t="str">
            <v>F</v>
          </cell>
          <cell r="AK1757" t="str">
            <v>--</v>
          </cell>
        </row>
        <row r="1758">
          <cell r="A1758" t="str">
            <v>70000534828521</v>
          </cell>
          <cell r="B1758">
            <v>0</v>
          </cell>
          <cell r="C1758" t="e">
            <v>#N/A</v>
          </cell>
          <cell r="D1758" t="str">
            <v>EK65</v>
          </cell>
          <cell r="E1758" t="str">
            <v>706753</v>
          </cell>
          <cell r="F1758" t="str">
            <v>E</v>
          </cell>
          <cell r="G1758" t="str">
            <v>70000534</v>
          </cell>
          <cell r="H1758" t="str">
            <v>DECORATIVE PROFILE</v>
          </cell>
          <cell r="I1758">
            <v>90</v>
          </cell>
          <cell r="J1758" t="str">
            <v>Stk</v>
          </cell>
          <cell r="K1758">
            <v>45092</v>
          </cell>
          <cell r="L1758" t="str">
            <v>828521</v>
          </cell>
          <cell r="M1758" t="str">
            <v/>
          </cell>
          <cell r="N1758" t="str">
            <v/>
          </cell>
          <cell r="O1758" t="str">
            <v/>
          </cell>
          <cell r="P1758" t="str">
            <v/>
          </cell>
          <cell r="Q1758" t="str">
            <v/>
          </cell>
          <cell r="R1758" t="str">
            <v/>
          </cell>
          <cell r="S1758" t="str">
            <v/>
          </cell>
          <cell r="T1758" t="str">
            <v/>
          </cell>
          <cell r="U1758" t="str">
            <v>BB20036230105</v>
          </cell>
          <cell r="V1758" t="str">
            <v>B00</v>
          </cell>
          <cell r="W1758" t="str">
            <v/>
          </cell>
          <cell r="X1758" t="str">
            <v/>
          </cell>
          <cell r="Y1758" t="str">
            <v/>
          </cell>
          <cell r="Z1758" t="str">
            <v/>
          </cell>
          <cell r="AA1758" t="str">
            <v/>
          </cell>
          <cell r="AB1758" t="str">
            <v>70000534</v>
          </cell>
          <cell r="AC1758">
            <v>1</v>
          </cell>
          <cell r="AD1758" t="str">
            <v/>
          </cell>
          <cell r="AE1758">
            <v>0</v>
          </cell>
          <cell r="AF1758" t="str">
            <v/>
          </cell>
          <cell r="AG1758" t="str">
            <v>70000534</v>
          </cell>
          <cell r="AH1758">
            <v>44960.996481481481</v>
          </cell>
          <cell r="AI1758" t="str">
            <v>B00</v>
          </cell>
          <cell r="AJ1758" t="str">
            <v>F</v>
          </cell>
          <cell r="AK1758" t="str">
            <v>--</v>
          </cell>
        </row>
        <row r="1759">
          <cell r="A1759" t="str">
            <v>70000535828521</v>
          </cell>
          <cell r="B1759">
            <v>0</v>
          </cell>
          <cell r="C1759" t="e">
            <v>#N/A</v>
          </cell>
          <cell r="D1759" t="str">
            <v>EK65</v>
          </cell>
          <cell r="E1759" t="str">
            <v>706754</v>
          </cell>
          <cell r="F1759" t="str">
            <v>E</v>
          </cell>
          <cell r="G1759" t="str">
            <v>70000535</v>
          </cell>
          <cell r="H1759" t="str">
            <v>DECORATIVE PROFILE</v>
          </cell>
          <cell r="I1759">
            <v>90</v>
          </cell>
          <cell r="J1759" t="str">
            <v>Stk</v>
          </cell>
          <cell r="K1759">
            <v>45092</v>
          </cell>
          <cell r="L1759" t="str">
            <v>828521</v>
          </cell>
          <cell r="M1759" t="str">
            <v/>
          </cell>
          <cell r="N1759" t="str">
            <v/>
          </cell>
          <cell r="O1759" t="str">
            <v/>
          </cell>
          <cell r="P1759" t="str">
            <v/>
          </cell>
          <cell r="Q1759" t="str">
            <v/>
          </cell>
          <cell r="R1759" t="str">
            <v/>
          </cell>
          <cell r="S1759" t="str">
            <v/>
          </cell>
          <cell r="T1759" t="str">
            <v/>
          </cell>
          <cell r="U1759" t="str">
            <v>BB20036230107</v>
          </cell>
          <cell r="V1759" t="str">
            <v>B00</v>
          </cell>
          <cell r="W1759" t="str">
            <v/>
          </cell>
          <cell r="X1759" t="str">
            <v/>
          </cell>
          <cell r="Y1759" t="str">
            <v/>
          </cell>
          <cell r="Z1759" t="str">
            <v/>
          </cell>
          <cell r="AA1759" t="str">
            <v/>
          </cell>
          <cell r="AB1759" t="str">
            <v>70000535</v>
          </cell>
          <cell r="AC1759">
            <v>1</v>
          </cell>
          <cell r="AD1759" t="str">
            <v/>
          </cell>
          <cell r="AE1759">
            <v>0</v>
          </cell>
          <cell r="AF1759" t="str">
            <v/>
          </cell>
          <cell r="AG1759" t="str">
            <v>70000535</v>
          </cell>
          <cell r="AH1759">
            <v>44960.996493055558</v>
          </cell>
          <cell r="AI1759" t="str">
            <v>B00</v>
          </cell>
          <cell r="AJ1759" t="str">
            <v>F</v>
          </cell>
          <cell r="AK1759" t="str">
            <v>--</v>
          </cell>
        </row>
        <row r="1760">
          <cell r="A1760" t="str">
            <v>70000536828521</v>
          </cell>
          <cell r="B1760">
            <v>0</v>
          </cell>
          <cell r="C1760" t="e">
            <v>#N/A</v>
          </cell>
          <cell r="D1760" t="str">
            <v>EK65</v>
          </cell>
          <cell r="E1760" t="str">
            <v>706755</v>
          </cell>
          <cell r="F1760" t="str">
            <v>E</v>
          </cell>
          <cell r="G1760" t="str">
            <v>70000536</v>
          </cell>
          <cell r="H1760" t="str">
            <v>DECORATIVE PROFILE</v>
          </cell>
          <cell r="I1760">
            <v>90</v>
          </cell>
          <cell r="J1760" t="str">
            <v>Stk</v>
          </cell>
          <cell r="K1760">
            <v>45092</v>
          </cell>
          <cell r="L1760" t="str">
            <v>828521</v>
          </cell>
          <cell r="M1760" t="str">
            <v/>
          </cell>
          <cell r="N1760" t="str">
            <v/>
          </cell>
          <cell r="O1760" t="str">
            <v/>
          </cell>
          <cell r="P1760" t="str">
            <v/>
          </cell>
          <cell r="Q1760" t="str">
            <v/>
          </cell>
          <cell r="R1760" t="str">
            <v/>
          </cell>
          <cell r="S1760" t="str">
            <v/>
          </cell>
          <cell r="T1760" t="str">
            <v/>
          </cell>
          <cell r="U1760" t="str">
            <v>BB20036230108</v>
          </cell>
          <cell r="V1760" t="str">
            <v>B00</v>
          </cell>
          <cell r="W1760" t="str">
            <v/>
          </cell>
          <cell r="X1760" t="str">
            <v/>
          </cell>
          <cell r="Y1760" t="str">
            <v/>
          </cell>
          <cell r="Z1760" t="str">
            <v/>
          </cell>
          <cell r="AA1760" t="str">
            <v/>
          </cell>
          <cell r="AB1760" t="str">
            <v>70000536</v>
          </cell>
          <cell r="AC1760">
            <v>1</v>
          </cell>
          <cell r="AD1760" t="str">
            <v/>
          </cell>
          <cell r="AE1760">
            <v>0</v>
          </cell>
          <cell r="AF1760" t="str">
            <v/>
          </cell>
          <cell r="AG1760" t="str">
            <v>70000536</v>
          </cell>
          <cell r="AH1760">
            <v>44960.996504629627</v>
          </cell>
          <cell r="AI1760" t="str">
            <v>B00</v>
          </cell>
          <cell r="AJ1760" t="str">
            <v>F</v>
          </cell>
          <cell r="AK1760" t="str">
            <v>--</v>
          </cell>
        </row>
        <row r="1761">
          <cell r="A1761" t="str">
            <v>70000537828521</v>
          </cell>
          <cell r="B1761">
            <v>0</v>
          </cell>
          <cell r="C1761" t="e">
            <v>#N/A</v>
          </cell>
          <cell r="D1761" t="str">
            <v>EK65</v>
          </cell>
          <cell r="E1761" t="str">
            <v>706756</v>
          </cell>
          <cell r="F1761" t="str">
            <v>E</v>
          </cell>
          <cell r="G1761" t="str">
            <v>70000537</v>
          </cell>
          <cell r="H1761" t="str">
            <v>DECORATIVE PROFILE</v>
          </cell>
          <cell r="I1761">
            <v>90</v>
          </cell>
          <cell r="J1761" t="str">
            <v>Stk</v>
          </cell>
          <cell r="K1761">
            <v>45092</v>
          </cell>
          <cell r="L1761" t="str">
            <v>828521</v>
          </cell>
          <cell r="M1761" t="str">
            <v/>
          </cell>
          <cell r="N1761" t="str">
            <v/>
          </cell>
          <cell r="O1761" t="str">
            <v/>
          </cell>
          <cell r="P1761" t="str">
            <v/>
          </cell>
          <cell r="Q1761" t="str">
            <v/>
          </cell>
          <cell r="R1761" t="str">
            <v/>
          </cell>
          <cell r="S1761" t="str">
            <v/>
          </cell>
          <cell r="T1761" t="str">
            <v/>
          </cell>
          <cell r="U1761" t="str">
            <v>BB20036230120</v>
          </cell>
          <cell r="V1761" t="str">
            <v>B00</v>
          </cell>
          <cell r="W1761" t="str">
            <v/>
          </cell>
          <cell r="X1761" t="str">
            <v/>
          </cell>
          <cell r="Y1761" t="str">
            <v/>
          </cell>
          <cell r="Z1761" t="str">
            <v/>
          </cell>
          <cell r="AA1761" t="str">
            <v/>
          </cell>
          <cell r="AB1761" t="str">
            <v>70000537</v>
          </cell>
          <cell r="AC1761">
            <v>1</v>
          </cell>
          <cell r="AD1761" t="str">
            <v/>
          </cell>
          <cell r="AE1761">
            <v>0</v>
          </cell>
          <cell r="AF1761" t="str">
            <v/>
          </cell>
          <cell r="AG1761" t="str">
            <v>70000537</v>
          </cell>
          <cell r="AH1761">
            <v>44960.996504629627</v>
          </cell>
          <cell r="AI1761" t="str">
            <v>B00</v>
          </cell>
          <cell r="AJ1761" t="str">
            <v>F</v>
          </cell>
          <cell r="AK1761" t="str">
            <v>--</v>
          </cell>
        </row>
        <row r="1762">
          <cell r="A1762" t="str">
            <v>70000540828521</v>
          </cell>
          <cell r="B1762">
            <v>0</v>
          </cell>
          <cell r="C1762" t="e">
            <v>#N/A</v>
          </cell>
          <cell r="D1762" t="str">
            <v>EK65</v>
          </cell>
          <cell r="E1762" t="str">
            <v>706757</v>
          </cell>
          <cell r="F1762" t="str">
            <v>E</v>
          </cell>
          <cell r="G1762" t="str">
            <v>70000540</v>
          </cell>
          <cell r="H1762" t="str">
            <v>SPACER</v>
          </cell>
          <cell r="I1762">
            <v>360</v>
          </cell>
          <cell r="J1762" t="str">
            <v>Stk</v>
          </cell>
          <cell r="K1762">
            <v>45092</v>
          </cell>
          <cell r="L1762" t="str">
            <v>828521</v>
          </cell>
          <cell r="M1762" t="str">
            <v/>
          </cell>
          <cell r="N1762" t="str">
            <v/>
          </cell>
          <cell r="O1762" t="str">
            <v/>
          </cell>
          <cell r="P1762" t="str">
            <v/>
          </cell>
          <cell r="Q1762" t="str">
            <v/>
          </cell>
          <cell r="R1762" t="str">
            <v/>
          </cell>
          <cell r="S1762" t="str">
            <v/>
          </cell>
          <cell r="T1762" t="str">
            <v/>
          </cell>
          <cell r="U1762" t="str">
            <v>BB20036230004</v>
          </cell>
          <cell r="V1762" t="str">
            <v>B00</v>
          </cell>
          <cell r="W1762" t="str">
            <v/>
          </cell>
          <cell r="X1762" t="str">
            <v/>
          </cell>
          <cell r="Y1762" t="str">
            <v/>
          </cell>
          <cell r="Z1762" t="str">
            <v/>
          </cell>
          <cell r="AA1762" t="str">
            <v/>
          </cell>
          <cell r="AB1762" t="str">
            <v>70000540</v>
          </cell>
          <cell r="AC1762">
            <v>1</v>
          </cell>
          <cell r="AD1762" t="str">
            <v/>
          </cell>
          <cell r="AE1762">
            <v>0</v>
          </cell>
          <cell r="AF1762" t="str">
            <v/>
          </cell>
          <cell r="AG1762" t="str">
            <v>70000540</v>
          </cell>
          <cell r="AH1762">
            <v>44960.996539351851</v>
          </cell>
          <cell r="AI1762" t="str">
            <v>B00</v>
          </cell>
          <cell r="AJ1762" t="str">
            <v>F</v>
          </cell>
          <cell r="AK1762" t="str">
            <v>--</v>
          </cell>
        </row>
        <row r="1763">
          <cell r="A1763" t="str">
            <v>70000541828521</v>
          </cell>
          <cell r="B1763">
            <v>0</v>
          </cell>
          <cell r="C1763" t="e">
            <v>#N/A</v>
          </cell>
          <cell r="D1763" t="str">
            <v>EK65</v>
          </cell>
          <cell r="E1763" t="str">
            <v>706758</v>
          </cell>
          <cell r="F1763" t="str">
            <v>E</v>
          </cell>
          <cell r="G1763" t="str">
            <v>70000541</v>
          </cell>
          <cell r="H1763" t="str">
            <v>SHIM 1 MM</v>
          </cell>
          <cell r="I1763">
            <v>16560</v>
          </cell>
          <cell r="J1763" t="str">
            <v>Stk</v>
          </cell>
          <cell r="K1763">
            <v>45092</v>
          </cell>
          <cell r="L1763" t="str">
            <v>828521</v>
          </cell>
          <cell r="M1763" t="str">
            <v/>
          </cell>
          <cell r="N1763" t="str">
            <v/>
          </cell>
          <cell r="O1763" t="str">
            <v/>
          </cell>
          <cell r="P1763" t="str">
            <v/>
          </cell>
          <cell r="Q1763" t="str">
            <v/>
          </cell>
          <cell r="R1763" t="str">
            <v/>
          </cell>
          <cell r="S1763" t="str">
            <v/>
          </cell>
          <cell r="T1763" t="str">
            <v/>
          </cell>
          <cell r="U1763" t="str">
            <v>BB20036810002</v>
          </cell>
          <cell r="V1763" t="str">
            <v>B00</v>
          </cell>
          <cell r="W1763" t="str">
            <v/>
          </cell>
          <cell r="X1763" t="str">
            <v/>
          </cell>
          <cell r="Y1763" t="str">
            <v/>
          </cell>
          <cell r="Z1763" t="str">
            <v/>
          </cell>
          <cell r="AA1763" t="str">
            <v/>
          </cell>
          <cell r="AB1763" t="str">
            <v>70000541</v>
          </cell>
          <cell r="AC1763">
            <v>1</v>
          </cell>
          <cell r="AD1763" t="str">
            <v/>
          </cell>
          <cell r="AE1763">
            <v>0</v>
          </cell>
          <cell r="AF1763" t="str">
            <v/>
          </cell>
          <cell r="AG1763" t="str">
            <v>70000541</v>
          </cell>
          <cell r="AH1763">
            <v>44960.996550925927</v>
          </cell>
          <cell r="AI1763" t="str">
            <v>B00</v>
          </cell>
          <cell r="AJ1763" t="str">
            <v>F</v>
          </cell>
          <cell r="AK1763" t="str">
            <v>--</v>
          </cell>
        </row>
        <row r="1764">
          <cell r="A1764" t="str">
            <v>70000556828521</v>
          </cell>
          <cell r="B1764">
            <v>0</v>
          </cell>
          <cell r="C1764" t="e">
            <v>#N/A</v>
          </cell>
          <cell r="D1764" t="str">
            <v>EK65</v>
          </cell>
          <cell r="E1764" t="str">
            <v>706759</v>
          </cell>
          <cell r="F1764" t="str">
            <v>E</v>
          </cell>
          <cell r="G1764" t="str">
            <v>70000556</v>
          </cell>
          <cell r="H1764" t="str">
            <v>PLATE</v>
          </cell>
          <cell r="I1764">
            <v>5940</v>
          </cell>
          <cell r="J1764" t="str">
            <v>Stk</v>
          </cell>
          <cell r="K1764">
            <v>45092</v>
          </cell>
          <cell r="L1764" t="str">
            <v>828521</v>
          </cell>
          <cell r="M1764" t="str">
            <v/>
          </cell>
          <cell r="N1764" t="str">
            <v/>
          </cell>
          <cell r="O1764" t="str">
            <v/>
          </cell>
          <cell r="P1764" t="str">
            <v/>
          </cell>
          <cell r="Q1764" t="str">
            <v/>
          </cell>
          <cell r="R1764" t="str">
            <v/>
          </cell>
          <cell r="S1764" t="str">
            <v/>
          </cell>
          <cell r="T1764" t="str">
            <v/>
          </cell>
          <cell r="U1764" t="str">
            <v>BB20036810010</v>
          </cell>
          <cell r="V1764" t="str">
            <v>B00</v>
          </cell>
          <cell r="W1764" t="str">
            <v/>
          </cell>
          <cell r="X1764" t="str">
            <v/>
          </cell>
          <cell r="Y1764" t="str">
            <v/>
          </cell>
          <cell r="Z1764" t="str">
            <v/>
          </cell>
          <cell r="AA1764" t="str">
            <v/>
          </cell>
          <cell r="AB1764" t="str">
            <v>70000556</v>
          </cell>
          <cell r="AC1764">
            <v>1</v>
          </cell>
          <cell r="AD1764" t="str">
            <v/>
          </cell>
          <cell r="AE1764">
            <v>0</v>
          </cell>
          <cell r="AF1764" t="str">
            <v/>
          </cell>
          <cell r="AG1764" t="str">
            <v>70000556</v>
          </cell>
          <cell r="AH1764">
            <v>44960.997106481482</v>
          </cell>
          <cell r="AI1764" t="str">
            <v>B00</v>
          </cell>
          <cell r="AJ1764" t="str">
            <v>F</v>
          </cell>
          <cell r="AK1764" t="str">
            <v>--</v>
          </cell>
        </row>
        <row r="1765">
          <cell r="A1765" t="str">
            <v>70000557828521</v>
          </cell>
          <cell r="B1765">
            <v>0</v>
          </cell>
          <cell r="C1765" t="e">
            <v>#N/A</v>
          </cell>
          <cell r="D1765" t="str">
            <v>EK65</v>
          </cell>
          <cell r="E1765" t="str">
            <v>706760</v>
          </cell>
          <cell r="F1765" t="str">
            <v>E</v>
          </cell>
          <cell r="G1765" t="str">
            <v>70000557</v>
          </cell>
          <cell r="H1765" t="str">
            <v>PLATE</v>
          </cell>
          <cell r="I1765">
            <v>2970</v>
          </cell>
          <cell r="J1765" t="str">
            <v>Stk</v>
          </cell>
          <cell r="K1765">
            <v>45092</v>
          </cell>
          <cell r="L1765" t="str">
            <v>828521</v>
          </cell>
          <cell r="M1765" t="str">
            <v/>
          </cell>
          <cell r="N1765" t="str">
            <v/>
          </cell>
          <cell r="O1765" t="str">
            <v/>
          </cell>
          <cell r="P1765" t="str">
            <v/>
          </cell>
          <cell r="Q1765" t="str">
            <v/>
          </cell>
          <cell r="R1765" t="str">
            <v/>
          </cell>
          <cell r="S1765" t="str">
            <v/>
          </cell>
          <cell r="T1765" t="str">
            <v/>
          </cell>
          <cell r="U1765" t="str">
            <v>BB20036810011</v>
          </cell>
          <cell r="V1765" t="str">
            <v>B00</v>
          </cell>
          <cell r="W1765" t="str">
            <v/>
          </cell>
          <cell r="X1765" t="str">
            <v/>
          </cell>
          <cell r="Y1765" t="str">
            <v/>
          </cell>
          <cell r="Z1765" t="str">
            <v/>
          </cell>
          <cell r="AA1765" t="str">
            <v/>
          </cell>
          <cell r="AB1765" t="str">
            <v>70000557</v>
          </cell>
          <cell r="AC1765">
            <v>1</v>
          </cell>
          <cell r="AD1765" t="str">
            <v/>
          </cell>
          <cell r="AE1765">
            <v>0</v>
          </cell>
          <cell r="AF1765" t="str">
            <v/>
          </cell>
          <cell r="AG1765" t="str">
            <v>70000557</v>
          </cell>
          <cell r="AH1765">
            <v>44960.997129629628</v>
          </cell>
          <cell r="AI1765" t="str">
            <v>B00</v>
          </cell>
          <cell r="AJ1765" t="str">
            <v>F</v>
          </cell>
          <cell r="AK1765" t="str">
            <v>--</v>
          </cell>
        </row>
        <row r="1766">
          <cell r="A1766" t="str">
            <v>70000558828521</v>
          </cell>
          <cell r="B1766">
            <v>0</v>
          </cell>
          <cell r="C1766" t="e">
            <v>#N/A</v>
          </cell>
          <cell r="D1766" t="str">
            <v>EK65</v>
          </cell>
          <cell r="E1766" t="str">
            <v>706761</v>
          </cell>
          <cell r="F1766" t="str">
            <v>E</v>
          </cell>
          <cell r="G1766" t="str">
            <v>70000558</v>
          </cell>
          <cell r="H1766" t="str">
            <v>SHIM 2 MM</v>
          </cell>
          <cell r="I1766">
            <v>1440</v>
          </cell>
          <cell r="J1766" t="str">
            <v>Stk</v>
          </cell>
          <cell r="K1766">
            <v>45092</v>
          </cell>
          <cell r="L1766" t="str">
            <v>828521</v>
          </cell>
          <cell r="M1766" t="str">
            <v/>
          </cell>
          <cell r="N1766" t="str">
            <v/>
          </cell>
          <cell r="O1766" t="str">
            <v/>
          </cell>
          <cell r="P1766" t="str">
            <v/>
          </cell>
          <cell r="Q1766" t="str">
            <v/>
          </cell>
          <cell r="R1766" t="str">
            <v/>
          </cell>
          <cell r="S1766" t="str">
            <v/>
          </cell>
          <cell r="T1766" t="str">
            <v/>
          </cell>
          <cell r="U1766" t="str">
            <v>BB20036830001</v>
          </cell>
          <cell r="V1766" t="str">
            <v>B00</v>
          </cell>
          <cell r="W1766" t="str">
            <v/>
          </cell>
          <cell r="X1766" t="str">
            <v/>
          </cell>
          <cell r="Y1766" t="str">
            <v/>
          </cell>
          <cell r="Z1766" t="str">
            <v/>
          </cell>
          <cell r="AA1766" t="str">
            <v/>
          </cell>
          <cell r="AB1766" t="str">
            <v>70000558</v>
          </cell>
          <cell r="AC1766">
            <v>1</v>
          </cell>
          <cell r="AD1766" t="str">
            <v/>
          </cell>
          <cell r="AE1766">
            <v>0</v>
          </cell>
          <cell r="AF1766" t="str">
            <v/>
          </cell>
          <cell r="AG1766" t="str">
            <v>70000558</v>
          </cell>
          <cell r="AH1766">
            <v>44960.997141203705</v>
          </cell>
          <cell r="AI1766" t="str">
            <v>B00</v>
          </cell>
          <cell r="AJ1766" t="str">
            <v>F</v>
          </cell>
          <cell r="AK1766" t="str">
            <v>--</v>
          </cell>
        </row>
        <row r="1767">
          <cell r="A1767" t="str">
            <v>70001197828521</v>
          </cell>
          <cell r="B1767">
            <v>0</v>
          </cell>
          <cell r="C1767" t="e">
            <v>#N/A</v>
          </cell>
          <cell r="D1767" t="str">
            <v>EK65</v>
          </cell>
          <cell r="E1767" t="str">
            <v>706825</v>
          </cell>
          <cell r="F1767" t="str">
            <v>E</v>
          </cell>
          <cell r="G1767" t="str">
            <v>70001197</v>
          </cell>
          <cell r="H1767" t="str">
            <v>SUPPORT</v>
          </cell>
          <cell r="I1767">
            <v>180</v>
          </cell>
          <cell r="J1767" t="str">
            <v>Stk</v>
          </cell>
          <cell r="K1767">
            <v>45092</v>
          </cell>
          <cell r="L1767" t="str">
            <v>828521</v>
          </cell>
          <cell r="M1767" t="str">
            <v/>
          </cell>
          <cell r="N1767" t="str">
            <v/>
          </cell>
          <cell r="O1767" t="str">
            <v/>
          </cell>
          <cell r="P1767" t="str">
            <v/>
          </cell>
          <cell r="Q1767" t="str">
            <v/>
          </cell>
          <cell r="R1767" t="str">
            <v/>
          </cell>
          <cell r="S1767" t="str">
            <v/>
          </cell>
          <cell r="T1767" t="str">
            <v/>
          </cell>
          <cell r="U1767" t="str">
            <v>BB19224110011</v>
          </cell>
          <cell r="V1767" t="str">
            <v>B00</v>
          </cell>
          <cell r="W1767" t="str">
            <v/>
          </cell>
          <cell r="X1767" t="str">
            <v/>
          </cell>
          <cell r="Y1767" t="str">
            <v/>
          </cell>
          <cell r="Z1767" t="str">
            <v/>
          </cell>
          <cell r="AA1767" t="str">
            <v/>
          </cell>
          <cell r="AB1767" t="str">
            <v>70001197</v>
          </cell>
          <cell r="AC1767">
            <v>1</v>
          </cell>
          <cell r="AD1767" t="str">
            <v/>
          </cell>
          <cell r="AE1767">
            <v>0</v>
          </cell>
          <cell r="AF1767" t="str">
            <v/>
          </cell>
          <cell r="AG1767" t="str">
            <v>70001197</v>
          </cell>
          <cell r="AH1767">
            <v>44961.005798611113</v>
          </cell>
          <cell r="AI1767" t="str">
            <v>B00</v>
          </cell>
          <cell r="AJ1767" t="str">
            <v>F</v>
          </cell>
          <cell r="AK1767" t="str">
            <v>--</v>
          </cell>
        </row>
        <row r="1768">
          <cell r="A1768" t="str">
            <v>70001875828521</v>
          </cell>
          <cell r="B1768">
            <v>0</v>
          </cell>
          <cell r="C1768" t="e">
            <v>#N/A</v>
          </cell>
          <cell r="D1768" t="str">
            <v>EK65</v>
          </cell>
          <cell r="E1768" t="str">
            <v>706886</v>
          </cell>
          <cell r="F1768" t="str">
            <v>E</v>
          </cell>
          <cell r="G1768" t="str">
            <v>70001875</v>
          </cell>
          <cell r="H1768" t="str">
            <v>SHIM 1MM</v>
          </cell>
          <cell r="I1768">
            <v>720</v>
          </cell>
          <cell r="J1768" t="str">
            <v>Stk</v>
          </cell>
          <cell r="K1768">
            <v>45092</v>
          </cell>
          <cell r="L1768" t="str">
            <v>828521</v>
          </cell>
          <cell r="M1768" t="str">
            <v/>
          </cell>
          <cell r="N1768" t="str">
            <v/>
          </cell>
          <cell r="O1768" t="str">
            <v/>
          </cell>
          <cell r="P1768" t="str">
            <v/>
          </cell>
          <cell r="Q1768" t="str">
            <v/>
          </cell>
          <cell r="R1768" t="str">
            <v/>
          </cell>
          <cell r="S1768" t="str">
            <v/>
          </cell>
          <cell r="T1768" t="str">
            <v/>
          </cell>
          <cell r="U1768" t="str">
            <v>BB20036210001</v>
          </cell>
          <cell r="V1768" t="str">
            <v>B00</v>
          </cell>
          <cell r="W1768" t="str">
            <v/>
          </cell>
          <cell r="X1768" t="str">
            <v/>
          </cell>
          <cell r="Y1768" t="str">
            <v/>
          </cell>
          <cell r="Z1768" t="str">
            <v/>
          </cell>
          <cell r="AA1768" t="str">
            <v/>
          </cell>
          <cell r="AB1768" t="str">
            <v>70001875</v>
          </cell>
          <cell r="AC1768">
            <v>1</v>
          </cell>
          <cell r="AD1768" t="str">
            <v/>
          </cell>
          <cell r="AE1768">
            <v>0</v>
          </cell>
          <cell r="AF1768" t="str">
            <v/>
          </cell>
          <cell r="AG1768" t="str">
            <v>70001875</v>
          </cell>
          <cell r="AH1768">
            <v>44961.011678240742</v>
          </cell>
          <cell r="AI1768" t="str">
            <v>B00</v>
          </cell>
          <cell r="AJ1768" t="str">
            <v>F</v>
          </cell>
          <cell r="AK1768" t="str">
            <v>--</v>
          </cell>
        </row>
        <row r="1769">
          <cell r="A1769" t="str">
            <v>70001876828521</v>
          </cell>
          <cell r="B1769">
            <v>0</v>
          </cell>
          <cell r="C1769" t="e">
            <v>#N/A</v>
          </cell>
          <cell r="D1769" t="str">
            <v>EK65</v>
          </cell>
          <cell r="E1769" t="str">
            <v>706887</v>
          </cell>
          <cell r="F1769" t="str">
            <v>E</v>
          </cell>
          <cell r="G1769" t="str">
            <v>70001876</v>
          </cell>
          <cell r="H1769" t="str">
            <v>SHIM 2MM</v>
          </cell>
          <cell r="I1769">
            <v>720</v>
          </cell>
          <cell r="J1769" t="str">
            <v>Stk</v>
          </cell>
          <cell r="K1769">
            <v>45092</v>
          </cell>
          <cell r="L1769" t="str">
            <v>828521</v>
          </cell>
          <cell r="M1769" t="str">
            <v/>
          </cell>
          <cell r="N1769" t="str">
            <v/>
          </cell>
          <cell r="O1769" t="str">
            <v/>
          </cell>
          <cell r="P1769" t="str">
            <v/>
          </cell>
          <cell r="Q1769" t="str">
            <v/>
          </cell>
          <cell r="R1769" t="str">
            <v/>
          </cell>
          <cell r="S1769" t="str">
            <v/>
          </cell>
          <cell r="T1769" t="str">
            <v/>
          </cell>
          <cell r="U1769" t="str">
            <v>BB20036210003</v>
          </cell>
          <cell r="V1769" t="str">
            <v>B00</v>
          </cell>
          <cell r="W1769" t="str">
            <v/>
          </cell>
          <cell r="X1769" t="str">
            <v/>
          </cell>
          <cell r="Y1769" t="str">
            <v/>
          </cell>
          <cell r="Z1769" t="str">
            <v/>
          </cell>
          <cell r="AA1769" t="str">
            <v/>
          </cell>
          <cell r="AB1769" t="str">
            <v>70001876</v>
          </cell>
          <cell r="AC1769">
            <v>1</v>
          </cell>
          <cell r="AD1769" t="str">
            <v/>
          </cell>
          <cell r="AE1769">
            <v>0</v>
          </cell>
          <cell r="AF1769" t="str">
            <v/>
          </cell>
          <cell r="AG1769" t="str">
            <v>70001876</v>
          </cell>
          <cell r="AH1769">
            <v>44961.011689814812</v>
          </cell>
          <cell r="AI1769" t="str">
            <v>B00</v>
          </cell>
          <cell r="AJ1769" t="str">
            <v>F</v>
          </cell>
          <cell r="AK1769" t="str">
            <v>--</v>
          </cell>
        </row>
        <row r="1770">
          <cell r="A1770" t="str">
            <v>70001877828521</v>
          </cell>
          <cell r="B1770">
            <v>0</v>
          </cell>
          <cell r="C1770" t="e">
            <v>#N/A</v>
          </cell>
          <cell r="D1770" t="str">
            <v>EK65</v>
          </cell>
          <cell r="E1770" t="str">
            <v>706888</v>
          </cell>
          <cell r="F1770" t="str">
            <v>E</v>
          </cell>
          <cell r="G1770" t="str">
            <v>70001877</v>
          </cell>
          <cell r="H1770" t="str">
            <v>BUSHING</v>
          </cell>
          <cell r="I1770">
            <v>360</v>
          </cell>
          <cell r="J1770" t="str">
            <v>Stk</v>
          </cell>
          <cell r="K1770">
            <v>45092</v>
          </cell>
          <cell r="L1770" t="str">
            <v>828521</v>
          </cell>
          <cell r="M1770" t="str">
            <v/>
          </cell>
          <cell r="N1770" t="str">
            <v/>
          </cell>
          <cell r="O1770" t="str">
            <v/>
          </cell>
          <cell r="P1770" t="str">
            <v/>
          </cell>
          <cell r="Q1770" t="str">
            <v/>
          </cell>
          <cell r="R1770" t="str">
            <v/>
          </cell>
          <cell r="S1770" t="str">
            <v/>
          </cell>
          <cell r="T1770" t="str">
            <v/>
          </cell>
          <cell r="U1770" t="str">
            <v>BB20423110503</v>
          </cell>
          <cell r="V1770" t="str">
            <v>B50</v>
          </cell>
          <cell r="W1770" t="str">
            <v/>
          </cell>
          <cell r="X1770" t="str">
            <v/>
          </cell>
          <cell r="Y1770" t="str">
            <v/>
          </cell>
          <cell r="Z1770" t="str">
            <v/>
          </cell>
          <cell r="AA1770" t="str">
            <v/>
          </cell>
          <cell r="AB1770" t="str">
            <v>70001877</v>
          </cell>
          <cell r="AC1770">
            <v>1</v>
          </cell>
          <cell r="AD1770" t="str">
            <v/>
          </cell>
          <cell r="AE1770">
            <v>0</v>
          </cell>
          <cell r="AF1770" t="str">
            <v/>
          </cell>
          <cell r="AG1770" t="str">
            <v>70001877</v>
          </cell>
          <cell r="AH1770">
            <v>44961.011701388888</v>
          </cell>
          <cell r="AI1770" t="str">
            <v>B50</v>
          </cell>
          <cell r="AJ1770" t="str">
            <v>F</v>
          </cell>
          <cell r="AK1770" t="str">
            <v>--</v>
          </cell>
        </row>
        <row r="1771">
          <cell r="A1771" t="str">
            <v>70000571828521</v>
          </cell>
          <cell r="B1771">
            <v>0</v>
          </cell>
          <cell r="C1771" t="e">
            <v>#N/A</v>
          </cell>
          <cell r="D1771" t="str">
            <v>EK65</v>
          </cell>
          <cell r="E1771" t="str">
            <v>686492</v>
          </cell>
          <cell r="F1771" t="str">
            <v>E</v>
          </cell>
          <cell r="G1771" t="str">
            <v>70000571</v>
          </cell>
          <cell r="H1771" t="str">
            <v>ROOF HANDLE CONNECTOR</v>
          </cell>
          <cell r="I1771">
            <v>540</v>
          </cell>
          <cell r="J1771" t="str">
            <v>Stk</v>
          </cell>
          <cell r="K1771">
            <v>45093</v>
          </cell>
          <cell r="L1771" t="str">
            <v>828521</v>
          </cell>
          <cell r="M1771" t="str">
            <v/>
          </cell>
          <cell r="N1771" t="str">
            <v/>
          </cell>
          <cell r="O1771" t="str">
            <v/>
          </cell>
          <cell r="P1771" t="str">
            <v/>
          </cell>
          <cell r="Q1771" t="str">
            <v>AW 6082 T651</v>
          </cell>
          <cell r="R1771" t="str">
            <v>EN 755</v>
          </cell>
          <cell r="S1771" t="str">
            <v/>
          </cell>
          <cell r="T1771" t="str">
            <v/>
          </cell>
          <cell r="U1771" t="str">
            <v>BB20037230010</v>
          </cell>
          <cell r="V1771" t="str">
            <v>N254</v>
          </cell>
          <cell r="W1771" t="str">
            <v/>
          </cell>
          <cell r="X1771" t="str">
            <v/>
          </cell>
          <cell r="Y1771" t="str">
            <v/>
          </cell>
          <cell r="Z1771" t="str">
            <v/>
          </cell>
          <cell r="AA1771" t="str">
            <v/>
          </cell>
          <cell r="AB1771" t="str">
            <v>70000571</v>
          </cell>
          <cell r="AC1771">
            <v>1</v>
          </cell>
          <cell r="AD1771" t="str">
            <v/>
          </cell>
          <cell r="AE1771">
            <v>0</v>
          </cell>
          <cell r="AF1771" t="str">
            <v/>
          </cell>
          <cell r="AG1771" t="str">
            <v>70000571</v>
          </cell>
          <cell r="AH1771">
            <v>44916.116226851853</v>
          </cell>
          <cell r="AI1771" t="str">
            <v>N254</v>
          </cell>
          <cell r="AJ1771" t="str">
            <v>F</v>
          </cell>
          <cell r="AK1771" t="str">
            <v>--</v>
          </cell>
        </row>
        <row r="1772">
          <cell r="A1772" t="str">
            <v>70000573828521</v>
          </cell>
          <cell r="B1772">
            <v>0</v>
          </cell>
          <cell r="C1772" t="e">
            <v>#N/A</v>
          </cell>
          <cell r="D1772" t="str">
            <v>EK65</v>
          </cell>
          <cell r="E1772" t="str">
            <v>686493</v>
          </cell>
          <cell r="F1772" t="str">
            <v>E</v>
          </cell>
          <cell r="G1772" t="str">
            <v>70000573</v>
          </cell>
          <cell r="H1772" t="str">
            <v>ROOF HANDLE CONNECTOR</v>
          </cell>
          <cell r="I1772">
            <v>1440</v>
          </cell>
          <cell r="J1772" t="str">
            <v>Stk</v>
          </cell>
          <cell r="K1772">
            <v>45093</v>
          </cell>
          <cell r="L1772" t="str">
            <v>828521</v>
          </cell>
          <cell r="M1772" t="str">
            <v/>
          </cell>
          <cell r="N1772" t="str">
            <v/>
          </cell>
          <cell r="O1772" t="str">
            <v/>
          </cell>
          <cell r="P1772" t="str">
            <v/>
          </cell>
          <cell r="Q1772" t="str">
            <v/>
          </cell>
          <cell r="R1772" t="str">
            <v/>
          </cell>
          <cell r="S1772" t="str">
            <v/>
          </cell>
          <cell r="T1772" t="str">
            <v/>
          </cell>
          <cell r="U1772" t="str">
            <v>BB20037210090</v>
          </cell>
          <cell r="V1772" t="str">
            <v>N254</v>
          </cell>
          <cell r="W1772" t="str">
            <v/>
          </cell>
          <cell r="X1772" t="str">
            <v/>
          </cell>
          <cell r="Y1772" t="str">
            <v/>
          </cell>
          <cell r="Z1772" t="str">
            <v/>
          </cell>
          <cell r="AA1772" t="str">
            <v/>
          </cell>
          <cell r="AB1772" t="str">
            <v>70000573</v>
          </cell>
          <cell r="AC1772">
            <v>1</v>
          </cell>
          <cell r="AD1772" t="str">
            <v/>
          </cell>
          <cell r="AE1772">
            <v>0</v>
          </cell>
          <cell r="AF1772" t="str">
            <v/>
          </cell>
          <cell r="AG1772" t="str">
            <v>70000573</v>
          </cell>
          <cell r="AH1772">
            <v>44916.116273148145</v>
          </cell>
          <cell r="AI1772" t="str">
            <v>N254</v>
          </cell>
          <cell r="AJ1772" t="str">
            <v>F</v>
          </cell>
          <cell r="AK1772" t="str">
            <v>--</v>
          </cell>
        </row>
        <row r="1773">
          <cell r="A1773" t="str">
            <v>70000574828521</v>
          </cell>
          <cell r="B1773">
            <v>0</v>
          </cell>
          <cell r="C1773" t="e">
            <v>#N/A</v>
          </cell>
          <cell r="D1773" t="str">
            <v>EK65</v>
          </cell>
          <cell r="E1773" t="str">
            <v>686494</v>
          </cell>
          <cell r="F1773" t="str">
            <v>E</v>
          </cell>
          <cell r="G1773" t="str">
            <v>70000574</v>
          </cell>
          <cell r="H1773" t="str">
            <v>ROOF HANDLE CONNECTOR</v>
          </cell>
          <cell r="I1773">
            <v>270</v>
          </cell>
          <cell r="J1773" t="str">
            <v>Stk</v>
          </cell>
          <cell r="K1773">
            <v>45093</v>
          </cell>
          <cell r="L1773" t="str">
            <v>828521</v>
          </cell>
          <cell r="M1773" t="str">
            <v/>
          </cell>
          <cell r="N1773" t="str">
            <v/>
          </cell>
          <cell r="O1773" t="str">
            <v/>
          </cell>
          <cell r="P1773" t="str">
            <v/>
          </cell>
          <cell r="Q1773" t="str">
            <v/>
          </cell>
          <cell r="R1773" t="str">
            <v/>
          </cell>
          <cell r="S1773" t="str">
            <v/>
          </cell>
          <cell r="T1773" t="str">
            <v/>
          </cell>
          <cell r="U1773" t="str">
            <v>BB20037210091</v>
          </cell>
          <cell r="V1773" t="str">
            <v>N254</v>
          </cell>
          <cell r="W1773" t="str">
            <v/>
          </cell>
          <cell r="X1773" t="str">
            <v/>
          </cell>
          <cell r="Y1773" t="str">
            <v/>
          </cell>
          <cell r="Z1773" t="str">
            <v/>
          </cell>
          <cell r="AA1773" t="str">
            <v/>
          </cell>
          <cell r="AB1773" t="str">
            <v>70000574</v>
          </cell>
          <cell r="AC1773">
            <v>1</v>
          </cell>
          <cell r="AD1773" t="str">
            <v/>
          </cell>
          <cell r="AE1773">
            <v>0</v>
          </cell>
          <cell r="AF1773" t="str">
            <v/>
          </cell>
          <cell r="AG1773" t="str">
            <v>70000574</v>
          </cell>
          <cell r="AH1773">
            <v>44916.116296296299</v>
          </cell>
          <cell r="AI1773" t="str">
            <v>N254</v>
          </cell>
          <cell r="AJ1773" t="str">
            <v>F</v>
          </cell>
          <cell r="AK1773" t="str">
            <v>--</v>
          </cell>
        </row>
        <row r="1774">
          <cell r="A1774" t="str">
            <v>70000575828521</v>
          </cell>
          <cell r="B1774">
            <v>0</v>
          </cell>
          <cell r="C1774" t="e">
            <v>#N/A</v>
          </cell>
          <cell r="D1774" t="str">
            <v>EK65</v>
          </cell>
          <cell r="E1774" t="str">
            <v>686495</v>
          </cell>
          <cell r="F1774" t="str">
            <v>E</v>
          </cell>
          <cell r="G1774" t="str">
            <v>70000575</v>
          </cell>
          <cell r="H1774" t="str">
            <v>ROOF HANDLE CONNECTOR</v>
          </cell>
          <cell r="I1774">
            <v>270</v>
          </cell>
          <cell r="J1774" t="str">
            <v>Stk</v>
          </cell>
          <cell r="K1774">
            <v>45093</v>
          </cell>
          <cell r="L1774" t="str">
            <v>828521</v>
          </cell>
          <cell r="M1774" t="str">
            <v/>
          </cell>
          <cell r="N1774" t="str">
            <v/>
          </cell>
          <cell r="O1774" t="str">
            <v/>
          </cell>
          <cell r="P1774" t="str">
            <v/>
          </cell>
          <cell r="Q1774" t="str">
            <v/>
          </cell>
          <cell r="R1774" t="str">
            <v/>
          </cell>
          <cell r="S1774" t="str">
            <v/>
          </cell>
          <cell r="T1774" t="str">
            <v/>
          </cell>
          <cell r="U1774" t="str">
            <v>BB20037210092</v>
          </cell>
          <cell r="V1774" t="str">
            <v>N254</v>
          </cell>
          <cell r="W1774" t="str">
            <v/>
          </cell>
          <cell r="X1774" t="str">
            <v/>
          </cell>
          <cell r="Y1774" t="str">
            <v/>
          </cell>
          <cell r="Z1774" t="str">
            <v/>
          </cell>
          <cell r="AA1774" t="str">
            <v/>
          </cell>
          <cell r="AB1774" t="str">
            <v>70000575</v>
          </cell>
          <cell r="AC1774">
            <v>1</v>
          </cell>
          <cell r="AD1774" t="str">
            <v/>
          </cell>
          <cell r="AE1774">
            <v>0</v>
          </cell>
          <cell r="AF1774" t="str">
            <v/>
          </cell>
          <cell r="AG1774" t="str">
            <v>70000575</v>
          </cell>
          <cell r="AH1774">
            <v>44916.116307870368</v>
          </cell>
          <cell r="AI1774" t="str">
            <v>N254</v>
          </cell>
          <cell r="AJ1774" t="str">
            <v>F</v>
          </cell>
          <cell r="AK1774" t="str">
            <v>--</v>
          </cell>
        </row>
        <row r="1775">
          <cell r="A1775" t="str">
            <v>70000568828521</v>
          </cell>
          <cell r="B1775">
            <v>0</v>
          </cell>
          <cell r="C1775" t="e">
            <v>#N/A</v>
          </cell>
          <cell r="D1775" t="str">
            <v>EK65</v>
          </cell>
          <cell r="E1775" t="str">
            <v>690311</v>
          </cell>
          <cell r="F1775" t="str">
            <v>E</v>
          </cell>
          <cell r="G1775" t="str">
            <v>70000568</v>
          </cell>
          <cell r="H1775" t="str">
            <v>HANDLE</v>
          </cell>
          <cell r="I1775">
            <v>180</v>
          </cell>
          <cell r="J1775" t="str">
            <v>Stk</v>
          </cell>
          <cell r="K1775">
            <v>45093</v>
          </cell>
          <cell r="L1775" t="str">
            <v>828521</v>
          </cell>
          <cell r="M1775" t="str">
            <v/>
          </cell>
          <cell r="N1775" t="str">
            <v/>
          </cell>
          <cell r="O1775" t="str">
            <v/>
          </cell>
          <cell r="P1775" t="str">
            <v/>
          </cell>
          <cell r="Q1775" t="str">
            <v/>
          </cell>
          <cell r="R1775" t="str">
            <v/>
          </cell>
          <cell r="S1775" t="str">
            <v/>
          </cell>
          <cell r="T1775" t="str">
            <v/>
          </cell>
          <cell r="U1775" t="str">
            <v>BB20037230001</v>
          </cell>
          <cell r="V1775" t="str">
            <v>N254</v>
          </cell>
          <cell r="W1775" t="str">
            <v/>
          </cell>
          <cell r="X1775" t="str">
            <v/>
          </cell>
          <cell r="Y1775" t="str">
            <v/>
          </cell>
          <cell r="Z1775" t="str">
            <v/>
          </cell>
          <cell r="AA1775" t="str">
            <v/>
          </cell>
          <cell r="AB1775" t="str">
            <v>70000568</v>
          </cell>
          <cell r="AC1775">
            <v>1</v>
          </cell>
          <cell r="AD1775" t="str">
            <v/>
          </cell>
          <cell r="AE1775">
            <v>0</v>
          </cell>
          <cell r="AF1775" t="str">
            <v/>
          </cell>
          <cell r="AG1775" t="str">
            <v>70000568</v>
          </cell>
          <cell r="AH1775">
            <v>44916.969201388885</v>
          </cell>
          <cell r="AI1775" t="str">
            <v>N254</v>
          </cell>
          <cell r="AJ1775" t="str">
            <v>F</v>
          </cell>
          <cell r="AK1775" t="str">
            <v>--</v>
          </cell>
        </row>
        <row r="1776">
          <cell r="A1776" t="str">
            <v>70000578828521</v>
          </cell>
          <cell r="B1776">
            <v>0</v>
          </cell>
          <cell r="C1776" t="e">
            <v>#N/A</v>
          </cell>
          <cell r="D1776" t="str">
            <v>EK65</v>
          </cell>
          <cell r="E1776" t="str">
            <v>706762</v>
          </cell>
          <cell r="F1776" t="str">
            <v>E</v>
          </cell>
          <cell r="G1776" t="str">
            <v>70000578</v>
          </cell>
          <cell r="H1776" t="str">
            <v>SHIM 0,5 MM</v>
          </cell>
          <cell r="I1776">
            <v>4320</v>
          </cell>
          <cell r="J1776" t="str">
            <v>Stk</v>
          </cell>
          <cell r="K1776">
            <v>45093</v>
          </cell>
          <cell r="L1776" t="str">
            <v>828521</v>
          </cell>
          <cell r="M1776" t="str">
            <v/>
          </cell>
          <cell r="N1776" t="str">
            <v/>
          </cell>
          <cell r="O1776" t="str">
            <v/>
          </cell>
          <cell r="P1776" t="str">
            <v/>
          </cell>
          <cell r="Q1776" t="str">
            <v/>
          </cell>
          <cell r="R1776" t="str">
            <v/>
          </cell>
          <cell r="S1776" t="str">
            <v/>
          </cell>
          <cell r="T1776" t="str">
            <v/>
          </cell>
          <cell r="U1776" t="str">
            <v>BB20037210018</v>
          </cell>
          <cell r="V1776" t="str">
            <v>B00</v>
          </cell>
          <cell r="W1776" t="str">
            <v/>
          </cell>
          <cell r="X1776" t="str">
            <v/>
          </cell>
          <cell r="Y1776" t="str">
            <v/>
          </cell>
          <cell r="Z1776" t="str">
            <v/>
          </cell>
          <cell r="AA1776" t="str">
            <v/>
          </cell>
          <cell r="AB1776" t="str">
            <v>70000578</v>
          </cell>
          <cell r="AC1776">
            <v>1</v>
          </cell>
          <cell r="AD1776" t="str">
            <v/>
          </cell>
          <cell r="AE1776">
            <v>0</v>
          </cell>
          <cell r="AF1776" t="str">
            <v/>
          </cell>
          <cell r="AG1776" t="str">
            <v>70000578</v>
          </cell>
          <cell r="AH1776">
            <v>44960.997488425928</v>
          </cell>
          <cell r="AI1776" t="str">
            <v>B00</v>
          </cell>
          <cell r="AJ1776" t="str">
            <v>F</v>
          </cell>
          <cell r="AK1776" t="str">
            <v>--</v>
          </cell>
        </row>
        <row r="1777">
          <cell r="A1777" t="str">
            <v>70000579828521</v>
          </cell>
          <cell r="B1777">
            <v>0</v>
          </cell>
          <cell r="C1777" t="e">
            <v>#N/A</v>
          </cell>
          <cell r="D1777" t="str">
            <v>EK65</v>
          </cell>
          <cell r="E1777" t="str">
            <v>706763</v>
          </cell>
          <cell r="F1777" t="str">
            <v>E</v>
          </cell>
          <cell r="G1777" t="str">
            <v>70000579</v>
          </cell>
          <cell r="H1777" t="str">
            <v>SHIM 1 MM</v>
          </cell>
          <cell r="I1777">
            <v>2880</v>
          </cell>
          <cell r="J1777" t="str">
            <v>Stk</v>
          </cell>
          <cell r="K1777">
            <v>45093</v>
          </cell>
          <cell r="L1777" t="str">
            <v>828521</v>
          </cell>
          <cell r="M1777" t="str">
            <v/>
          </cell>
          <cell r="N1777" t="str">
            <v/>
          </cell>
          <cell r="O1777" t="str">
            <v/>
          </cell>
          <cell r="P1777" t="str">
            <v/>
          </cell>
          <cell r="Q1777" t="str">
            <v/>
          </cell>
          <cell r="R1777" t="str">
            <v/>
          </cell>
          <cell r="S1777" t="str">
            <v/>
          </cell>
          <cell r="T1777" t="str">
            <v/>
          </cell>
          <cell r="U1777" t="str">
            <v>BB20037210019</v>
          </cell>
          <cell r="V1777" t="str">
            <v>B00</v>
          </cell>
          <cell r="W1777" t="str">
            <v/>
          </cell>
          <cell r="X1777" t="str">
            <v/>
          </cell>
          <cell r="Y1777" t="str">
            <v/>
          </cell>
          <cell r="Z1777" t="str">
            <v/>
          </cell>
          <cell r="AA1777" t="str">
            <v/>
          </cell>
          <cell r="AB1777" t="str">
            <v>70000579</v>
          </cell>
          <cell r="AC1777">
            <v>1</v>
          </cell>
          <cell r="AD1777" t="str">
            <v/>
          </cell>
          <cell r="AE1777">
            <v>0</v>
          </cell>
          <cell r="AF1777" t="str">
            <v/>
          </cell>
          <cell r="AG1777" t="str">
            <v>70000579</v>
          </cell>
          <cell r="AH1777">
            <v>44960.997499999998</v>
          </cell>
          <cell r="AI1777" t="str">
            <v>B00</v>
          </cell>
          <cell r="AJ1777" t="str">
            <v>F</v>
          </cell>
          <cell r="AK1777" t="str">
            <v>--</v>
          </cell>
        </row>
        <row r="1778">
          <cell r="A1778" t="str">
            <v>70000580828521</v>
          </cell>
          <cell r="B1778">
            <v>0</v>
          </cell>
          <cell r="C1778" t="e">
            <v>#N/A</v>
          </cell>
          <cell r="D1778" t="str">
            <v>EK65</v>
          </cell>
          <cell r="E1778" t="str">
            <v>723340</v>
          </cell>
          <cell r="F1778" t="str">
            <v>E</v>
          </cell>
          <cell r="G1778" t="str">
            <v>70000580</v>
          </cell>
          <cell r="H1778" t="str">
            <v>BLOCK</v>
          </cell>
          <cell r="I1778">
            <v>540</v>
          </cell>
          <cell r="J1778" t="str">
            <v>Stk</v>
          </cell>
          <cell r="K1778">
            <v>45093</v>
          </cell>
          <cell r="L1778" t="str">
            <v>828521</v>
          </cell>
          <cell r="M1778" t="str">
            <v/>
          </cell>
          <cell r="N1778" t="str">
            <v/>
          </cell>
          <cell r="O1778" t="str">
            <v/>
          </cell>
          <cell r="P1778" t="str">
            <v/>
          </cell>
          <cell r="Q1778" t="str">
            <v/>
          </cell>
          <cell r="R1778" t="str">
            <v/>
          </cell>
          <cell r="S1778" t="str">
            <v/>
          </cell>
          <cell r="T1778" t="str">
            <v/>
          </cell>
          <cell r="U1778" t="str">
            <v>BB20034810019</v>
          </cell>
          <cell r="V1778" t="str">
            <v>B00</v>
          </cell>
          <cell r="W1778" t="str">
            <v/>
          </cell>
          <cell r="X1778" t="str">
            <v/>
          </cell>
          <cell r="Y1778" t="str">
            <v/>
          </cell>
          <cell r="Z1778" t="str">
            <v/>
          </cell>
          <cell r="AA1778" t="str">
            <v/>
          </cell>
          <cell r="AB1778" t="str">
            <v>70000580</v>
          </cell>
          <cell r="AC1778">
            <v>1</v>
          </cell>
          <cell r="AD1778" t="str">
            <v/>
          </cell>
          <cell r="AE1778">
            <v>0</v>
          </cell>
          <cell r="AF1778" t="str">
            <v/>
          </cell>
          <cell r="AG1778" t="str">
            <v>70000580</v>
          </cell>
          <cell r="AH1778">
            <v>45016.910173611112</v>
          </cell>
          <cell r="AI1778" t="str">
            <v>B00</v>
          </cell>
          <cell r="AJ1778" t="str">
            <v>F</v>
          </cell>
          <cell r="AK1778" t="str">
            <v>--</v>
          </cell>
        </row>
        <row r="1779">
          <cell r="A1779" t="str">
            <v>70001844828521</v>
          </cell>
          <cell r="B1779">
            <v>0</v>
          </cell>
          <cell r="C1779" t="e">
            <v>#N/A</v>
          </cell>
          <cell r="D1779" t="str">
            <v>EK65</v>
          </cell>
          <cell r="E1779" t="str">
            <v>706881</v>
          </cell>
          <cell r="F1779" t="str">
            <v>E</v>
          </cell>
          <cell r="G1779" t="str">
            <v>70001844</v>
          </cell>
          <cell r="H1779" t="str">
            <v>SUPPORT ASSEMBLY</v>
          </cell>
          <cell r="I1779">
            <v>180</v>
          </cell>
          <cell r="J1779" t="str">
            <v>Stk</v>
          </cell>
          <cell r="K1779">
            <v>45094</v>
          </cell>
          <cell r="L1779" t="str">
            <v>828521</v>
          </cell>
          <cell r="M1779" t="str">
            <v/>
          </cell>
          <cell r="N1779" t="str">
            <v/>
          </cell>
          <cell r="O1779" t="str">
            <v/>
          </cell>
          <cell r="P1779" t="str">
            <v/>
          </cell>
          <cell r="Q1779" t="str">
            <v/>
          </cell>
          <cell r="R1779" t="str">
            <v/>
          </cell>
          <cell r="S1779" t="str">
            <v/>
          </cell>
          <cell r="T1779" t="str">
            <v/>
          </cell>
          <cell r="U1779" t="str">
            <v>BB20035211900</v>
          </cell>
          <cell r="V1779" t="str">
            <v>B00</v>
          </cell>
          <cell r="W1779" t="str">
            <v/>
          </cell>
          <cell r="X1779" t="str">
            <v/>
          </cell>
          <cell r="Y1779" t="str">
            <v/>
          </cell>
          <cell r="Z1779" t="str">
            <v/>
          </cell>
          <cell r="AA1779" t="str">
            <v/>
          </cell>
          <cell r="AB1779" t="str">
            <v>70001844</v>
          </cell>
          <cell r="AC1779">
            <v>1</v>
          </cell>
          <cell r="AD1779" t="str">
            <v/>
          </cell>
          <cell r="AE1779">
            <v>0</v>
          </cell>
          <cell r="AF1779" t="str">
            <v/>
          </cell>
          <cell r="AG1779" t="str">
            <v>70001844</v>
          </cell>
          <cell r="AH1779">
            <v>44961.011180555557</v>
          </cell>
          <cell r="AI1779" t="str">
            <v>B00</v>
          </cell>
          <cell r="AJ1779" t="str">
            <v>F</v>
          </cell>
          <cell r="AK1779" t="str">
            <v>--</v>
          </cell>
        </row>
        <row r="1780">
          <cell r="A1780" t="str">
            <v>70001845828521</v>
          </cell>
          <cell r="B1780">
            <v>0</v>
          </cell>
          <cell r="C1780" t="e">
            <v>#N/A</v>
          </cell>
          <cell r="D1780" t="str">
            <v>EK65</v>
          </cell>
          <cell r="E1780" t="str">
            <v>706882</v>
          </cell>
          <cell r="F1780" t="str">
            <v>E</v>
          </cell>
          <cell r="G1780" t="str">
            <v>70001845</v>
          </cell>
          <cell r="H1780" t="str">
            <v>SUPPORT ASSEMBLY</v>
          </cell>
          <cell r="I1780">
            <v>90</v>
          </cell>
          <cell r="J1780" t="str">
            <v>Stk</v>
          </cell>
          <cell r="K1780">
            <v>45094</v>
          </cell>
          <cell r="L1780" t="str">
            <v>828521</v>
          </cell>
          <cell r="M1780" t="str">
            <v/>
          </cell>
          <cell r="N1780" t="str">
            <v/>
          </cell>
          <cell r="O1780" t="str">
            <v/>
          </cell>
          <cell r="P1780" t="str">
            <v/>
          </cell>
          <cell r="Q1780" t="str">
            <v/>
          </cell>
          <cell r="R1780" t="str">
            <v/>
          </cell>
          <cell r="S1780" t="str">
            <v/>
          </cell>
          <cell r="T1780" t="str">
            <v/>
          </cell>
          <cell r="U1780" t="str">
            <v>BB14535212100</v>
          </cell>
          <cell r="V1780" t="str">
            <v>I31</v>
          </cell>
          <cell r="W1780" t="str">
            <v/>
          </cell>
          <cell r="X1780" t="str">
            <v/>
          </cell>
          <cell r="Y1780" t="str">
            <v/>
          </cell>
          <cell r="Z1780" t="str">
            <v/>
          </cell>
          <cell r="AA1780" t="str">
            <v/>
          </cell>
          <cell r="AB1780" t="str">
            <v>70001845</v>
          </cell>
          <cell r="AC1780">
            <v>1</v>
          </cell>
          <cell r="AD1780" t="str">
            <v/>
          </cell>
          <cell r="AE1780">
            <v>0</v>
          </cell>
          <cell r="AF1780" t="str">
            <v/>
          </cell>
          <cell r="AG1780" t="str">
            <v>70001845</v>
          </cell>
          <cell r="AH1780">
            <v>44961.011203703703</v>
          </cell>
          <cell r="AI1780" t="str">
            <v>I31</v>
          </cell>
          <cell r="AJ1780" t="str">
            <v>F</v>
          </cell>
          <cell r="AK1780" t="str">
            <v>A0</v>
          </cell>
        </row>
        <row r="1781">
          <cell r="A1781" t="str">
            <v>70001846828521</v>
          </cell>
          <cell r="B1781">
            <v>0</v>
          </cell>
          <cell r="C1781" t="e">
            <v>#N/A</v>
          </cell>
          <cell r="D1781" t="str">
            <v>EK65</v>
          </cell>
          <cell r="E1781" t="str">
            <v>706883</v>
          </cell>
          <cell r="F1781" t="str">
            <v>E</v>
          </cell>
          <cell r="G1781" t="str">
            <v>70001846</v>
          </cell>
          <cell r="H1781" t="str">
            <v>SUPPORT ASSEMBLY</v>
          </cell>
          <cell r="I1781">
            <v>180</v>
          </cell>
          <cell r="J1781" t="str">
            <v>Stk</v>
          </cell>
          <cell r="K1781">
            <v>45094</v>
          </cell>
          <cell r="L1781" t="str">
            <v>828521</v>
          </cell>
          <cell r="M1781" t="str">
            <v/>
          </cell>
          <cell r="N1781" t="str">
            <v/>
          </cell>
          <cell r="O1781" t="str">
            <v/>
          </cell>
          <cell r="P1781" t="str">
            <v/>
          </cell>
          <cell r="Q1781" t="str">
            <v/>
          </cell>
          <cell r="R1781" t="str">
            <v/>
          </cell>
          <cell r="S1781" t="str">
            <v/>
          </cell>
          <cell r="T1781" t="str">
            <v/>
          </cell>
          <cell r="U1781" t="str">
            <v>BB14535212600</v>
          </cell>
          <cell r="V1781" t="str">
            <v>I31</v>
          </cell>
          <cell r="W1781" t="str">
            <v/>
          </cell>
          <cell r="X1781" t="str">
            <v/>
          </cell>
          <cell r="Y1781" t="str">
            <v/>
          </cell>
          <cell r="Z1781" t="str">
            <v/>
          </cell>
          <cell r="AA1781" t="str">
            <v/>
          </cell>
          <cell r="AB1781" t="str">
            <v>70001846</v>
          </cell>
          <cell r="AC1781">
            <v>1</v>
          </cell>
          <cell r="AD1781" t="str">
            <v/>
          </cell>
          <cell r="AE1781">
            <v>0</v>
          </cell>
          <cell r="AF1781" t="str">
            <v/>
          </cell>
          <cell r="AG1781" t="str">
            <v>70001846</v>
          </cell>
          <cell r="AH1781">
            <v>44961.01121527778</v>
          </cell>
          <cell r="AI1781" t="str">
            <v>I31</v>
          </cell>
          <cell r="AJ1781" t="str">
            <v>F</v>
          </cell>
          <cell r="AK1781" t="str">
            <v>--</v>
          </cell>
        </row>
        <row r="1782">
          <cell r="A1782" t="str">
            <v>70001847828521</v>
          </cell>
          <cell r="B1782">
            <v>0</v>
          </cell>
          <cell r="C1782" t="e">
            <v>#N/A</v>
          </cell>
          <cell r="D1782" t="str">
            <v>EK65</v>
          </cell>
          <cell r="E1782" t="str">
            <v>706884</v>
          </cell>
          <cell r="F1782" t="str">
            <v>E</v>
          </cell>
          <cell r="G1782" t="str">
            <v>70001847</v>
          </cell>
          <cell r="H1782" t="str">
            <v>SUPPORT ASSEMBLY</v>
          </cell>
          <cell r="I1782">
            <v>90</v>
          </cell>
          <cell r="J1782" t="str">
            <v>Stk</v>
          </cell>
          <cell r="K1782">
            <v>45094</v>
          </cell>
          <cell r="L1782" t="str">
            <v>828521</v>
          </cell>
          <cell r="M1782" t="str">
            <v/>
          </cell>
          <cell r="N1782" t="str">
            <v/>
          </cell>
          <cell r="O1782" t="str">
            <v/>
          </cell>
          <cell r="P1782" t="str">
            <v/>
          </cell>
          <cell r="Q1782" t="str">
            <v/>
          </cell>
          <cell r="R1782" t="str">
            <v/>
          </cell>
          <cell r="S1782" t="str">
            <v/>
          </cell>
          <cell r="T1782" t="str">
            <v/>
          </cell>
          <cell r="U1782" t="str">
            <v>BB14535212800</v>
          </cell>
          <cell r="V1782" t="str">
            <v>I31</v>
          </cell>
          <cell r="W1782" t="str">
            <v/>
          </cell>
          <cell r="X1782" t="str">
            <v/>
          </cell>
          <cell r="Y1782" t="str">
            <v/>
          </cell>
          <cell r="Z1782" t="str">
            <v/>
          </cell>
          <cell r="AA1782" t="str">
            <v/>
          </cell>
          <cell r="AB1782" t="str">
            <v>70001847</v>
          </cell>
          <cell r="AC1782">
            <v>1</v>
          </cell>
          <cell r="AD1782" t="str">
            <v/>
          </cell>
          <cell r="AE1782">
            <v>0</v>
          </cell>
          <cell r="AF1782" t="str">
            <v/>
          </cell>
          <cell r="AG1782" t="str">
            <v>70001847</v>
          </cell>
          <cell r="AH1782">
            <v>44961.01122685185</v>
          </cell>
          <cell r="AI1782" t="str">
            <v>I31</v>
          </cell>
          <cell r="AJ1782" t="str">
            <v>F</v>
          </cell>
          <cell r="AK1782" t="str">
            <v>A0</v>
          </cell>
        </row>
        <row r="1783">
          <cell r="A1783" t="str">
            <v>70001987828521</v>
          </cell>
          <cell r="B1783">
            <v>0</v>
          </cell>
          <cell r="C1783" t="e">
            <v>#N/A</v>
          </cell>
          <cell r="D1783" t="str">
            <v>EK65</v>
          </cell>
          <cell r="E1783" t="str">
            <v>706898</v>
          </cell>
          <cell r="F1783" t="str">
            <v>E</v>
          </cell>
          <cell r="G1783" t="str">
            <v>70001987</v>
          </cell>
          <cell r="H1783" t="str">
            <v>PLATE</v>
          </cell>
          <cell r="I1783">
            <v>180</v>
          </cell>
          <cell r="J1783" t="str">
            <v>Stk</v>
          </cell>
          <cell r="K1783">
            <v>45094</v>
          </cell>
          <cell r="L1783" t="str">
            <v>828521</v>
          </cell>
          <cell r="M1783" t="str">
            <v/>
          </cell>
          <cell r="N1783" t="str">
            <v/>
          </cell>
          <cell r="O1783" t="str">
            <v/>
          </cell>
          <cell r="P1783" t="str">
            <v/>
          </cell>
          <cell r="Q1783" t="str">
            <v>AW 5754 H111</v>
          </cell>
          <cell r="R1783" t="str">
            <v>EN 485</v>
          </cell>
          <cell r="S1783" t="str">
            <v/>
          </cell>
          <cell r="T1783" t="str">
            <v/>
          </cell>
          <cell r="U1783" t="str">
            <v>BB20038410708</v>
          </cell>
          <cell r="V1783" t="str">
            <v>B00</v>
          </cell>
          <cell r="W1783" t="str">
            <v/>
          </cell>
          <cell r="X1783" t="str">
            <v/>
          </cell>
          <cell r="Y1783" t="str">
            <v/>
          </cell>
          <cell r="Z1783" t="str">
            <v/>
          </cell>
          <cell r="AA1783" t="str">
            <v/>
          </cell>
          <cell r="AB1783" t="str">
            <v>70001987</v>
          </cell>
          <cell r="AC1783">
            <v>1</v>
          </cell>
          <cell r="AD1783" t="str">
            <v/>
          </cell>
          <cell r="AE1783">
            <v>0</v>
          </cell>
          <cell r="AF1783" t="str">
            <v/>
          </cell>
          <cell r="AG1783" t="str">
            <v>70001987</v>
          </cell>
          <cell r="AH1783">
            <v>44961.013009259259</v>
          </cell>
          <cell r="AI1783" t="str">
            <v>B00</v>
          </cell>
          <cell r="AJ1783" t="str">
            <v>F</v>
          </cell>
          <cell r="AK1783" t="str">
            <v>--</v>
          </cell>
        </row>
        <row r="1784">
          <cell r="A1784" t="str">
            <v>70001019828521</v>
          </cell>
          <cell r="B1784">
            <v>0</v>
          </cell>
          <cell r="C1784" t="e">
            <v>#N/A</v>
          </cell>
          <cell r="D1784" t="str">
            <v>EK65</v>
          </cell>
          <cell r="E1784" t="str">
            <v>706792</v>
          </cell>
          <cell r="F1784" t="str">
            <v>E</v>
          </cell>
          <cell r="G1784" t="str">
            <v>70001019</v>
          </cell>
          <cell r="H1784" t="str">
            <v>SHIM 2MM</v>
          </cell>
          <cell r="I1784">
            <v>180</v>
          </cell>
          <cell r="J1784" t="str">
            <v>Stk</v>
          </cell>
          <cell r="K1784">
            <v>45096</v>
          </cell>
          <cell r="L1784" t="str">
            <v>828521</v>
          </cell>
          <cell r="M1784" t="str">
            <v/>
          </cell>
          <cell r="N1784" t="str">
            <v/>
          </cell>
          <cell r="O1784" t="str">
            <v/>
          </cell>
          <cell r="P1784" t="str">
            <v/>
          </cell>
          <cell r="Q1784" t="str">
            <v/>
          </cell>
          <cell r="R1784" t="str">
            <v/>
          </cell>
          <cell r="S1784" t="str">
            <v/>
          </cell>
          <cell r="T1784" t="str">
            <v/>
          </cell>
          <cell r="U1784" t="str">
            <v>BB20016610001</v>
          </cell>
          <cell r="V1784" t="str">
            <v>B00</v>
          </cell>
          <cell r="W1784" t="str">
            <v/>
          </cell>
          <cell r="X1784" t="str">
            <v/>
          </cell>
          <cell r="Y1784" t="str">
            <v/>
          </cell>
          <cell r="Z1784" t="str">
            <v/>
          </cell>
          <cell r="AA1784" t="str">
            <v/>
          </cell>
          <cell r="AB1784" t="str">
            <v>70001019</v>
          </cell>
          <cell r="AC1784">
            <v>1</v>
          </cell>
          <cell r="AD1784" t="str">
            <v/>
          </cell>
          <cell r="AE1784">
            <v>0</v>
          </cell>
          <cell r="AF1784" t="str">
            <v/>
          </cell>
          <cell r="AG1784" t="str">
            <v>70001019</v>
          </cell>
          <cell r="AH1784">
            <v>44961.00309027778</v>
          </cell>
          <cell r="AI1784" t="str">
            <v>B00</v>
          </cell>
          <cell r="AJ1784" t="str">
            <v>F</v>
          </cell>
          <cell r="AK1784" t="str">
            <v>--</v>
          </cell>
        </row>
        <row r="1785">
          <cell r="A1785" t="str">
            <v>70001020828521</v>
          </cell>
          <cell r="B1785">
            <v>0</v>
          </cell>
          <cell r="C1785" t="e">
            <v>#N/A</v>
          </cell>
          <cell r="D1785" t="str">
            <v>EK65</v>
          </cell>
          <cell r="E1785" t="str">
            <v>706793</v>
          </cell>
          <cell r="F1785" t="str">
            <v>E</v>
          </cell>
          <cell r="G1785" t="str">
            <v>70001020</v>
          </cell>
          <cell r="H1785" t="str">
            <v>SHIM 1MM</v>
          </cell>
          <cell r="I1785">
            <v>540</v>
          </cell>
          <cell r="J1785" t="str">
            <v>Stk</v>
          </cell>
          <cell r="K1785">
            <v>45096</v>
          </cell>
          <cell r="L1785" t="str">
            <v>828521</v>
          </cell>
          <cell r="M1785" t="str">
            <v/>
          </cell>
          <cell r="N1785" t="str">
            <v/>
          </cell>
          <cell r="O1785" t="str">
            <v/>
          </cell>
          <cell r="P1785" t="str">
            <v/>
          </cell>
          <cell r="Q1785" t="str">
            <v/>
          </cell>
          <cell r="R1785" t="str">
            <v/>
          </cell>
          <cell r="S1785" t="str">
            <v/>
          </cell>
          <cell r="T1785" t="str">
            <v/>
          </cell>
          <cell r="U1785" t="str">
            <v>BB20016610002</v>
          </cell>
          <cell r="V1785" t="str">
            <v>B00</v>
          </cell>
          <cell r="W1785" t="str">
            <v/>
          </cell>
          <cell r="X1785" t="str">
            <v/>
          </cell>
          <cell r="Y1785" t="str">
            <v/>
          </cell>
          <cell r="Z1785" t="str">
            <v/>
          </cell>
          <cell r="AA1785" t="str">
            <v/>
          </cell>
          <cell r="AB1785" t="str">
            <v>70001020</v>
          </cell>
          <cell r="AC1785">
            <v>1</v>
          </cell>
          <cell r="AD1785" t="str">
            <v/>
          </cell>
          <cell r="AE1785">
            <v>0</v>
          </cell>
          <cell r="AF1785" t="str">
            <v/>
          </cell>
          <cell r="AG1785" t="str">
            <v>70001020</v>
          </cell>
          <cell r="AH1785">
            <v>44961.003101851849</v>
          </cell>
          <cell r="AI1785" t="str">
            <v>B00</v>
          </cell>
          <cell r="AJ1785" t="str">
            <v>F</v>
          </cell>
          <cell r="AK1785" t="str">
            <v>--</v>
          </cell>
        </row>
        <row r="1786">
          <cell r="A1786" t="str">
            <v>70001021828521</v>
          </cell>
          <cell r="B1786">
            <v>0</v>
          </cell>
          <cell r="C1786" t="e">
            <v>#N/A</v>
          </cell>
          <cell r="D1786" t="str">
            <v>EK65</v>
          </cell>
          <cell r="E1786" t="str">
            <v>706794</v>
          </cell>
          <cell r="F1786" t="str">
            <v>E</v>
          </cell>
          <cell r="G1786" t="str">
            <v>70001021</v>
          </cell>
          <cell r="H1786" t="str">
            <v>SHIM 0.5MM</v>
          </cell>
          <cell r="I1786">
            <v>360</v>
          </cell>
          <cell r="J1786" t="str">
            <v>Stk</v>
          </cell>
          <cell r="K1786">
            <v>45096</v>
          </cell>
          <cell r="L1786" t="str">
            <v>828521</v>
          </cell>
          <cell r="M1786" t="str">
            <v/>
          </cell>
          <cell r="N1786" t="str">
            <v/>
          </cell>
          <cell r="O1786" t="str">
            <v/>
          </cell>
          <cell r="P1786" t="str">
            <v/>
          </cell>
          <cell r="Q1786" t="str">
            <v/>
          </cell>
          <cell r="R1786" t="str">
            <v/>
          </cell>
          <cell r="S1786" t="str">
            <v/>
          </cell>
          <cell r="T1786" t="str">
            <v/>
          </cell>
          <cell r="U1786" t="str">
            <v>BB20016610003</v>
          </cell>
          <cell r="V1786" t="str">
            <v>B00</v>
          </cell>
          <cell r="W1786" t="str">
            <v/>
          </cell>
          <cell r="X1786" t="str">
            <v/>
          </cell>
          <cell r="Y1786" t="str">
            <v/>
          </cell>
          <cell r="Z1786" t="str">
            <v/>
          </cell>
          <cell r="AA1786" t="str">
            <v/>
          </cell>
          <cell r="AB1786" t="str">
            <v>70001021</v>
          </cell>
          <cell r="AC1786">
            <v>1</v>
          </cell>
          <cell r="AD1786" t="str">
            <v/>
          </cell>
          <cell r="AE1786">
            <v>0</v>
          </cell>
          <cell r="AF1786" t="str">
            <v/>
          </cell>
          <cell r="AG1786" t="str">
            <v>70001021</v>
          </cell>
          <cell r="AH1786">
            <v>44961.003125000003</v>
          </cell>
          <cell r="AI1786" t="str">
            <v>B00</v>
          </cell>
          <cell r="AJ1786" t="str">
            <v>F</v>
          </cell>
          <cell r="AK1786" t="str">
            <v>--</v>
          </cell>
        </row>
        <row r="1787">
          <cell r="A1787" t="str">
            <v>70001029828521</v>
          </cell>
          <cell r="B1787">
            <v>0</v>
          </cell>
          <cell r="C1787" t="e">
            <v>#N/A</v>
          </cell>
          <cell r="D1787" t="str">
            <v>EK65</v>
          </cell>
          <cell r="E1787" t="str">
            <v>706795</v>
          </cell>
          <cell r="F1787" t="str">
            <v>E</v>
          </cell>
          <cell r="G1787" t="str">
            <v>70001029</v>
          </cell>
          <cell r="H1787" t="str">
            <v>SHIM</v>
          </cell>
          <cell r="I1787">
            <v>540</v>
          </cell>
          <cell r="J1787" t="str">
            <v>Stk</v>
          </cell>
          <cell r="K1787">
            <v>45096</v>
          </cell>
          <cell r="L1787" t="str">
            <v>828521</v>
          </cell>
          <cell r="M1787" t="str">
            <v/>
          </cell>
          <cell r="N1787" t="str">
            <v/>
          </cell>
          <cell r="O1787" t="str">
            <v/>
          </cell>
          <cell r="P1787" t="str">
            <v/>
          </cell>
          <cell r="Q1787" t="str">
            <v/>
          </cell>
          <cell r="R1787" t="str">
            <v/>
          </cell>
          <cell r="S1787" t="str">
            <v/>
          </cell>
          <cell r="T1787" t="str">
            <v/>
          </cell>
          <cell r="U1787" t="str">
            <v>BB20016810003</v>
          </cell>
          <cell r="V1787" t="str">
            <v>B00</v>
          </cell>
          <cell r="W1787" t="str">
            <v/>
          </cell>
          <cell r="X1787" t="str">
            <v/>
          </cell>
          <cell r="Y1787" t="str">
            <v/>
          </cell>
          <cell r="Z1787" t="str">
            <v/>
          </cell>
          <cell r="AA1787" t="str">
            <v/>
          </cell>
          <cell r="AB1787" t="str">
            <v>70001029</v>
          </cell>
          <cell r="AC1787">
            <v>1</v>
          </cell>
          <cell r="AD1787" t="str">
            <v/>
          </cell>
          <cell r="AE1787">
            <v>0</v>
          </cell>
          <cell r="AF1787" t="str">
            <v/>
          </cell>
          <cell r="AG1787" t="str">
            <v>70001029</v>
          </cell>
          <cell r="AH1787">
            <v>44961.003287037034</v>
          </cell>
          <cell r="AI1787" t="str">
            <v>B00</v>
          </cell>
          <cell r="AJ1787" t="str">
            <v>F</v>
          </cell>
          <cell r="AK1787" t="str">
            <v>--</v>
          </cell>
        </row>
        <row r="1788">
          <cell r="A1788" t="str">
            <v>70001030828521</v>
          </cell>
          <cell r="B1788">
            <v>0</v>
          </cell>
          <cell r="C1788" t="e">
            <v>#N/A</v>
          </cell>
          <cell r="D1788" t="str">
            <v>EK65</v>
          </cell>
          <cell r="E1788" t="str">
            <v>706796</v>
          </cell>
          <cell r="F1788" t="str">
            <v>E</v>
          </cell>
          <cell r="G1788" t="str">
            <v>70001030</v>
          </cell>
          <cell r="H1788" t="str">
            <v>SHIM</v>
          </cell>
          <cell r="I1788">
            <v>360</v>
          </cell>
          <cell r="J1788" t="str">
            <v>Stk</v>
          </cell>
          <cell r="K1788">
            <v>45096</v>
          </cell>
          <cell r="L1788" t="str">
            <v>828521</v>
          </cell>
          <cell r="M1788" t="str">
            <v/>
          </cell>
          <cell r="N1788" t="str">
            <v/>
          </cell>
          <cell r="O1788" t="str">
            <v/>
          </cell>
          <cell r="P1788" t="str">
            <v/>
          </cell>
          <cell r="Q1788" t="str">
            <v/>
          </cell>
          <cell r="R1788" t="str">
            <v/>
          </cell>
          <cell r="S1788" t="str">
            <v/>
          </cell>
          <cell r="T1788" t="str">
            <v/>
          </cell>
          <cell r="U1788" t="str">
            <v>BB20016810004</v>
          </cell>
          <cell r="V1788" t="str">
            <v>B00</v>
          </cell>
          <cell r="W1788" t="str">
            <v/>
          </cell>
          <cell r="X1788" t="str">
            <v/>
          </cell>
          <cell r="Y1788" t="str">
            <v/>
          </cell>
          <cell r="Z1788" t="str">
            <v/>
          </cell>
          <cell r="AA1788" t="str">
            <v/>
          </cell>
          <cell r="AB1788" t="str">
            <v>70001030</v>
          </cell>
          <cell r="AC1788">
            <v>1</v>
          </cell>
          <cell r="AD1788" t="str">
            <v/>
          </cell>
          <cell r="AE1788">
            <v>0</v>
          </cell>
          <cell r="AF1788" t="str">
            <v/>
          </cell>
          <cell r="AG1788" t="str">
            <v>70001030</v>
          </cell>
          <cell r="AH1788">
            <v>44961.003310185188</v>
          </cell>
          <cell r="AI1788" t="str">
            <v>B00</v>
          </cell>
          <cell r="AJ1788" t="str">
            <v>F</v>
          </cell>
          <cell r="AK1788" t="str">
            <v>--</v>
          </cell>
        </row>
        <row r="1789">
          <cell r="A1789" t="str">
            <v>70001034828521</v>
          </cell>
          <cell r="B1789">
            <v>0</v>
          </cell>
          <cell r="C1789" t="e">
            <v>#N/A</v>
          </cell>
          <cell r="D1789" t="str">
            <v>EK65</v>
          </cell>
          <cell r="E1789" t="str">
            <v>706797</v>
          </cell>
          <cell r="F1789" t="str">
            <v>E</v>
          </cell>
          <cell r="G1789" t="str">
            <v>70001034</v>
          </cell>
          <cell r="H1789" t="str">
            <v>CAGED NUT</v>
          </cell>
          <cell r="I1789">
            <v>180</v>
          </cell>
          <cell r="J1789" t="str">
            <v>Stk</v>
          </cell>
          <cell r="K1789">
            <v>45096</v>
          </cell>
          <cell r="L1789" t="str">
            <v>828521</v>
          </cell>
          <cell r="M1789" t="str">
            <v/>
          </cell>
          <cell r="N1789" t="str">
            <v/>
          </cell>
          <cell r="O1789" t="str">
            <v/>
          </cell>
          <cell r="P1789" t="str">
            <v/>
          </cell>
          <cell r="Q1789" t="str">
            <v/>
          </cell>
          <cell r="R1789" t="str">
            <v/>
          </cell>
          <cell r="S1789" t="str">
            <v/>
          </cell>
          <cell r="T1789" t="str">
            <v/>
          </cell>
          <cell r="U1789" t="str">
            <v>BB18751233300</v>
          </cell>
          <cell r="V1789" t="str">
            <v>B00</v>
          </cell>
          <cell r="W1789" t="str">
            <v/>
          </cell>
          <cell r="X1789" t="str">
            <v/>
          </cell>
          <cell r="Y1789" t="str">
            <v/>
          </cell>
          <cell r="Z1789" t="str">
            <v/>
          </cell>
          <cell r="AA1789" t="str">
            <v/>
          </cell>
          <cell r="AB1789" t="str">
            <v>70001034</v>
          </cell>
          <cell r="AC1789">
            <v>1</v>
          </cell>
          <cell r="AD1789" t="str">
            <v/>
          </cell>
          <cell r="AE1789">
            <v>0</v>
          </cell>
          <cell r="AF1789" t="str">
            <v/>
          </cell>
          <cell r="AG1789" t="str">
            <v>70001034</v>
          </cell>
          <cell r="AH1789">
            <v>44961.00335648148</v>
          </cell>
          <cell r="AI1789" t="str">
            <v>B00</v>
          </cell>
          <cell r="AJ1789" t="str">
            <v>F</v>
          </cell>
          <cell r="AK1789" t="str">
            <v>--</v>
          </cell>
        </row>
        <row r="1790">
          <cell r="A1790" t="str">
            <v>70001043828521</v>
          </cell>
          <cell r="B1790">
            <v>0</v>
          </cell>
          <cell r="C1790" t="e">
            <v>#N/A</v>
          </cell>
          <cell r="D1790" t="str">
            <v>EK65</v>
          </cell>
          <cell r="E1790" t="str">
            <v>706798</v>
          </cell>
          <cell r="F1790" t="str">
            <v>E</v>
          </cell>
          <cell r="G1790" t="str">
            <v>70001043</v>
          </cell>
          <cell r="H1790" t="str">
            <v>FOLDED SHEET</v>
          </cell>
          <cell r="I1790">
            <v>180</v>
          </cell>
          <cell r="J1790" t="str">
            <v>Stk</v>
          </cell>
          <cell r="K1790">
            <v>45096</v>
          </cell>
          <cell r="L1790" t="str">
            <v>828521</v>
          </cell>
          <cell r="M1790" t="str">
            <v/>
          </cell>
          <cell r="N1790" t="str">
            <v/>
          </cell>
          <cell r="O1790" t="str">
            <v/>
          </cell>
          <cell r="P1790" t="str">
            <v/>
          </cell>
          <cell r="Q1790" t="str">
            <v/>
          </cell>
          <cell r="R1790" t="str">
            <v/>
          </cell>
          <cell r="S1790" t="str">
            <v/>
          </cell>
          <cell r="T1790" t="str">
            <v/>
          </cell>
          <cell r="U1790" t="str">
            <v>BB20016910003</v>
          </cell>
          <cell r="V1790" t="str">
            <v>B00</v>
          </cell>
          <cell r="W1790" t="str">
            <v/>
          </cell>
          <cell r="X1790" t="str">
            <v/>
          </cell>
          <cell r="Y1790" t="str">
            <v/>
          </cell>
          <cell r="Z1790" t="str">
            <v/>
          </cell>
          <cell r="AA1790" t="str">
            <v/>
          </cell>
          <cell r="AB1790" t="str">
            <v>70001043</v>
          </cell>
          <cell r="AC1790">
            <v>1</v>
          </cell>
          <cell r="AD1790" t="str">
            <v/>
          </cell>
          <cell r="AE1790">
            <v>0</v>
          </cell>
          <cell r="AF1790" t="str">
            <v/>
          </cell>
          <cell r="AG1790" t="str">
            <v>70001043</v>
          </cell>
          <cell r="AH1790">
            <v>44961.003437500003</v>
          </cell>
          <cell r="AI1790" t="str">
            <v>B00</v>
          </cell>
          <cell r="AJ1790" t="str">
            <v>F</v>
          </cell>
          <cell r="AK1790" t="str">
            <v>--</v>
          </cell>
        </row>
        <row r="1791">
          <cell r="A1791" t="str">
            <v>70001045828521</v>
          </cell>
          <cell r="B1791">
            <v>0</v>
          </cell>
          <cell r="C1791" t="e">
            <v>#N/A</v>
          </cell>
          <cell r="D1791" t="str">
            <v>EK65</v>
          </cell>
          <cell r="E1791" t="str">
            <v>706799</v>
          </cell>
          <cell r="F1791" t="str">
            <v>E</v>
          </cell>
          <cell r="G1791" t="str">
            <v>70001045</v>
          </cell>
          <cell r="H1791" t="str">
            <v>LOCK CAM</v>
          </cell>
          <cell r="I1791">
            <v>180</v>
          </cell>
          <cell r="J1791" t="str">
            <v>Stk</v>
          </cell>
          <cell r="K1791">
            <v>45096</v>
          </cell>
          <cell r="L1791" t="str">
            <v>828521</v>
          </cell>
          <cell r="M1791" t="str">
            <v/>
          </cell>
          <cell r="N1791" t="str">
            <v/>
          </cell>
          <cell r="O1791" t="str">
            <v/>
          </cell>
          <cell r="P1791" t="str">
            <v/>
          </cell>
          <cell r="Q1791" t="str">
            <v/>
          </cell>
          <cell r="R1791" t="str">
            <v/>
          </cell>
          <cell r="S1791" t="str">
            <v/>
          </cell>
          <cell r="T1791" t="str">
            <v/>
          </cell>
          <cell r="U1791" t="str">
            <v>BB20016910005</v>
          </cell>
          <cell r="V1791" t="str">
            <v>B00</v>
          </cell>
          <cell r="W1791" t="str">
            <v/>
          </cell>
          <cell r="X1791" t="str">
            <v/>
          </cell>
          <cell r="Y1791" t="str">
            <v/>
          </cell>
          <cell r="Z1791" t="str">
            <v/>
          </cell>
          <cell r="AA1791" t="str">
            <v/>
          </cell>
          <cell r="AB1791" t="str">
            <v>70001045</v>
          </cell>
          <cell r="AC1791">
            <v>1</v>
          </cell>
          <cell r="AD1791" t="str">
            <v/>
          </cell>
          <cell r="AE1791">
            <v>0</v>
          </cell>
          <cell r="AF1791" t="str">
            <v/>
          </cell>
          <cell r="AG1791" t="str">
            <v>70001045</v>
          </cell>
          <cell r="AH1791">
            <v>44961.003460648149</v>
          </cell>
          <cell r="AI1791" t="str">
            <v>B00</v>
          </cell>
          <cell r="AJ1791" t="str">
            <v>F</v>
          </cell>
          <cell r="AK1791" t="str">
            <v>--</v>
          </cell>
        </row>
        <row r="1792">
          <cell r="A1792" t="str">
            <v>70001046828521</v>
          </cell>
          <cell r="B1792">
            <v>0</v>
          </cell>
          <cell r="C1792" t="e">
            <v>#N/A</v>
          </cell>
          <cell r="D1792" t="str">
            <v>EK65</v>
          </cell>
          <cell r="E1792" t="str">
            <v>706800</v>
          </cell>
          <cell r="F1792" t="str">
            <v>E</v>
          </cell>
          <cell r="G1792" t="str">
            <v>70001046</v>
          </cell>
          <cell r="H1792" t="str">
            <v>SHIM</v>
          </cell>
          <cell r="I1792">
            <v>360</v>
          </cell>
          <cell r="J1792" t="str">
            <v>Stk</v>
          </cell>
          <cell r="K1792">
            <v>45096</v>
          </cell>
          <cell r="L1792" t="str">
            <v>828521</v>
          </cell>
          <cell r="M1792" t="str">
            <v/>
          </cell>
          <cell r="N1792" t="str">
            <v/>
          </cell>
          <cell r="O1792" t="str">
            <v/>
          </cell>
          <cell r="P1792" t="str">
            <v/>
          </cell>
          <cell r="Q1792" t="str">
            <v/>
          </cell>
          <cell r="R1792" t="str">
            <v/>
          </cell>
          <cell r="S1792" t="str">
            <v/>
          </cell>
          <cell r="T1792" t="str">
            <v/>
          </cell>
          <cell r="U1792" t="str">
            <v>BB20016910006</v>
          </cell>
          <cell r="V1792" t="str">
            <v>B00</v>
          </cell>
          <cell r="W1792" t="str">
            <v/>
          </cell>
          <cell r="X1792" t="str">
            <v/>
          </cell>
          <cell r="Y1792" t="str">
            <v/>
          </cell>
          <cell r="Z1792" t="str">
            <v/>
          </cell>
          <cell r="AA1792" t="str">
            <v/>
          </cell>
          <cell r="AB1792" t="str">
            <v>70001046</v>
          </cell>
          <cell r="AC1792">
            <v>1</v>
          </cell>
          <cell r="AD1792" t="str">
            <v/>
          </cell>
          <cell r="AE1792">
            <v>0</v>
          </cell>
          <cell r="AF1792" t="str">
            <v/>
          </cell>
          <cell r="AG1792" t="str">
            <v>70001046</v>
          </cell>
          <cell r="AH1792">
            <v>44961.003483796296</v>
          </cell>
          <cell r="AI1792" t="str">
            <v>B00</v>
          </cell>
          <cell r="AJ1792" t="str">
            <v>F</v>
          </cell>
          <cell r="AK1792" t="str">
            <v>--</v>
          </cell>
        </row>
        <row r="1793">
          <cell r="A1793" t="str">
            <v>70001047828521</v>
          </cell>
          <cell r="B1793">
            <v>0</v>
          </cell>
          <cell r="C1793" t="e">
            <v>#N/A</v>
          </cell>
          <cell r="D1793" t="str">
            <v>EK65</v>
          </cell>
          <cell r="E1793" t="str">
            <v>706801</v>
          </cell>
          <cell r="F1793" t="str">
            <v>E</v>
          </cell>
          <cell r="G1793" t="str">
            <v>70001047</v>
          </cell>
          <cell r="H1793" t="str">
            <v>SHIM 0,5MM</v>
          </cell>
          <cell r="I1793">
            <v>180</v>
          </cell>
          <cell r="J1793" t="str">
            <v>Stk</v>
          </cell>
          <cell r="K1793">
            <v>45096</v>
          </cell>
          <cell r="L1793" t="str">
            <v>828521</v>
          </cell>
          <cell r="M1793" t="str">
            <v/>
          </cell>
          <cell r="N1793" t="str">
            <v/>
          </cell>
          <cell r="O1793" t="str">
            <v/>
          </cell>
          <cell r="P1793" t="str">
            <v/>
          </cell>
          <cell r="Q1793" t="str">
            <v/>
          </cell>
          <cell r="R1793" t="str">
            <v/>
          </cell>
          <cell r="S1793" t="str">
            <v/>
          </cell>
          <cell r="T1793" t="str">
            <v/>
          </cell>
          <cell r="U1793" t="str">
            <v>BB20016910007</v>
          </cell>
          <cell r="V1793" t="str">
            <v>B00</v>
          </cell>
          <cell r="W1793" t="str">
            <v/>
          </cell>
          <cell r="X1793" t="str">
            <v/>
          </cell>
          <cell r="Y1793" t="str">
            <v/>
          </cell>
          <cell r="Z1793" t="str">
            <v/>
          </cell>
          <cell r="AA1793" t="str">
            <v/>
          </cell>
          <cell r="AB1793" t="str">
            <v>70001047</v>
          </cell>
          <cell r="AC1793">
            <v>1</v>
          </cell>
          <cell r="AD1793" t="str">
            <v/>
          </cell>
          <cell r="AE1793">
            <v>0</v>
          </cell>
          <cell r="AF1793" t="str">
            <v/>
          </cell>
          <cell r="AG1793" t="str">
            <v>70001047</v>
          </cell>
          <cell r="AH1793">
            <v>44961.003495370373</v>
          </cell>
          <cell r="AI1793" t="str">
            <v>B00</v>
          </cell>
          <cell r="AJ1793" t="str">
            <v>F</v>
          </cell>
          <cell r="AK1793" t="str">
            <v>--</v>
          </cell>
        </row>
        <row r="1794">
          <cell r="A1794" t="str">
            <v>70001048828521</v>
          </cell>
          <cell r="B1794">
            <v>0</v>
          </cell>
          <cell r="C1794" t="e">
            <v>#N/A</v>
          </cell>
          <cell r="D1794" t="str">
            <v>EK65</v>
          </cell>
          <cell r="E1794" t="str">
            <v>706802</v>
          </cell>
          <cell r="F1794" t="str">
            <v>E</v>
          </cell>
          <cell r="G1794" t="str">
            <v>70001048</v>
          </cell>
          <cell r="H1794" t="str">
            <v>SHIM 1MM</v>
          </cell>
          <cell r="I1794">
            <v>540</v>
          </cell>
          <cell r="J1794" t="str">
            <v>Stk</v>
          </cell>
          <cell r="K1794">
            <v>45096</v>
          </cell>
          <cell r="L1794" t="str">
            <v>828521</v>
          </cell>
          <cell r="M1794" t="str">
            <v/>
          </cell>
          <cell r="N1794" t="str">
            <v/>
          </cell>
          <cell r="O1794" t="str">
            <v/>
          </cell>
          <cell r="P1794" t="str">
            <v/>
          </cell>
          <cell r="Q1794" t="str">
            <v/>
          </cell>
          <cell r="R1794" t="str">
            <v/>
          </cell>
          <cell r="S1794" t="str">
            <v/>
          </cell>
          <cell r="T1794" t="str">
            <v/>
          </cell>
          <cell r="U1794" t="str">
            <v>BB20016910008</v>
          </cell>
          <cell r="V1794" t="str">
            <v>B00</v>
          </cell>
          <cell r="W1794" t="str">
            <v/>
          </cell>
          <cell r="X1794" t="str">
            <v/>
          </cell>
          <cell r="Y1794" t="str">
            <v/>
          </cell>
          <cell r="Z1794" t="str">
            <v/>
          </cell>
          <cell r="AA1794" t="str">
            <v/>
          </cell>
          <cell r="AB1794" t="str">
            <v>70001048</v>
          </cell>
          <cell r="AC1794">
            <v>1</v>
          </cell>
          <cell r="AD1794" t="str">
            <v/>
          </cell>
          <cell r="AE1794">
            <v>0</v>
          </cell>
          <cell r="AF1794" t="str">
            <v/>
          </cell>
          <cell r="AG1794" t="str">
            <v>70001048</v>
          </cell>
          <cell r="AH1794">
            <v>44961.003506944442</v>
          </cell>
          <cell r="AI1794" t="str">
            <v>B00</v>
          </cell>
          <cell r="AJ1794" t="str">
            <v>F</v>
          </cell>
          <cell r="AK1794" t="str">
            <v>--</v>
          </cell>
        </row>
        <row r="1795">
          <cell r="A1795" t="str">
            <v>70001049828521</v>
          </cell>
          <cell r="B1795">
            <v>0</v>
          </cell>
          <cell r="C1795" t="e">
            <v>#N/A</v>
          </cell>
          <cell r="D1795" t="str">
            <v>EK65</v>
          </cell>
          <cell r="E1795" t="str">
            <v>706803</v>
          </cell>
          <cell r="F1795" t="str">
            <v>E</v>
          </cell>
          <cell r="G1795" t="str">
            <v>70001049</v>
          </cell>
          <cell r="H1795" t="str">
            <v>SHIM 1MM</v>
          </cell>
          <cell r="I1795">
            <v>540</v>
          </cell>
          <cell r="J1795" t="str">
            <v>Stk</v>
          </cell>
          <cell r="K1795">
            <v>45096</v>
          </cell>
          <cell r="L1795" t="str">
            <v>828521</v>
          </cell>
          <cell r="M1795" t="str">
            <v/>
          </cell>
          <cell r="N1795" t="str">
            <v/>
          </cell>
          <cell r="O1795" t="str">
            <v/>
          </cell>
          <cell r="P1795" t="str">
            <v/>
          </cell>
          <cell r="Q1795" t="str">
            <v/>
          </cell>
          <cell r="R1795" t="str">
            <v/>
          </cell>
          <cell r="S1795" t="str">
            <v/>
          </cell>
          <cell r="T1795" t="str">
            <v/>
          </cell>
          <cell r="U1795" t="str">
            <v>BB20016910009</v>
          </cell>
          <cell r="V1795" t="str">
            <v>B00</v>
          </cell>
          <cell r="W1795" t="str">
            <v/>
          </cell>
          <cell r="X1795" t="str">
            <v/>
          </cell>
          <cell r="Y1795" t="str">
            <v/>
          </cell>
          <cell r="Z1795" t="str">
            <v/>
          </cell>
          <cell r="AA1795" t="str">
            <v/>
          </cell>
          <cell r="AB1795" t="str">
            <v>70001049</v>
          </cell>
          <cell r="AC1795">
            <v>1</v>
          </cell>
          <cell r="AD1795" t="str">
            <v/>
          </cell>
          <cell r="AE1795">
            <v>0</v>
          </cell>
          <cell r="AF1795" t="str">
            <v/>
          </cell>
          <cell r="AG1795" t="str">
            <v>70001049</v>
          </cell>
          <cell r="AH1795">
            <v>44961.003530092596</v>
          </cell>
          <cell r="AI1795" t="str">
            <v>B00</v>
          </cell>
          <cell r="AJ1795" t="str">
            <v>F</v>
          </cell>
          <cell r="AK1795" t="str">
            <v>--</v>
          </cell>
        </row>
        <row r="1796">
          <cell r="A1796" t="str">
            <v>70001245828521</v>
          </cell>
          <cell r="B1796">
            <v>0</v>
          </cell>
          <cell r="C1796" t="e">
            <v>#N/A</v>
          </cell>
          <cell r="D1796" t="str">
            <v>EK65</v>
          </cell>
          <cell r="E1796" t="str">
            <v>706832</v>
          </cell>
          <cell r="F1796" t="str">
            <v>E</v>
          </cell>
          <cell r="G1796" t="str">
            <v>70001245</v>
          </cell>
          <cell r="H1796" t="str">
            <v>SHIM 1,5MM</v>
          </cell>
          <cell r="I1796">
            <v>180</v>
          </cell>
          <cell r="J1796" t="str">
            <v>Stk</v>
          </cell>
          <cell r="K1796">
            <v>45096</v>
          </cell>
          <cell r="L1796" t="str">
            <v>828521</v>
          </cell>
          <cell r="M1796" t="str">
            <v/>
          </cell>
          <cell r="N1796" t="str">
            <v/>
          </cell>
          <cell r="O1796" t="str">
            <v/>
          </cell>
          <cell r="P1796" t="str">
            <v/>
          </cell>
          <cell r="Q1796" t="str">
            <v/>
          </cell>
          <cell r="R1796" t="str">
            <v/>
          </cell>
          <cell r="S1796" t="str">
            <v/>
          </cell>
          <cell r="T1796" t="str">
            <v/>
          </cell>
          <cell r="U1796" t="str">
            <v>BB20024910009</v>
          </cell>
          <cell r="V1796" t="str">
            <v>B00</v>
          </cell>
          <cell r="W1796" t="str">
            <v/>
          </cell>
          <cell r="X1796" t="str">
            <v/>
          </cell>
          <cell r="Y1796" t="str">
            <v/>
          </cell>
          <cell r="Z1796" t="str">
            <v/>
          </cell>
          <cell r="AA1796" t="str">
            <v/>
          </cell>
          <cell r="AB1796" t="str">
            <v>70001245</v>
          </cell>
          <cell r="AC1796">
            <v>1</v>
          </cell>
          <cell r="AD1796" t="str">
            <v/>
          </cell>
          <cell r="AE1796">
            <v>0</v>
          </cell>
          <cell r="AF1796" t="str">
            <v/>
          </cell>
          <cell r="AG1796" t="str">
            <v>70001245</v>
          </cell>
          <cell r="AH1796">
            <v>44961.006539351853</v>
          </cell>
          <cell r="AI1796" t="str">
            <v>B00</v>
          </cell>
          <cell r="AJ1796" t="str">
            <v>F</v>
          </cell>
          <cell r="AK1796" t="str">
            <v>--</v>
          </cell>
        </row>
        <row r="1797">
          <cell r="A1797" t="str">
            <v>70001246828521</v>
          </cell>
          <cell r="B1797">
            <v>0</v>
          </cell>
          <cell r="C1797" t="e">
            <v>#N/A</v>
          </cell>
          <cell r="D1797" t="str">
            <v>EK65</v>
          </cell>
          <cell r="E1797" t="str">
            <v>706833</v>
          </cell>
          <cell r="F1797" t="str">
            <v>E</v>
          </cell>
          <cell r="G1797" t="str">
            <v>70001246</v>
          </cell>
          <cell r="H1797" t="str">
            <v>SHIM 2MM</v>
          </cell>
          <cell r="I1797">
            <v>180</v>
          </cell>
          <cell r="J1797" t="str">
            <v>Stk</v>
          </cell>
          <cell r="K1797">
            <v>45096</v>
          </cell>
          <cell r="L1797" t="str">
            <v>828521</v>
          </cell>
          <cell r="M1797" t="str">
            <v/>
          </cell>
          <cell r="N1797" t="str">
            <v/>
          </cell>
          <cell r="O1797" t="str">
            <v/>
          </cell>
          <cell r="P1797" t="str">
            <v/>
          </cell>
          <cell r="Q1797" t="str">
            <v/>
          </cell>
          <cell r="R1797" t="str">
            <v/>
          </cell>
          <cell r="S1797" t="str">
            <v/>
          </cell>
          <cell r="T1797" t="str">
            <v/>
          </cell>
          <cell r="U1797" t="str">
            <v>BB20024910008</v>
          </cell>
          <cell r="V1797" t="str">
            <v>B00</v>
          </cell>
          <cell r="W1797" t="str">
            <v/>
          </cell>
          <cell r="X1797" t="str">
            <v/>
          </cell>
          <cell r="Y1797" t="str">
            <v/>
          </cell>
          <cell r="Z1797" t="str">
            <v/>
          </cell>
          <cell r="AA1797" t="str">
            <v/>
          </cell>
          <cell r="AB1797" t="str">
            <v>70001246</v>
          </cell>
          <cell r="AC1797">
            <v>1</v>
          </cell>
          <cell r="AD1797" t="str">
            <v/>
          </cell>
          <cell r="AE1797">
            <v>0</v>
          </cell>
          <cell r="AF1797" t="str">
            <v/>
          </cell>
          <cell r="AG1797" t="str">
            <v>70001246</v>
          </cell>
          <cell r="AH1797">
            <v>44961.006550925929</v>
          </cell>
          <cell r="AI1797" t="str">
            <v>B00</v>
          </cell>
          <cell r="AJ1797" t="str">
            <v>F</v>
          </cell>
          <cell r="AK1797" t="str">
            <v>--</v>
          </cell>
        </row>
        <row r="1798">
          <cell r="A1798" t="str">
            <v>70001988828521</v>
          </cell>
          <cell r="B1798">
            <v>0</v>
          </cell>
          <cell r="C1798" t="e">
            <v>#N/A</v>
          </cell>
          <cell r="D1798" t="str">
            <v>EK65</v>
          </cell>
          <cell r="E1798" t="str">
            <v>707757</v>
          </cell>
          <cell r="F1798" t="str">
            <v>E</v>
          </cell>
          <cell r="G1798" t="str">
            <v>70001988</v>
          </cell>
          <cell r="H1798" t="str">
            <v>BRACKET</v>
          </cell>
          <cell r="I1798">
            <v>90</v>
          </cell>
          <cell r="J1798" t="str">
            <v>Stk</v>
          </cell>
          <cell r="K1798">
            <v>45096</v>
          </cell>
          <cell r="L1798" t="str">
            <v>828521</v>
          </cell>
          <cell r="M1798" t="str">
            <v/>
          </cell>
          <cell r="N1798" t="str">
            <v/>
          </cell>
          <cell r="O1798" t="str">
            <v/>
          </cell>
          <cell r="P1798" t="str">
            <v/>
          </cell>
          <cell r="Q1798" t="str">
            <v/>
          </cell>
          <cell r="R1798" t="str">
            <v/>
          </cell>
          <cell r="S1798" t="str">
            <v/>
          </cell>
          <cell r="T1798" t="str">
            <v/>
          </cell>
          <cell r="U1798" t="str">
            <v>BB19938810001</v>
          </cell>
          <cell r="V1798" t="str">
            <v>B00</v>
          </cell>
          <cell r="W1798" t="str">
            <v/>
          </cell>
          <cell r="X1798" t="str">
            <v/>
          </cell>
          <cell r="Y1798" t="str">
            <v/>
          </cell>
          <cell r="Z1798" t="str">
            <v/>
          </cell>
          <cell r="AA1798" t="str">
            <v/>
          </cell>
          <cell r="AB1798" t="str">
            <v>70001988</v>
          </cell>
          <cell r="AC1798">
            <v>1</v>
          </cell>
          <cell r="AD1798" t="str">
            <v/>
          </cell>
          <cell r="AE1798">
            <v>0</v>
          </cell>
          <cell r="AF1798" t="str">
            <v/>
          </cell>
          <cell r="AG1798" t="str">
            <v>70001988</v>
          </cell>
          <cell r="AH1798">
            <v>44961.059201388889</v>
          </cell>
          <cell r="AI1798" t="str">
            <v>B00</v>
          </cell>
          <cell r="AJ1798" t="str">
            <v>F</v>
          </cell>
          <cell r="AK1798" t="str">
            <v>--</v>
          </cell>
        </row>
        <row r="1799">
          <cell r="A1799" t="str">
            <v>70001205828521</v>
          </cell>
          <cell r="B1799">
            <v>0</v>
          </cell>
          <cell r="C1799" t="e">
            <v>#N/A</v>
          </cell>
          <cell r="D1799" t="str">
            <v>EK65</v>
          </cell>
          <cell r="E1799" t="str">
            <v>706826</v>
          </cell>
          <cell r="F1799" t="str">
            <v>E</v>
          </cell>
          <cell r="G1799" t="str">
            <v>70001205</v>
          </cell>
          <cell r="H1799" t="str">
            <v>PLATE</v>
          </cell>
          <cell r="I1799">
            <v>180</v>
          </cell>
          <cell r="J1799" t="str">
            <v>Stk</v>
          </cell>
          <cell r="K1799">
            <v>45097</v>
          </cell>
          <cell r="L1799" t="str">
            <v>828521</v>
          </cell>
          <cell r="M1799" t="str">
            <v/>
          </cell>
          <cell r="N1799" t="str">
            <v/>
          </cell>
          <cell r="O1799" t="str">
            <v/>
          </cell>
          <cell r="P1799" t="str">
            <v/>
          </cell>
          <cell r="Q1799" t="str">
            <v/>
          </cell>
          <cell r="R1799" t="str">
            <v/>
          </cell>
          <cell r="S1799" t="str">
            <v/>
          </cell>
          <cell r="T1799" t="str">
            <v/>
          </cell>
          <cell r="U1799" t="str">
            <v>BB20020710002</v>
          </cell>
          <cell r="V1799" t="str">
            <v>B00</v>
          </cell>
          <cell r="W1799" t="str">
            <v/>
          </cell>
          <cell r="X1799" t="str">
            <v/>
          </cell>
          <cell r="Y1799" t="str">
            <v/>
          </cell>
          <cell r="Z1799" t="str">
            <v/>
          </cell>
          <cell r="AA1799" t="str">
            <v/>
          </cell>
          <cell r="AB1799" t="str">
            <v>70001205</v>
          </cell>
          <cell r="AC1799">
            <v>1</v>
          </cell>
          <cell r="AD1799" t="str">
            <v/>
          </cell>
          <cell r="AE1799">
            <v>0</v>
          </cell>
          <cell r="AF1799" t="str">
            <v/>
          </cell>
          <cell r="AG1799" t="str">
            <v>70001205</v>
          </cell>
          <cell r="AH1799">
            <v>44961.005925925929</v>
          </cell>
          <cell r="AI1799" t="str">
            <v>B00</v>
          </cell>
          <cell r="AJ1799" t="str">
            <v>F</v>
          </cell>
          <cell r="AK1799" t="str">
            <v>--</v>
          </cell>
        </row>
        <row r="1800">
          <cell r="A1800" t="str">
            <v>70001206828521</v>
          </cell>
          <cell r="B1800">
            <v>0</v>
          </cell>
          <cell r="C1800" t="e">
            <v>#N/A</v>
          </cell>
          <cell r="D1800" t="str">
            <v>EK65</v>
          </cell>
          <cell r="E1800" t="str">
            <v>706827</v>
          </cell>
          <cell r="F1800" t="str">
            <v>E</v>
          </cell>
          <cell r="G1800" t="str">
            <v>70001206</v>
          </cell>
          <cell r="H1800" t="str">
            <v>PLATE</v>
          </cell>
          <cell r="I1800">
            <v>180</v>
          </cell>
          <cell r="J1800" t="str">
            <v>Stk</v>
          </cell>
          <cell r="K1800">
            <v>45097</v>
          </cell>
          <cell r="L1800" t="str">
            <v>828521</v>
          </cell>
          <cell r="M1800" t="str">
            <v/>
          </cell>
          <cell r="N1800" t="str">
            <v/>
          </cell>
          <cell r="O1800" t="str">
            <v/>
          </cell>
          <cell r="P1800" t="str">
            <v/>
          </cell>
          <cell r="Q1800" t="str">
            <v/>
          </cell>
          <cell r="R1800" t="str">
            <v/>
          </cell>
          <cell r="S1800" t="str">
            <v/>
          </cell>
          <cell r="T1800" t="str">
            <v/>
          </cell>
          <cell r="U1800" t="str">
            <v>BB20020710003</v>
          </cell>
          <cell r="V1800" t="str">
            <v>B00</v>
          </cell>
          <cell r="W1800" t="str">
            <v/>
          </cell>
          <cell r="X1800" t="str">
            <v/>
          </cell>
          <cell r="Y1800" t="str">
            <v/>
          </cell>
          <cell r="Z1800" t="str">
            <v/>
          </cell>
          <cell r="AA1800" t="str">
            <v/>
          </cell>
          <cell r="AB1800" t="str">
            <v>70001206</v>
          </cell>
          <cell r="AC1800">
            <v>1</v>
          </cell>
          <cell r="AD1800" t="str">
            <v/>
          </cell>
          <cell r="AE1800">
            <v>0</v>
          </cell>
          <cell r="AF1800" t="str">
            <v/>
          </cell>
          <cell r="AG1800" t="str">
            <v>70001206</v>
          </cell>
          <cell r="AH1800">
            <v>44961.005937499998</v>
          </cell>
          <cell r="AI1800" t="str">
            <v>B00</v>
          </cell>
          <cell r="AJ1800" t="str">
            <v>F</v>
          </cell>
          <cell r="AK1800" t="str">
            <v>--</v>
          </cell>
        </row>
        <row r="1801">
          <cell r="A1801" t="str">
            <v>70001219828521</v>
          </cell>
          <cell r="B1801">
            <v>0</v>
          </cell>
          <cell r="C1801" t="e">
            <v>#N/A</v>
          </cell>
          <cell r="D1801" t="str">
            <v>EK65</v>
          </cell>
          <cell r="E1801" t="str">
            <v>706830</v>
          </cell>
          <cell r="F1801" t="str">
            <v>E</v>
          </cell>
          <cell r="G1801" t="str">
            <v>70001219</v>
          </cell>
          <cell r="H1801" t="str">
            <v>PLATE</v>
          </cell>
          <cell r="I1801">
            <v>180</v>
          </cell>
          <cell r="J1801" t="str">
            <v>Stk</v>
          </cell>
          <cell r="K1801">
            <v>45097</v>
          </cell>
          <cell r="L1801" t="str">
            <v>828521</v>
          </cell>
          <cell r="M1801" t="str">
            <v/>
          </cell>
          <cell r="N1801" t="str">
            <v/>
          </cell>
          <cell r="O1801" t="str">
            <v/>
          </cell>
          <cell r="P1801" t="str">
            <v/>
          </cell>
          <cell r="Q1801" t="str">
            <v/>
          </cell>
          <cell r="R1801" t="str">
            <v/>
          </cell>
          <cell r="S1801" t="str">
            <v/>
          </cell>
          <cell r="T1801" t="str">
            <v/>
          </cell>
          <cell r="U1801" t="str">
            <v>BB20020510002</v>
          </cell>
          <cell r="V1801" t="str">
            <v>B00</v>
          </cell>
          <cell r="W1801" t="str">
            <v/>
          </cell>
          <cell r="X1801" t="str">
            <v/>
          </cell>
          <cell r="Y1801" t="str">
            <v/>
          </cell>
          <cell r="Z1801" t="str">
            <v/>
          </cell>
          <cell r="AA1801" t="str">
            <v/>
          </cell>
          <cell r="AB1801" t="str">
            <v>70001219</v>
          </cell>
          <cell r="AC1801">
            <v>1</v>
          </cell>
          <cell r="AD1801" t="str">
            <v/>
          </cell>
          <cell r="AE1801">
            <v>0</v>
          </cell>
          <cell r="AF1801" t="str">
            <v/>
          </cell>
          <cell r="AG1801" t="str">
            <v>70001219</v>
          </cell>
          <cell r="AH1801">
            <v>44961.006157407406</v>
          </cell>
          <cell r="AI1801" t="str">
            <v>B00</v>
          </cell>
          <cell r="AJ1801" t="str">
            <v>F</v>
          </cell>
          <cell r="AK1801" t="str">
            <v>--</v>
          </cell>
        </row>
        <row r="1802">
          <cell r="A1802" t="str">
            <v>70001849828521</v>
          </cell>
          <cell r="B1802">
            <v>0</v>
          </cell>
          <cell r="C1802" t="e">
            <v>#N/A</v>
          </cell>
          <cell r="D1802" t="str">
            <v>EK65</v>
          </cell>
          <cell r="E1802" t="str">
            <v>706885</v>
          </cell>
          <cell r="F1802" t="str">
            <v>E</v>
          </cell>
          <cell r="G1802" t="str">
            <v>70001849</v>
          </cell>
          <cell r="H1802" t="str">
            <v>FOLDED SHEET</v>
          </cell>
          <cell r="I1802">
            <v>540</v>
          </cell>
          <cell r="J1802" t="str">
            <v>Stk</v>
          </cell>
          <cell r="K1802">
            <v>45097</v>
          </cell>
          <cell r="L1802" t="str">
            <v>828521</v>
          </cell>
          <cell r="M1802" t="str">
            <v/>
          </cell>
          <cell r="N1802" t="str">
            <v/>
          </cell>
          <cell r="O1802" t="str">
            <v/>
          </cell>
          <cell r="P1802" t="str">
            <v/>
          </cell>
          <cell r="Q1802" t="str">
            <v/>
          </cell>
          <cell r="R1802" t="str">
            <v/>
          </cell>
          <cell r="S1802" t="str">
            <v/>
          </cell>
          <cell r="T1802" t="str">
            <v/>
          </cell>
          <cell r="U1802" t="str">
            <v>BB20035410008</v>
          </cell>
          <cell r="V1802" t="str">
            <v>B00</v>
          </cell>
          <cell r="W1802" t="str">
            <v/>
          </cell>
          <cell r="X1802" t="str">
            <v/>
          </cell>
          <cell r="Y1802" t="str">
            <v/>
          </cell>
          <cell r="Z1802" t="str">
            <v/>
          </cell>
          <cell r="AA1802" t="str">
            <v/>
          </cell>
          <cell r="AB1802" t="str">
            <v>70001849</v>
          </cell>
          <cell r="AC1802">
            <v>1</v>
          </cell>
          <cell r="AD1802" t="str">
            <v/>
          </cell>
          <cell r="AE1802">
            <v>0</v>
          </cell>
          <cell r="AF1802" t="str">
            <v/>
          </cell>
          <cell r="AG1802" t="str">
            <v>70001849</v>
          </cell>
          <cell r="AH1802">
            <v>44961.011273148149</v>
          </cell>
          <cell r="AI1802" t="str">
            <v>B00</v>
          </cell>
          <cell r="AJ1802" t="str">
            <v>F</v>
          </cell>
          <cell r="AK1802" t="str">
            <v>--</v>
          </cell>
        </row>
        <row r="1803">
          <cell r="A1803" t="str">
            <v>70002747828521</v>
          </cell>
          <cell r="B1803" t="e">
            <v>#N/A</v>
          </cell>
          <cell r="C1803" t="e">
            <v>#N/A</v>
          </cell>
          <cell r="D1803" t="str">
            <v>EK65</v>
          </cell>
          <cell r="E1803" t="str">
            <v>723095</v>
          </cell>
          <cell r="F1803" t="str">
            <v>E</v>
          </cell>
          <cell r="G1803" t="str">
            <v>70002747</v>
          </cell>
          <cell r="H1803" t="str">
            <v>BRACKET ASSEMBLY</v>
          </cell>
          <cell r="I1803">
            <v>540</v>
          </cell>
          <cell r="J1803" t="str">
            <v>Stk</v>
          </cell>
          <cell r="K1803">
            <v>45097</v>
          </cell>
          <cell r="L1803" t="str">
            <v>828521</v>
          </cell>
          <cell r="M1803" t="str">
            <v/>
          </cell>
          <cell r="N1803" t="str">
            <v/>
          </cell>
          <cell r="O1803" t="str">
            <v/>
          </cell>
          <cell r="P1803" t="str">
            <v/>
          </cell>
          <cell r="Q1803" t="str">
            <v/>
          </cell>
          <cell r="R1803" t="str">
            <v/>
          </cell>
          <cell r="S1803" t="str">
            <v/>
          </cell>
          <cell r="T1803" t="str">
            <v/>
          </cell>
          <cell r="U1803" t="str">
            <v>BB20035412700</v>
          </cell>
          <cell r="V1803" t="str">
            <v>B00</v>
          </cell>
          <cell r="W1803" t="str">
            <v/>
          </cell>
          <cell r="X1803" t="str">
            <v/>
          </cell>
          <cell r="Y1803" t="str">
            <v/>
          </cell>
          <cell r="Z1803" t="str">
            <v/>
          </cell>
          <cell r="AA1803" t="str">
            <v/>
          </cell>
          <cell r="AB1803" t="str">
            <v>70002747</v>
          </cell>
          <cell r="AC1803">
            <v>1</v>
          </cell>
          <cell r="AD1803" t="str">
            <v/>
          </cell>
          <cell r="AE1803">
            <v>0</v>
          </cell>
          <cell r="AF1803" t="str">
            <v/>
          </cell>
          <cell r="AG1803" t="str">
            <v>70002747</v>
          </cell>
          <cell r="AH1803">
            <v>45015.940046296295</v>
          </cell>
          <cell r="AI1803" t="str">
            <v>B00</v>
          </cell>
          <cell r="AJ1803" t="str">
            <v>F</v>
          </cell>
          <cell r="AK1803" t="str">
            <v>2</v>
          </cell>
        </row>
        <row r="1804">
          <cell r="A1804" t="str">
            <v>70002748828521</v>
          </cell>
          <cell r="B1804" t="e">
            <v>#N/A</v>
          </cell>
          <cell r="C1804" t="e">
            <v>#N/A</v>
          </cell>
          <cell r="D1804" t="str">
            <v>EK65</v>
          </cell>
          <cell r="E1804" t="str">
            <v>723096</v>
          </cell>
          <cell r="F1804" t="str">
            <v>E</v>
          </cell>
          <cell r="G1804" t="str">
            <v>70002748</v>
          </cell>
          <cell r="H1804" t="str">
            <v>BRACKET ASSEMBLY</v>
          </cell>
          <cell r="I1804">
            <v>540</v>
          </cell>
          <cell r="J1804" t="str">
            <v>Stk</v>
          </cell>
          <cell r="K1804">
            <v>45097</v>
          </cell>
          <cell r="L1804" t="str">
            <v>828521</v>
          </cell>
          <cell r="M1804" t="str">
            <v/>
          </cell>
          <cell r="N1804" t="str">
            <v/>
          </cell>
          <cell r="O1804" t="str">
            <v/>
          </cell>
          <cell r="P1804" t="str">
            <v/>
          </cell>
          <cell r="Q1804" t="str">
            <v/>
          </cell>
          <cell r="R1804" t="str">
            <v/>
          </cell>
          <cell r="S1804" t="str">
            <v/>
          </cell>
          <cell r="T1804" t="str">
            <v/>
          </cell>
          <cell r="U1804" t="str">
            <v>BB20036413200</v>
          </cell>
          <cell r="V1804" t="str">
            <v>B00</v>
          </cell>
          <cell r="W1804" t="str">
            <v/>
          </cell>
          <cell r="X1804" t="str">
            <v/>
          </cell>
          <cell r="Y1804" t="str">
            <v/>
          </cell>
          <cell r="Z1804" t="str">
            <v/>
          </cell>
          <cell r="AA1804" t="str">
            <v/>
          </cell>
          <cell r="AB1804" t="str">
            <v>70002748</v>
          </cell>
          <cell r="AC1804">
            <v>1</v>
          </cell>
          <cell r="AD1804" t="str">
            <v/>
          </cell>
          <cell r="AE1804">
            <v>0</v>
          </cell>
          <cell r="AF1804" t="str">
            <v/>
          </cell>
          <cell r="AG1804" t="str">
            <v>70002748</v>
          </cell>
          <cell r="AH1804">
            <v>45015.940069444441</v>
          </cell>
          <cell r="AI1804" t="str">
            <v>B00</v>
          </cell>
          <cell r="AJ1804" t="str">
            <v>F</v>
          </cell>
          <cell r="AK1804" t="str">
            <v>2</v>
          </cell>
        </row>
        <row r="1805">
          <cell r="A1805" t="str">
            <v>70001214828521</v>
          </cell>
          <cell r="B1805">
            <v>0</v>
          </cell>
          <cell r="C1805" t="e">
            <v>#N/A</v>
          </cell>
          <cell r="D1805" t="str">
            <v>EK65</v>
          </cell>
          <cell r="E1805" t="str">
            <v>706828</v>
          </cell>
          <cell r="F1805" t="str">
            <v>E</v>
          </cell>
          <cell r="G1805" t="str">
            <v>70001214</v>
          </cell>
          <cell r="H1805" t="str">
            <v>SHIM</v>
          </cell>
          <cell r="I1805">
            <v>720</v>
          </cell>
          <cell r="J1805" t="str">
            <v>Stk</v>
          </cell>
          <cell r="K1805">
            <v>45099</v>
          </cell>
          <cell r="L1805" t="str">
            <v>828521</v>
          </cell>
          <cell r="M1805" t="str">
            <v/>
          </cell>
          <cell r="N1805" t="str">
            <v/>
          </cell>
          <cell r="O1805" t="str">
            <v/>
          </cell>
          <cell r="P1805" t="str">
            <v/>
          </cell>
          <cell r="Q1805" t="str">
            <v/>
          </cell>
          <cell r="R1805" t="str">
            <v/>
          </cell>
          <cell r="S1805" t="str">
            <v/>
          </cell>
          <cell r="T1805" t="str">
            <v/>
          </cell>
          <cell r="U1805" t="str">
            <v>BB20020610004</v>
          </cell>
          <cell r="V1805" t="str">
            <v>B00</v>
          </cell>
          <cell r="W1805" t="str">
            <v/>
          </cell>
          <cell r="X1805" t="str">
            <v/>
          </cell>
          <cell r="Y1805" t="str">
            <v/>
          </cell>
          <cell r="Z1805" t="str">
            <v/>
          </cell>
          <cell r="AA1805" t="str">
            <v/>
          </cell>
          <cell r="AB1805" t="str">
            <v>70001214</v>
          </cell>
          <cell r="AC1805">
            <v>1</v>
          </cell>
          <cell r="AD1805" t="str">
            <v/>
          </cell>
          <cell r="AE1805">
            <v>0</v>
          </cell>
          <cell r="AF1805" t="str">
            <v/>
          </cell>
          <cell r="AG1805" t="str">
            <v>70001214</v>
          </cell>
          <cell r="AH1805">
            <v>44961.00608796296</v>
          </cell>
          <cell r="AI1805" t="str">
            <v>B00</v>
          </cell>
          <cell r="AJ1805" t="str">
            <v>F</v>
          </cell>
          <cell r="AK1805" t="str">
            <v>--</v>
          </cell>
        </row>
        <row r="1806">
          <cell r="A1806" t="str">
            <v>70001215828521</v>
          </cell>
          <cell r="B1806">
            <v>0</v>
          </cell>
          <cell r="C1806" t="e">
            <v>#N/A</v>
          </cell>
          <cell r="D1806" t="str">
            <v>EK65</v>
          </cell>
          <cell r="E1806" t="str">
            <v>706829</v>
          </cell>
          <cell r="F1806" t="str">
            <v>E</v>
          </cell>
          <cell r="G1806" t="str">
            <v>70001215</v>
          </cell>
          <cell r="H1806" t="str">
            <v>SHIM</v>
          </cell>
          <cell r="I1806">
            <v>1440</v>
          </cell>
          <cell r="J1806" t="str">
            <v>Stk</v>
          </cell>
          <cell r="K1806">
            <v>45099</v>
          </cell>
          <cell r="L1806" t="str">
            <v>828521</v>
          </cell>
          <cell r="M1806" t="str">
            <v/>
          </cell>
          <cell r="N1806" t="str">
            <v/>
          </cell>
          <cell r="O1806" t="str">
            <v/>
          </cell>
          <cell r="P1806" t="str">
            <v/>
          </cell>
          <cell r="Q1806" t="str">
            <v/>
          </cell>
          <cell r="R1806" t="str">
            <v/>
          </cell>
          <cell r="S1806" t="str">
            <v/>
          </cell>
          <cell r="T1806" t="str">
            <v/>
          </cell>
          <cell r="U1806" t="str">
            <v>BB20020610003</v>
          </cell>
          <cell r="V1806" t="str">
            <v>B00</v>
          </cell>
          <cell r="W1806" t="str">
            <v/>
          </cell>
          <cell r="X1806" t="str">
            <v/>
          </cell>
          <cell r="Y1806" t="str">
            <v/>
          </cell>
          <cell r="Z1806" t="str">
            <v/>
          </cell>
          <cell r="AA1806" t="str">
            <v/>
          </cell>
          <cell r="AB1806" t="str">
            <v>70001215</v>
          </cell>
          <cell r="AC1806">
            <v>1</v>
          </cell>
          <cell r="AD1806" t="str">
            <v/>
          </cell>
          <cell r="AE1806">
            <v>0</v>
          </cell>
          <cell r="AF1806" t="str">
            <v/>
          </cell>
          <cell r="AG1806" t="str">
            <v>70001215</v>
          </cell>
          <cell r="AH1806">
            <v>44961.006111111114</v>
          </cell>
          <cell r="AI1806" t="str">
            <v>B00</v>
          </cell>
          <cell r="AJ1806" t="str">
            <v>F</v>
          </cell>
          <cell r="AK1806" t="str">
            <v>--</v>
          </cell>
        </row>
        <row r="1807">
          <cell r="A1807" t="str">
            <v>70001127828521</v>
          </cell>
          <cell r="B1807">
            <v>0</v>
          </cell>
          <cell r="C1807" t="e">
            <v>#N/A</v>
          </cell>
          <cell r="D1807" t="str">
            <v>EK65</v>
          </cell>
          <cell r="E1807" t="str">
            <v>686621</v>
          </cell>
          <cell r="F1807" t="str">
            <v>E</v>
          </cell>
          <cell r="G1807" t="str">
            <v>70001127</v>
          </cell>
          <cell r="H1807" t="str">
            <v>SPACER</v>
          </cell>
          <cell r="I1807">
            <v>360</v>
          </cell>
          <cell r="J1807" t="str">
            <v>Stk</v>
          </cell>
          <cell r="K1807">
            <v>45100</v>
          </cell>
          <cell r="L1807" t="str">
            <v>828521</v>
          </cell>
          <cell r="M1807" t="str">
            <v/>
          </cell>
          <cell r="N1807" t="str">
            <v/>
          </cell>
          <cell r="O1807" t="str">
            <v/>
          </cell>
          <cell r="P1807" t="str">
            <v/>
          </cell>
          <cell r="Q1807" t="str">
            <v/>
          </cell>
          <cell r="R1807" t="str">
            <v/>
          </cell>
          <cell r="S1807" t="str">
            <v/>
          </cell>
          <cell r="T1807" t="str">
            <v/>
          </cell>
          <cell r="U1807" t="str">
            <v>BB21518810002</v>
          </cell>
          <cell r="V1807" t="str">
            <v>N52</v>
          </cell>
          <cell r="W1807" t="str">
            <v/>
          </cell>
          <cell r="X1807" t="str">
            <v/>
          </cell>
          <cell r="Y1807" t="str">
            <v/>
          </cell>
          <cell r="Z1807" t="str">
            <v/>
          </cell>
          <cell r="AA1807" t="str">
            <v/>
          </cell>
          <cell r="AB1807" t="str">
            <v>70001127</v>
          </cell>
          <cell r="AC1807">
            <v>1</v>
          </cell>
          <cell r="AD1807" t="str">
            <v/>
          </cell>
          <cell r="AE1807">
            <v>0</v>
          </cell>
          <cell r="AF1807" t="str">
            <v/>
          </cell>
          <cell r="AG1807" t="str">
            <v>70001127</v>
          </cell>
          <cell r="AH1807">
            <v>44916.121724537035</v>
          </cell>
          <cell r="AI1807" t="str">
            <v>N52</v>
          </cell>
          <cell r="AJ1807" t="str">
            <v>F</v>
          </cell>
          <cell r="AK1807" t="str">
            <v>--</v>
          </cell>
        </row>
        <row r="1808">
          <cell r="A1808" t="str">
            <v>70001134828521</v>
          </cell>
          <cell r="B1808">
            <v>0</v>
          </cell>
          <cell r="C1808" t="e">
            <v>#N/A</v>
          </cell>
          <cell r="D1808" t="str">
            <v>EK65</v>
          </cell>
          <cell r="E1808" t="str">
            <v>700454</v>
          </cell>
          <cell r="F1808" t="str">
            <v>E</v>
          </cell>
          <cell r="G1808" t="str">
            <v>70001134</v>
          </cell>
          <cell r="H1808" t="str">
            <v>BRACKET</v>
          </cell>
          <cell r="I1808">
            <v>90</v>
          </cell>
          <cell r="J1808" t="str">
            <v>Stk</v>
          </cell>
          <cell r="K1808">
            <v>45100</v>
          </cell>
          <cell r="L1808" t="str">
            <v>828521</v>
          </cell>
          <cell r="M1808" t="str">
            <v/>
          </cell>
          <cell r="N1808" t="str">
            <v/>
          </cell>
          <cell r="O1808" t="str">
            <v/>
          </cell>
          <cell r="P1808" t="str">
            <v/>
          </cell>
          <cell r="Q1808" t="str">
            <v>AW 6063 T5</v>
          </cell>
          <cell r="R1808" t="str">
            <v>EN 755</v>
          </cell>
          <cell r="S1808" t="str">
            <v/>
          </cell>
          <cell r="T1808" t="str">
            <v/>
          </cell>
          <cell r="U1808" t="str">
            <v>BB20019410006</v>
          </cell>
          <cell r="V1808" t="str">
            <v>A00</v>
          </cell>
          <cell r="W1808" t="str">
            <v/>
          </cell>
          <cell r="X1808" t="str">
            <v/>
          </cell>
          <cell r="Y1808" t="str">
            <v/>
          </cell>
          <cell r="Z1808" t="str">
            <v/>
          </cell>
          <cell r="AA1808" t="str">
            <v/>
          </cell>
          <cell r="AB1808" t="str">
            <v>70001134</v>
          </cell>
          <cell r="AC1808">
            <v>1</v>
          </cell>
          <cell r="AD1808" t="str">
            <v/>
          </cell>
          <cell r="AE1808">
            <v>0</v>
          </cell>
          <cell r="AF1808" t="str">
            <v/>
          </cell>
          <cell r="AG1808" t="str">
            <v>70001134</v>
          </cell>
          <cell r="AH1808">
            <v>44945.943553240744</v>
          </cell>
          <cell r="AI1808" t="str">
            <v>A00</v>
          </cell>
          <cell r="AJ1808" t="str">
            <v>F</v>
          </cell>
          <cell r="AK1808" t="str">
            <v>A0</v>
          </cell>
        </row>
        <row r="1809">
          <cell r="A1809" t="str">
            <v>70001138828521</v>
          </cell>
          <cell r="B1809">
            <v>0</v>
          </cell>
          <cell r="C1809" t="e">
            <v>#N/A</v>
          </cell>
          <cell r="D1809" t="str">
            <v>EK65</v>
          </cell>
          <cell r="E1809" t="str">
            <v>700457</v>
          </cell>
          <cell r="F1809" t="str">
            <v>E</v>
          </cell>
          <cell r="G1809" t="str">
            <v>70001138</v>
          </cell>
          <cell r="H1809" t="str">
            <v>CLIPBOARD</v>
          </cell>
          <cell r="I1809">
            <v>90</v>
          </cell>
          <cell r="J1809" t="str">
            <v>Stk</v>
          </cell>
          <cell r="K1809">
            <v>45100</v>
          </cell>
          <cell r="L1809" t="str">
            <v>828521</v>
          </cell>
          <cell r="M1809" t="str">
            <v/>
          </cell>
          <cell r="N1809" t="str">
            <v/>
          </cell>
          <cell r="O1809" t="str">
            <v/>
          </cell>
          <cell r="P1809" t="str">
            <v/>
          </cell>
          <cell r="Q1809" t="str">
            <v/>
          </cell>
          <cell r="R1809" t="str">
            <v/>
          </cell>
          <cell r="S1809" t="str">
            <v/>
          </cell>
          <cell r="T1809" t="str">
            <v/>
          </cell>
          <cell r="U1809" t="str">
            <v>BB12924210003</v>
          </cell>
          <cell r="V1809" t="str">
            <v>L02</v>
          </cell>
          <cell r="W1809" t="str">
            <v/>
          </cell>
          <cell r="X1809" t="str">
            <v/>
          </cell>
          <cell r="Y1809" t="str">
            <v/>
          </cell>
          <cell r="Z1809" t="str">
            <v/>
          </cell>
          <cell r="AA1809" t="str">
            <v/>
          </cell>
          <cell r="AB1809" t="str">
            <v>70001138</v>
          </cell>
          <cell r="AC1809">
            <v>1</v>
          </cell>
          <cell r="AD1809" t="str">
            <v/>
          </cell>
          <cell r="AE1809">
            <v>0</v>
          </cell>
          <cell r="AF1809" t="str">
            <v/>
          </cell>
          <cell r="AG1809" t="str">
            <v>70001138</v>
          </cell>
          <cell r="AH1809">
            <v>44945.943599537037</v>
          </cell>
          <cell r="AI1809" t="str">
            <v>L02</v>
          </cell>
          <cell r="AJ1809" t="str">
            <v>F</v>
          </cell>
          <cell r="AK1809" t="str">
            <v>--</v>
          </cell>
        </row>
        <row r="1810">
          <cell r="A1810" t="str">
            <v>70001132828521</v>
          </cell>
          <cell r="B1810">
            <v>0</v>
          </cell>
          <cell r="C1810" t="e">
            <v>#N/A</v>
          </cell>
          <cell r="D1810" t="str">
            <v>EK65</v>
          </cell>
          <cell r="E1810" t="str">
            <v>706813</v>
          </cell>
          <cell r="F1810" t="str">
            <v>E</v>
          </cell>
          <cell r="G1810" t="str">
            <v>70001132</v>
          </cell>
          <cell r="H1810" t="str">
            <v>BRACKET</v>
          </cell>
          <cell r="I1810">
            <v>90</v>
          </cell>
          <cell r="J1810" t="str">
            <v>Stk</v>
          </cell>
          <cell r="K1810">
            <v>45100</v>
          </cell>
          <cell r="L1810" t="str">
            <v>828521</v>
          </cell>
          <cell r="M1810" t="str">
            <v/>
          </cell>
          <cell r="N1810" t="str">
            <v/>
          </cell>
          <cell r="O1810" t="str">
            <v/>
          </cell>
          <cell r="P1810" t="str">
            <v/>
          </cell>
          <cell r="Q1810" t="str">
            <v/>
          </cell>
          <cell r="R1810" t="str">
            <v/>
          </cell>
          <cell r="S1810" t="str">
            <v/>
          </cell>
          <cell r="T1810" t="str">
            <v/>
          </cell>
          <cell r="U1810" t="str">
            <v>BB21219210003</v>
          </cell>
          <cell r="V1810" t="str">
            <v>L02</v>
          </cell>
          <cell r="W1810" t="str">
            <v/>
          </cell>
          <cell r="X1810" t="str">
            <v/>
          </cell>
          <cell r="Y1810" t="str">
            <v/>
          </cell>
          <cell r="Z1810" t="str">
            <v/>
          </cell>
          <cell r="AA1810" t="str">
            <v/>
          </cell>
          <cell r="AB1810" t="str">
            <v>70001132</v>
          </cell>
          <cell r="AC1810">
            <v>1</v>
          </cell>
          <cell r="AD1810" t="str">
            <v/>
          </cell>
          <cell r="AE1810">
            <v>0</v>
          </cell>
          <cell r="AF1810" t="str">
            <v/>
          </cell>
          <cell r="AG1810" t="str">
            <v>70001132</v>
          </cell>
          <cell r="AH1810">
            <v>44961.004837962966</v>
          </cell>
          <cell r="AI1810" t="str">
            <v>L02</v>
          </cell>
          <cell r="AJ1810" t="str">
            <v>F</v>
          </cell>
          <cell r="AK1810" t="str">
            <v>--</v>
          </cell>
        </row>
        <row r="1811">
          <cell r="A1811" t="str">
            <v>70001139828521</v>
          </cell>
          <cell r="B1811">
            <v>0</v>
          </cell>
          <cell r="C1811" t="e">
            <v>#N/A</v>
          </cell>
          <cell r="D1811" t="str">
            <v>EK65</v>
          </cell>
          <cell r="E1811" t="str">
            <v>706814</v>
          </cell>
          <cell r="F1811" t="str">
            <v>E</v>
          </cell>
          <cell r="G1811" t="str">
            <v>70001139</v>
          </cell>
          <cell r="H1811" t="str">
            <v>COAT RACK</v>
          </cell>
          <cell r="I1811">
            <v>90</v>
          </cell>
          <cell r="J1811" t="str">
            <v>Stk</v>
          </cell>
          <cell r="K1811">
            <v>45100</v>
          </cell>
          <cell r="L1811" t="str">
            <v>828521</v>
          </cell>
          <cell r="M1811" t="str">
            <v/>
          </cell>
          <cell r="N1811" t="str">
            <v/>
          </cell>
          <cell r="O1811" t="str">
            <v/>
          </cell>
          <cell r="P1811" t="str">
            <v/>
          </cell>
          <cell r="Q1811" t="str">
            <v/>
          </cell>
          <cell r="R1811" t="str">
            <v/>
          </cell>
          <cell r="S1811" t="str">
            <v/>
          </cell>
          <cell r="T1811" t="str">
            <v/>
          </cell>
          <cell r="U1811" t="str">
            <v>BB13657810063</v>
          </cell>
          <cell r="V1811" t="str">
            <v>L02</v>
          </cell>
          <cell r="W1811" t="str">
            <v/>
          </cell>
          <cell r="X1811" t="str">
            <v/>
          </cell>
          <cell r="Y1811" t="str">
            <v/>
          </cell>
          <cell r="Z1811" t="str">
            <v/>
          </cell>
          <cell r="AA1811" t="str">
            <v/>
          </cell>
          <cell r="AB1811" t="str">
            <v>70001139</v>
          </cell>
          <cell r="AC1811">
            <v>1</v>
          </cell>
          <cell r="AD1811" t="str">
            <v/>
          </cell>
          <cell r="AE1811">
            <v>0</v>
          </cell>
          <cell r="AF1811" t="str">
            <v/>
          </cell>
          <cell r="AG1811" t="str">
            <v>70001139</v>
          </cell>
          <cell r="AH1811">
            <v>44961.004930555559</v>
          </cell>
          <cell r="AI1811" t="str">
            <v>L02</v>
          </cell>
          <cell r="AJ1811" t="str">
            <v>F</v>
          </cell>
          <cell r="AK1811" t="str">
            <v>C0</v>
          </cell>
        </row>
        <row r="1812">
          <cell r="A1812" t="str">
            <v>70001893828521</v>
          </cell>
          <cell r="B1812">
            <v>0</v>
          </cell>
          <cell r="C1812" t="e">
            <v>#N/A</v>
          </cell>
          <cell r="D1812" t="str">
            <v>EK65</v>
          </cell>
          <cell r="E1812" t="str">
            <v>706889</v>
          </cell>
          <cell r="F1812" t="str">
            <v>E</v>
          </cell>
          <cell r="G1812" t="str">
            <v>70001893</v>
          </cell>
          <cell r="H1812" t="str">
            <v>BRACKET</v>
          </cell>
          <cell r="I1812">
            <v>1620</v>
          </cell>
          <cell r="J1812" t="str">
            <v>Stk</v>
          </cell>
          <cell r="K1812">
            <v>45100</v>
          </cell>
          <cell r="L1812" t="str">
            <v>828521</v>
          </cell>
          <cell r="M1812" t="str">
            <v/>
          </cell>
          <cell r="N1812" t="str">
            <v/>
          </cell>
          <cell r="O1812" t="str">
            <v/>
          </cell>
          <cell r="P1812" t="str">
            <v/>
          </cell>
          <cell r="Q1812" t="str">
            <v/>
          </cell>
          <cell r="R1812" t="str">
            <v/>
          </cell>
          <cell r="S1812" t="str">
            <v/>
          </cell>
          <cell r="T1812" t="str">
            <v/>
          </cell>
          <cell r="U1812" t="str">
            <v>BB20036410016</v>
          </cell>
          <cell r="V1812" t="str">
            <v>B00</v>
          </cell>
          <cell r="W1812" t="str">
            <v/>
          </cell>
          <cell r="X1812" t="str">
            <v/>
          </cell>
          <cell r="Y1812" t="str">
            <v/>
          </cell>
          <cell r="Z1812" t="str">
            <v/>
          </cell>
          <cell r="AA1812" t="str">
            <v/>
          </cell>
          <cell r="AB1812" t="str">
            <v>70001893</v>
          </cell>
          <cell r="AC1812">
            <v>1</v>
          </cell>
          <cell r="AD1812" t="str">
            <v/>
          </cell>
          <cell r="AE1812">
            <v>0</v>
          </cell>
          <cell r="AF1812" t="str">
            <v/>
          </cell>
          <cell r="AG1812" t="str">
            <v>70001893</v>
          </cell>
          <cell r="AH1812">
            <v>44961.011932870373</v>
          </cell>
          <cell r="AI1812" t="str">
            <v>B00</v>
          </cell>
          <cell r="AJ1812" t="str">
            <v>F</v>
          </cell>
          <cell r="AK1812" t="str">
            <v>--</v>
          </cell>
        </row>
        <row r="1813">
          <cell r="A1813" t="str">
            <v>70001894828521</v>
          </cell>
          <cell r="B1813">
            <v>0</v>
          </cell>
          <cell r="C1813" t="e">
            <v>#N/A</v>
          </cell>
          <cell r="D1813" t="str">
            <v>EK65</v>
          </cell>
          <cell r="E1813" t="str">
            <v>706890</v>
          </cell>
          <cell r="F1813" t="str">
            <v>E</v>
          </cell>
          <cell r="G1813" t="str">
            <v>70001894</v>
          </cell>
          <cell r="H1813" t="str">
            <v>BRACKET</v>
          </cell>
          <cell r="I1813">
            <v>540</v>
          </cell>
          <cell r="J1813" t="str">
            <v>Stk</v>
          </cell>
          <cell r="K1813">
            <v>45100</v>
          </cell>
          <cell r="L1813" t="str">
            <v>828521</v>
          </cell>
          <cell r="M1813" t="str">
            <v/>
          </cell>
          <cell r="N1813" t="str">
            <v/>
          </cell>
          <cell r="O1813" t="str">
            <v/>
          </cell>
          <cell r="P1813" t="str">
            <v/>
          </cell>
          <cell r="Q1813" t="str">
            <v/>
          </cell>
          <cell r="R1813" t="str">
            <v/>
          </cell>
          <cell r="S1813" t="str">
            <v/>
          </cell>
          <cell r="T1813" t="str">
            <v/>
          </cell>
          <cell r="U1813" t="str">
            <v>BB20036410055</v>
          </cell>
          <cell r="V1813" t="str">
            <v>B00</v>
          </cell>
          <cell r="W1813" t="str">
            <v/>
          </cell>
          <cell r="X1813" t="str">
            <v/>
          </cell>
          <cell r="Y1813" t="str">
            <v/>
          </cell>
          <cell r="Z1813" t="str">
            <v/>
          </cell>
          <cell r="AA1813" t="str">
            <v/>
          </cell>
          <cell r="AB1813" t="str">
            <v>70001894</v>
          </cell>
          <cell r="AC1813">
            <v>1</v>
          </cell>
          <cell r="AD1813" t="str">
            <v/>
          </cell>
          <cell r="AE1813">
            <v>0</v>
          </cell>
          <cell r="AF1813" t="str">
            <v/>
          </cell>
          <cell r="AG1813" t="str">
            <v>70001894</v>
          </cell>
          <cell r="AH1813">
            <v>44961.011956018519</v>
          </cell>
          <cell r="AI1813" t="str">
            <v>B00</v>
          </cell>
          <cell r="AJ1813" t="str">
            <v>F</v>
          </cell>
          <cell r="AK1813" t="str">
            <v>--</v>
          </cell>
        </row>
        <row r="1814">
          <cell r="A1814" t="str">
            <v>70001895828521</v>
          </cell>
          <cell r="B1814">
            <v>0</v>
          </cell>
          <cell r="C1814" t="e">
            <v>#N/A</v>
          </cell>
          <cell r="D1814" t="str">
            <v>EK65</v>
          </cell>
          <cell r="E1814" t="str">
            <v>706891</v>
          </cell>
          <cell r="F1814" t="str">
            <v>E</v>
          </cell>
          <cell r="G1814" t="str">
            <v>70001895</v>
          </cell>
          <cell r="H1814" t="str">
            <v>BRACKET</v>
          </cell>
          <cell r="I1814">
            <v>1080</v>
          </cell>
          <cell r="J1814" t="str">
            <v>Stk</v>
          </cell>
          <cell r="K1814">
            <v>45100</v>
          </cell>
          <cell r="L1814" t="str">
            <v>828521</v>
          </cell>
          <cell r="M1814" t="str">
            <v/>
          </cell>
          <cell r="N1814" t="str">
            <v/>
          </cell>
          <cell r="O1814" t="str">
            <v/>
          </cell>
          <cell r="P1814" t="str">
            <v/>
          </cell>
          <cell r="Q1814" t="str">
            <v/>
          </cell>
          <cell r="R1814" t="str">
            <v/>
          </cell>
          <cell r="S1814" t="str">
            <v/>
          </cell>
          <cell r="T1814" t="str">
            <v/>
          </cell>
          <cell r="U1814" t="str">
            <v>BB20036410038</v>
          </cell>
          <cell r="V1814" t="str">
            <v>B00</v>
          </cell>
          <cell r="W1814" t="str">
            <v/>
          </cell>
          <cell r="X1814" t="str">
            <v/>
          </cell>
          <cell r="Y1814" t="str">
            <v/>
          </cell>
          <cell r="Z1814" t="str">
            <v/>
          </cell>
          <cell r="AA1814" t="str">
            <v/>
          </cell>
          <cell r="AB1814" t="str">
            <v>70001895</v>
          </cell>
          <cell r="AC1814">
            <v>1</v>
          </cell>
          <cell r="AD1814" t="str">
            <v/>
          </cell>
          <cell r="AE1814">
            <v>0</v>
          </cell>
          <cell r="AF1814" t="str">
            <v/>
          </cell>
          <cell r="AG1814" t="str">
            <v>70001895</v>
          </cell>
          <cell r="AH1814">
            <v>44961.011967592596</v>
          </cell>
          <cell r="AI1814" t="str">
            <v>B00</v>
          </cell>
          <cell r="AJ1814" t="str">
            <v>F</v>
          </cell>
          <cell r="AK1814" t="str">
            <v>--</v>
          </cell>
        </row>
        <row r="1815">
          <cell r="A1815" t="str">
            <v>70001140828521</v>
          </cell>
          <cell r="B1815" t="e">
            <v>#N/A</v>
          </cell>
          <cell r="C1815" t="e">
            <v>#N/A</v>
          </cell>
          <cell r="D1815" t="str">
            <v>EK65</v>
          </cell>
          <cell r="E1815" t="str">
            <v>719362</v>
          </cell>
          <cell r="F1815" t="str">
            <v>E</v>
          </cell>
          <cell r="G1815" t="str">
            <v>70001140</v>
          </cell>
          <cell r="H1815" t="str">
            <v>SOCKET ASSEMBLY</v>
          </cell>
          <cell r="I1815">
            <v>90</v>
          </cell>
          <cell r="J1815" t="str">
            <v>Stk</v>
          </cell>
          <cell r="K1815">
            <v>45100</v>
          </cell>
          <cell r="L1815" t="str">
            <v>828521</v>
          </cell>
          <cell r="M1815" t="str">
            <v/>
          </cell>
          <cell r="N1815" t="str">
            <v/>
          </cell>
          <cell r="O1815" t="str">
            <v/>
          </cell>
          <cell r="P1815" t="str">
            <v/>
          </cell>
          <cell r="Q1815" t="str">
            <v/>
          </cell>
          <cell r="R1815" t="str">
            <v/>
          </cell>
          <cell r="S1815" t="str">
            <v/>
          </cell>
          <cell r="T1815" t="str">
            <v/>
          </cell>
          <cell r="U1815" t="str">
            <v>BB20019410200</v>
          </cell>
          <cell r="V1815" t="str">
            <v>L02</v>
          </cell>
          <cell r="W1815" t="str">
            <v/>
          </cell>
          <cell r="X1815" t="str">
            <v>A3</v>
          </cell>
          <cell r="Y1815" t="str">
            <v/>
          </cell>
          <cell r="Z1815" t="str">
            <v/>
          </cell>
          <cell r="AA1815" t="str">
            <v/>
          </cell>
          <cell r="AB1815" t="str">
            <v>70001140</v>
          </cell>
          <cell r="AC1815">
            <v>1</v>
          </cell>
          <cell r="AD1815" t="str">
            <v/>
          </cell>
          <cell r="AE1815">
            <v>0</v>
          </cell>
          <cell r="AF1815" t="str">
            <v/>
          </cell>
          <cell r="AG1815" t="str">
            <v>70001140</v>
          </cell>
          <cell r="AH1815">
            <v>45002.890567129631</v>
          </cell>
          <cell r="AI1815" t="str">
            <v>L02</v>
          </cell>
          <cell r="AJ1815" t="str">
            <v>F</v>
          </cell>
          <cell r="AK1815" t="str">
            <v>--</v>
          </cell>
        </row>
        <row r="1816">
          <cell r="A1816" t="str">
            <v>70001808828521</v>
          </cell>
          <cell r="B1816">
            <v>0</v>
          </cell>
          <cell r="C1816" t="e">
            <v>#N/A</v>
          </cell>
          <cell r="D1816" t="str">
            <v>EK65</v>
          </cell>
          <cell r="E1816" t="str">
            <v>686821</v>
          </cell>
          <cell r="F1816" t="str">
            <v>E</v>
          </cell>
          <cell r="G1816" t="str">
            <v>70001808</v>
          </cell>
          <cell r="H1816" t="str">
            <v>SPACER</v>
          </cell>
          <cell r="I1816">
            <v>810</v>
          </cell>
          <cell r="J1816" t="str">
            <v>Stk</v>
          </cell>
          <cell r="K1816">
            <v>45105</v>
          </cell>
          <cell r="L1816" t="str">
            <v>828521</v>
          </cell>
          <cell r="M1816" t="str">
            <v/>
          </cell>
          <cell r="N1816" t="str">
            <v/>
          </cell>
          <cell r="O1816" t="str">
            <v/>
          </cell>
          <cell r="P1816" t="str">
            <v/>
          </cell>
          <cell r="Q1816" t="str">
            <v/>
          </cell>
          <cell r="R1816" t="str">
            <v/>
          </cell>
          <cell r="S1816" t="str">
            <v/>
          </cell>
          <cell r="T1816" t="str">
            <v/>
          </cell>
          <cell r="U1816" t="str">
            <v>BB20034810010</v>
          </cell>
          <cell r="V1816" t="str">
            <v>N52</v>
          </cell>
          <cell r="W1816" t="str">
            <v/>
          </cell>
          <cell r="X1816" t="str">
            <v/>
          </cell>
          <cell r="Y1816" t="str">
            <v/>
          </cell>
          <cell r="Z1816" t="str">
            <v/>
          </cell>
          <cell r="AA1816" t="str">
            <v/>
          </cell>
          <cell r="AB1816" t="str">
            <v>70001808</v>
          </cell>
          <cell r="AC1816">
            <v>1</v>
          </cell>
          <cell r="AD1816" t="str">
            <v/>
          </cell>
          <cell r="AE1816">
            <v>0</v>
          </cell>
          <cell r="AF1816" t="str">
            <v/>
          </cell>
          <cell r="AG1816" t="str">
            <v>70001808</v>
          </cell>
          <cell r="AH1816">
            <v>44916.129143518519</v>
          </cell>
          <cell r="AI1816" t="str">
            <v>N52</v>
          </cell>
          <cell r="AJ1816" t="str">
            <v>F</v>
          </cell>
          <cell r="AK1816" t="str">
            <v>--</v>
          </cell>
        </row>
        <row r="1817">
          <cell r="A1817" t="str">
            <v>70001811828521</v>
          </cell>
          <cell r="B1817">
            <v>0</v>
          </cell>
          <cell r="C1817" t="e">
            <v>#N/A</v>
          </cell>
          <cell r="D1817" t="str">
            <v>EK65</v>
          </cell>
          <cell r="E1817" t="str">
            <v>706877</v>
          </cell>
          <cell r="F1817" t="str">
            <v>E</v>
          </cell>
          <cell r="G1817" t="str">
            <v>70001811</v>
          </cell>
          <cell r="H1817" t="str">
            <v>BRACKET ASSEMBLY</v>
          </cell>
          <cell r="I1817">
            <v>540</v>
          </cell>
          <cell r="J1817" t="str">
            <v>Stk</v>
          </cell>
          <cell r="K1817">
            <v>45105</v>
          </cell>
          <cell r="L1817" t="str">
            <v>828521</v>
          </cell>
          <cell r="M1817" t="str">
            <v/>
          </cell>
          <cell r="N1817" t="str">
            <v/>
          </cell>
          <cell r="O1817" t="str">
            <v/>
          </cell>
          <cell r="P1817" t="str">
            <v/>
          </cell>
          <cell r="Q1817" t="str">
            <v/>
          </cell>
          <cell r="R1817" t="str">
            <v/>
          </cell>
          <cell r="S1817" t="str">
            <v/>
          </cell>
          <cell r="T1817" t="str">
            <v/>
          </cell>
          <cell r="U1817" t="str">
            <v>BB20035011800</v>
          </cell>
          <cell r="V1817" t="str">
            <v>B00</v>
          </cell>
          <cell r="W1817" t="str">
            <v/>
          </cell>
          <cell r="X1817" t="str">
            <v/>
          </cell>
          <cell r="Y1817" t="str">
            <v/>
          </cell>
          <cell r="Z1817" t="str">
            <v/>
          </cell>
          <cell r="AA1817" t="str">
            <v/>
          </cell>
          <cell r="AB1817" t="str">
            <v>70001811</v>
          </cell>
          <cell r="AC1817">
            <v>1</v>
          </cell>
          <cell r="AD1817" t="str">
            <v/>
          </cell>
          <cell r="AE1817">
            <v>0</v>
          </cell>
          <cell r="AF1817" t="str">
            <v/>
          </cell>
          <cell r="AG1817" t="str">
            <v>70001811</v>
          </cell>
          <cell r="AH1817">
            <v>44961.010671296295</v>
          </cell>
          <cell r="AI1817" t="str">
            <v>B00</v>
          </cell>
          <cell r="AJ1817" t="str">
            <v>F</v>
          </cell>
          <cell r="AK1817" t="str">
            <v>--</v>
          </cell>
        </row>
        <row r="1818">
          <cell r="A1818" t="str">
            <v>70001812828521</v>
          </cell>
          <cell r="B1818">
            <v>0</v>
          </cell>
          <cell r="C1818" t="e">
            <v>#N/A</v>
          </cell>
          <cell r="D1818" t="str">
            <v>EK65</v>
          </cell>
          <cell r="E1818" t="str">
            <v>706878</v>
          </cell>
          <cell r="F1818" t="str">
            <v>E</v>
          </cell>
          <cell r="G1818" t="str">
            <v>70001812</v>
          </cell>
          <cell r="H1818" t="str">
            <v>GAUGE T=1MM</v>
          </cell>
          <cell r="I1818">
            <v>1080</v>
          </cell>
          <cell r="J1818" t="str">
            <v>Stk</v>
          </cell>
          <cell r="K1818">
            <v>45105</v>
          </cell>
          <cell r="L1818" t="str">
            <v>828521</v>
          </cell>
          <cell r="M1818" t="str">
            <v/>
          </cell>
          <cell r="N1818" t="str">
            <v/>
          </cell>
          <cell r="O1818" t="str">
            <v/>
          </cell>
          <cell r="P1818" t="str">
            <v/>
          </cell>
          <cell r="Q1818" t="str">
            <v>AW 5083 H111</v>
          </cell>
          <cell r="R1818" t="str">
            <v>EN 485</v>
          </cell>
          <cell r="S1818" t="str">
            <v/>
          </cell>
          <cell r="T1818" t="str">
            <v/>
          </cell>
          <cell r="U1818" t="str">
            <v>BB20035010022</v>
          </cell>
          <cell r="V1818" t="str">
            <v>B00</v>
          </cell>
          <cell r="W1818" t="str">
            <v/>
          </cell>
          <cell r="X1818" t="str">
            <v/>
          </cell>
          <cell r="Y1818" t="str">
            <v/>
          </cell>
          <cell r="Z1818" t="str">
            <v/>
          </cell>
          <cell r="AA1818" t="str">
            <v/>
          </cell>
          <cell r="AB1818" t="str">
            <v>70001812</v>
          </cell>
          <cell r="AC1818">
            <v>1</v>
          </cell>
          <cell r="AD1818" t="str">
            <v/>
          </cell>
          <cell r="AE1818">
            <v>0</v>
          </cell>
          <cell r="AF1818" t="str">
            <v/>
          </cell>
          <cell r="AG1818" t="str">
            <v>70001812</v>
          </cell>
          <cell r="AH1818">
            <v>44961.010706018518</v>
          </cell>
          <cell r="AI1818" t="str">
            <v>B00</v>
          </cell>
          <cell r="AJ1818" t="str">
            <v>F</v>
          </cell>
          <cell r="AK1818" t="str">
            <v>--</v>
          </cell>
        </row>
        <row r="1819">
          <cell r="A1819" t="str">
            <v>70001813828521</v>
          </cell>
          <cell r="B1819">
            <v>0</v>
          </cell>
          <cell r="C1819" t="e">
            <v>#N/A</v>
          </cell>
          <cell r="D1819" t="str">
            <v>EK65</v>
          </cell>
          <cell r="E1819" t="str">
            <v>706879</v>
          </cell>
          <cell r="F1819" t="str">
            <v>E</v>
          </cell>
          <cell r="G1819" t="str">
            <v>70001813</v>
          </cell>
          <cell r="H1819" t="str">
            <v>GAUGE T=2MM</v>
          </cell>
          <cell r="I1819">
            <v>1080</v>
          </cell>
          <cell r="J1819" t="str">
            <v>Stk</v>
          </cell>
          <cell r="K1819">
            <v>45105</v>
          </cell>
          <cell r="L1819" t="str">
            <v>828521</v>
          </cell>
          <cell r="M1819" t="str">
            <v/>
          </cell>
          <cell r="N1819" t="str">
            <v/>
          </cell>
          <cell r="O1819" t="str">
            <v/>
          </cell>
          <cell r="P1819" t="str">
            <v/>
          </cell>
          <cell r="Q1819" t="str">
            <v>AW 5083 H111</v>
          </cell>
          <cell r="R1819" t="str">
            <v>EN 485</v>
          </cell>
          <cell r="S1819" t="str">
            <v/>
          </cell>
          <cell r="T1819" t="str">
            <v/>
          </cell>
          <cell r="U1819" t="str">
            <v>BB20035010023</v>
          </cell>
          <cell r="V1819" t="str">
            <v>B00</v>
          </cell>
          <cell r="W1819" t="str">
            <v/>
          </cell>
          <cell r="X1819" t="str">
            <v/>
          </cell>
          <cell r="Y1819" t="str">
            <v/>
          </cell>
          <cell r="Z1819" t="str">
            <v/>
          </cell>
          <cell r="AA1819" t="str">
            <v/>
          </cell>
          <cell r="AB1819" t="str">
            <v>70001813</v>
          </cell>
          <cell r="AC1819">
            <v>1</v>
          </cell>
          <cell r="AD1819" t="str">
            <v/>
          </cell>
          <cell r="AE1819">
            <v>0</v>
          </cell>
          <cell r="AF1819" t="str">
            <v/>
          </cell>
          <cell r="AG1819" t="str">
            <v>70001813</v>
          </cell>
          <cell r="AH1819">
            <v>44961.010729166665</v>
          </cell>
          <cell r="AI1819" t="str">
            <v>B00</v>
          </cell>
          <cell r="AJ1819" t="str">
            <v>F</v>
          </cell>
          <cell r="AK1819" t="str">
            <v>--</v>
          </cell>
        </row>
        <row r="1820">
          <cell r="A1820" t="str">
            <v>70001823828521</v>
          </cell>
          <cell r="B1820">
            <v>0</v>
          </cell>
          <cell r="C1820" t="e">
            <v>#N/A</v>
          </cell>
          <cell r="D1820" t="str">
            <v>EK65</v>
          </cell>
          <cell r="E1820" t="str">
            <v>706880</v>
          </cell>
          <cell r="F1820" t="str">
            <v>E</v>
          </cell>
          <cell r="G1820" t="str">
            <v>70001823</v>
          </cell>
          <cell r="H1820" t="str">
            <v>GAUGE T=1MM</v>
          </cell>
          <cell r="I1820">
            <v>360</v>
          </cell>
          <cell r="J1820" t="str">
            <v>Stk</v>
          </cell>
          <cell r="K1820">
            <v>45105</v>
          </cell>
          <cell r="L1820" t="str">
            <v>828521</v>
          </cell>
          <cell r="M1820" t="str">
            <v/>
          </cell>
          <cell r="N1820" t="str">
            <v/>
          </cell>
          <cell r="O1820" t="str">
            <v/>
          </cell>
          <cell r="P1820" t="str">
            <v/>
          </cell>
          <cell r="Q1820" t="str">
            <v/>
          </cell>
          <cell r="R1820" t="str">
            <v/>
          </cell>
          <cell r="S1820" t="str">
            <v/>
          </cell>
          <cell r="T1820" t="str">
            <v/>
          </cell>
          <cell r="U1820" t="str">
            <v>BB20035010020</v>
          </cell>
          <cell r="V1820" t="str">
            <v>B00</v>
          </cell>
          <cell r="W1820" t="str">
            <v/>
          </cell>
          <cell r="X1820" t="str">
            <v/>
          </cell>
          <cell r="Y1820" t="str">
            <v/>
          </cell>
          <cell r="Z1820" t="str">
            <v/>
          </cell>
          <cell r="AA1820" t="str">
            <v/>
          </cell>
          <cell r="AB1820" t="str">
            <v>70001823</v>
          </cell>
          <cell r="AC1820">
            <v>1</v>
          </cell>
          <cell r="AD1820" t="str">
            <v/>
          </cell>
          <cell r="AE1820">
            <v>0</v>
          </cell>
          <cell r="AF1820" t="str">
            <v/>
          </cell>
          <cell r="AG1820" t="str">
            <v>70001823</v>
          </cell>
          <cell r="AH1820">
            <v>44961.010879629626</v>
          </cell>
          <cell r="AI1820" t="str">
            <v>B00</v>
          </cell>
          <cell r="AJ1820" t="str">
            <v>F</v>
          </cell>
          <cell r="AK1820" t="str">
            <v>--</v>
          </cell>
        </row>
        <row r="1821">
          <cell r="A1821" t="str">
            <v>70001803828521</v>
          </cell>
          <cell r="B1821">
            <v>0</v>
          </cell>
          <cell r="C1821" t="e">
            <v>#N/A</v>
          </cell>
          <cell r="D1821" t="str">
            <v>EK65</v>
          </cell>
          <cell r="E1821" t="str">
            <v>723440</v>
          </cell>
          <cell r="F1821" t="str">
            <v>E</v>
          </cell>
          <cell r="G1821" t="str">
            <v>70001803</v>
          </cell>
          <cell r="H1821" t="str">
            <v>GAUGE T=1MM</v>
          </cell>
          <cell r="I1821">
            <v>1080</v>
          </cell>
          <cell r="J1821" t="str">
            <v>Stk</v>
          </cell>
          <cell r="K1821">
            <v>45105</v>
          </cell>
          <cell r="L1821" t="str">
            <v>828521</v>
          </cell>
          <cell r="M1821" t="str">
            <v/>
          </cell>
          <cell r="N1821" t="str">
            <v/>
          </cell>
          <cell r="O1821" t="str">
            <v/>
          </cell>
          <cell r="P1821" t="str">
            <v/>
          </cell>
          <cell r="Q1821" t="str">
            <v/>
          </cell>
          <cell r="R1821" t="str">
            <v/>
          </cell>
          <cell r="S1821" t="str">
            <v/>
          </cell>
          <cell r="T1821" t="str">
            <v/>
          </cell>
          <cell r="U1821" t="str">
            <v>BB20034810001</v>
          </cell>
          <cell r="V1821" t="str">
            <v>B00</v>
          </cell>
          <cell r="W1821" t="str">
            <v/>
          </cell>
          <cell r="X1821" t="str">
            <v/>
          </cell>
          <cell r="Y1821" t="str">
            <v/>
          </cell>
          <cell r="Z1821" t="str">
            <v/>
          </cell>
          <cell r="AA1821" t="str">
            <v/>
          </cell>
          <cell r="AB1821" t="str">
            <v>70001803</v>
          </cell>
          <cell r="AC1821">
            <v>1</v>
          </cell>
          <cell r="AD1821" t="str">
            <v/>
          </cell>
          <cell r="AE1821">
            <v>0</v>
          </cell>
          <cell r="AF1821" t="str">
            <v/>
          </cell>
          <cell r="AG1821" t="str">
            <v>70001803</v>
          </cell>
          <cell r="AH1821">
            <v>45016.921655092592</v>
          </cell>
          <cell r="AI1821" t="str">
            <v>B00</v>
          </cell>
          <cell r="AJ1821" t="str">
            <v>F</v>
          </cell>
          <cell r="AK1821" t="str">
            <v>--</v>
          </cell>
        </row>
        <row r="1822">
          <cell r="A1822" t="str">
            <v>70001804828521</v>
          </cell>
          <cell r="B1822">
            <v>0</v>
          </cell>
          <cell r="C1822" t="e">
            <v>#N/A</v>
          </cell>
          <cell r="D1822" t="str">
            <v>EK65</v>
          </cell>
          <cell r="E1822" t="str">
            <v>723441</v>
          </cell>
          <cell r="F1822" t="str">
            <v>E</v>
          </cell>
          <cell r="G1822" t="str">
            <v>70001804</v>
          </cell>
          <cell r="H1822" t="str">
            <v>GAUGE T=2MM</v>
          </cell>
          <cell r="I1822">
            <v>2160</v>
          </cell>
          <cell r="J1822" t="str">
            <v>Stk</v>
          </cell>
          <cell r="K1822">
            <v>45105</v>
          </cell>
          <cell r="L1822" t="str">
            <v>828521</v>
          </cell>
          <cell r="M1822" t="str">
            <v/>
          </cell>
          <cell r="N1822" t="str">
            <v/>
          </cell>
          <cell r="O1822" t="str">
            <v/>
          </cell>
          <cell r="P1822" t="str">
            <v/>
          </cell>
          <cell r="Q1822" t="str">
            <v/>
          </cell>
          <cell r="R1822" t="str">
            <v/>
          </cell>
          <cell r="S1822" t="str">
            <v/>
          </cell>
          <cell r="T1822" t="str">
            <v/>
          </cell>
          <cell r="U1822" t="str">
            <v>BB20034810002</v>
          </cell>
          <cell r="V1822" t="str">
            <v>B00</v>
          </cell>
          <cell r="W1822" t="str">
            <v/>
          </cell>
          <cell r="X1822" t="str">
            <v/>
          </cell>
          <cell r="Y1822" t="str">
            <v/>
          </cell>
          <cell r="Z1822" t="str">
            <v/>
          </cell>
          <cell r="AA1822" t="str">
            <v/>
          </cell>
          <cell r="AB1822" t="str">
            <v>70001804</v>
          </cell>
          <cell r="AC1822">
            <v>1</v>
          </cell>
          <cell r="AD1822" t="str">
            <v/>
          </cell>
          <cell r="AE1822">
            <v>0</v>
          </cell>
          <cell r="AF1822" t="str">
            <v/>
          </cell>
          <cell r="AG1822" t="str">
            <v>70001804</v>
          </cell>
          <cell r="AH1822">
            <v>45016.921678240738</v>
          </cell>
          <cell r="AI1822" t="str">
            <v>B00</v>
          </cell>
          <cell r="AJ1822" t="str">
            <v>F</v>
          </cell>
          <cell r="AK1822" t="str">
            <v>--</v>
          </cell>
        </row>
        <row r="1823">
          <cell r="A1823" t="str">
            <v>70001824828521</v>
          </cell>
          <cell r="B1823">
            <v>0</v>
          </cell>
          <cell r="C1823" t="e">
            <v>#N/A</v>
          </cell>
          <cell r="D1823" t="str">
            <v>EK65</v>
          </cell>
          <cell r="E1823" t="str">
            <v>723445</v>
          </cell>
          <cell r="F1823" t="str">
            <v>E</v>
          </cell>
          <cell r="G1823" t="str">
            <v>70001824</v>
          </cell>
          <cell r="H1823" t="str">
            <v>GAUGE T=2MM</v>
          </cell>
          <cell r="I1823">
            <v>360</v>
          </cell>
          <cell r="J1823" t="str">
            <v>Stk</v>
          </cell>
          <cell r="K1823">
            <v>45105</v>
          </cell>
          <cell r="L1823" t="str">
            <v>828521</v>
          </cell>
          <cell r="M1823" t="str">
            <v/>
          </cell>
          <cell r="N1823" t="str">
            <v/>
          </cell>
          <cell r="O1823" t="str">
            <v/>
          </cell>
          <cell r="P1823" t="str">
            <v/>
          </cell>
          <cell r="Q1823" t="str">
            <v/>
          </cell>
          <cell r="R1823" t="str">
            <v/>
          </cell>
          <cell r="S1823" t="str">
            <v/>
          </cell>
          <cell r="T1823" t="str">
            <v/>
          </cell>
          <cell r="U1823" t="str">
            <v>BB20035010021</v>
          </cell>
          <cell r="V1823" t="str">
            <v>B00</v>
          </cell>
          <cell r="W1823" t="str">
            <v/>
          </cell>
          <cell r="X1823" t="str">
            <v/>
          </cell>
          <cell r="Y1823" t="str">
            <v/>
          </cell>
          <cell r="Z1823" t="str">
            <v/>
          </cell>
          <cell r="AA1823" t="str">
            <v/>
          </cell>
          <cell r="AB1823" t="str">
            <v>70001824</v>
          </cell>
          <cell r="AC1823">
            <v>1</v>
          </cell>
          <cell r="AD1823" t="str">
            <v/>
          </cell>
          <cell r="AE1823">
            <v>0</v>
          </cell>
          <cell r="AF1823" t="str">
            <v/>
          </cell>
          <cell r="AG1823" t="str">
            <v>70001824</v>
          </cell>
          <cell r="AH1823">
            <v>45016.921990740739</v>
          </cell>
          <cell r="AI1823" t="str">
            <v>B00</v>
          </cell>
          <cell r="AJ1823" t="str">
            <v>F</v>
          </cell>
          <cell r="AK1823" t="str">
            <v>--</v>
          </cell>
        </row>
        <row r="1824">
          <cell r="A1824" t="str">
            <v>70002023828521</v>
          </cell>
          <cell r="B1824">
            <v>0</v>
          </cell>
          <cell r="C1824" t="e">
            <v>#N/A</v>
          </cell>
          <cell r="D1824" t="str">
            <v>EK65</v>
          </cell>
          <cell r="E1824" t="str">
            <v>706901</v>
          </cell>
          <cell r="F1824" t="str">
            <v>E</v>
          </cell>
          <cell r="G1824" t="str">
            <v>70002023</v>
          </cell>
          <cell r="H1824" t="str">
            <v>SHIM</v>
          </cell>
          <cell r="I1824">
            <v>360</v>
          </cell>
          <cell r="J1824" t="str">
            <v>Stk</v>
          </cell>
          <cell r="K1824">
            <v>45110</v>
          </cell>
          <cell r="L1824" t="str">
            <v>828521</v>
          </cell>
          <cell r="M1824" t="str">
            <v/>
          </cell>
          <cell r="N1824" t="str">
            <v/>
          </cell>
          <cell r="O1824" t="str">
            <v/>
          </cell>
          <cell r="P1824" t="str">
            <v/>
          </cell>
          <cell r="Q1824" t="str">
            <v/>
          </cell>
          <cell r="R1824" t="str">
            <v/>
          </cell>
          <cell r="S1824" t="str">
            <v/>
          </cell>
          <cell r="T1824" t="str">
            <v/>
          </cell>
          <cell r="U1824" t="str">
            <v>BB20046214003</v>
          </cell>
          <cell r="V1824" t="str">
            <v>B00</v>
          </cell>
          <cell r="W1824" t="str">
            <v/>
          </cell>
          <cell r="X1824" t="str">
            <v/>
          </cell>
          <cell r="Y1824" t="str">
            <v/>
          </cell>
          <cell r="Z1824" t="str">
            <v/>
          </cell>
          <cell r="AA1824" t="str">
            <v/>
          </cell>
          <cell r="AB1824" t="str">
            <v>70002023</v>
          </cell>
          <cell r="AC1824">
            <v>1</v>
          </cell>
          <cell r="AD1824" t="str">
            <v/>
          </cell>
          <cell r="AE1824">
            <v>0</v>
          </cell>
          <cell r="AF1824" t="str">
            <v/>
          </cell>
          <cell r="AG1824" t="str">
            <v>70002023</v>
          </cell>
          <cell r="AH1824">
            <v>44961.013402777775</v>
          </cell>
          <cell r="AI1824" t="str">
            <v>B00</v>
          </cell>
          <cell r="AJ1824" t="str">
            <v>F</v>
          </cell>
          <cell r="AK1824" t="str">
            <v>--</v>
          </cell>
        </row>
        <row r="1825">
          <cell r="A1825" t="str">
            <v>70002024828521</v>
          </cell>
          <cell r="B1825">
            <v>0</v>
          </cell>
          <cell r="C1825" t="e">
            <v>#N/A</v>
          </cell>
          <cell r="D1825" t="str">
            <v>EK65</v>
          </cell>
          <cell r="E1825" t="str">
            <v>706902</v>
          </cell>
          <cell r="F1825" t="str">
            <v>E</v>
          </cell>
          <cell r="G1825" t="str">
            <v>70002024</v>
          </cell>
          <cell r="H1825" t="str">
            <v>SHIM</v>
          </cell>
          <cell r="I1825">
            <v>360</v>
          </cell>
          <cell r="J1825" t="str">
            <v>Stk</v>
          </cell>
          <cell r="K1825">
            <v>45110</v>
          </cell>
          <cell r="L1825" t="str">
            <v>828521</v>
          </cell>
          <cell r="M1825" t="str">
            <v/>
          </cell>
          <cell r="N1825" t="str">
            <v/>
          </cell>
          <cell r="O1825" t="str">
            <v/>
          </cell>
          <cell r="P1825" t="str">
            <v/>
          </cell>
          <cell r="Q1825" t="str">
            <v/>
          </cell>
          <cell r="R1825" t="str">
            <v/>
          </cell>
          <cell r="S1825" t="str">
            <v/>
          </cell>
          <cell r="T1825" t="str">
            <v/>
          </cell>
          <cell r="U1825" t="str">
            <v>BB20046214004</v>
          </cell>
          <cell r="V1825" t="str">
            <v>B00</v>
          </cell>
          <cell r="W1825" t="str">
            <v/>
          </cell>
          <cell r="X1825" t="str">
            <v/>
          </cell>
          <cell r="Y1825" t="str">
            <v/>
          </cell>
          <cell r="Z1825" t="str">
            <v/>
          </cell>
          <cell r="AA1825" t="str">
            <v/>
          </cell>
          <cell r="AB1825" t="str">
            <v>70002024</v>
          </cell>
          <cell r="AC1825">
            <v>1</v>
          </cell>
          <cell r="AD1825" t="str">
            <v/>
          </cell>
          <cell r="AE1825">
            <v>0</v>
          </cell>
          <cell r="AF1825" t="str">
            <v/>
          </cell>
          <cell r="AG1825" t="str">
            <v>70002024</v>
          </cell>
          <cell r="AH1825">
            <v>44961.013414351852</v>
          </cell>
          <cell r="AI1825" t="str">
            <v>B00</v>
          </cell>
          <cell r="AJ1825" t="str">
            <v>F</v>
          </cell>
          <cell r="AK1825" t="str">
            <v>--</v>
          </cell>
        </row>
        <row r="1826">
          <cell r="A1826" t="str">
            <v>70001931828521</v>
          </cell>
          <cell r="B1826">
            <v>0</v>
          </cell>
          <cell r="C1826" t="e">
            <v>#N/A</v>
          </cell>
          <cell r="D1826" t="str">
            <v>EK65</v>
          </cell>
          <cell r="E1826" t="str">
            <v>684273</v>
          </cell>
          <cell r="F1826" t="str">
            <v>E</v>
          </cell>
          <cell r="G1826" t="str">
            <v>70001931</v>
          </cell>
          <cell r="H1826" t="str">
            <v>COVER</v>
          </cell>
          <cell r="I1826">
            <v>90</v>
          </cell>
          <cell r="J1826" t="str">
            <v>Stk</v>
          </cell>
          <cell r="K1826">
            <v>45112</v>
          </cell>
          <cell r="L1826" t="str">
            <v>828521</v>
          </cell>
          <cell r="M1826" t="str">
            <v/>
          </cell>
          <cell r="N1826" t="str">
            <v/>
          </cell>
          <cell r="O1826" t="str">
            <v/>
          </cell>
          <cell r="P1826" t="str">
            <v/>
          </cell>
          <cell r="Q1826" t="str">
            <v/>
          </cell>
          <cell r="R1826" t="str">
            <v/>
          </cell>
          <cell r="S1826" t="str">
            <v/>
          </cell>
          <cell r="T1826" t="str">
            <v/>
          </cell>
          <cell r="U1826" t="str">
            <v>BB20037010001</v>
          </cell>
          <cell r="V1826" t="str">
            <v>I31</v>
          </cell>
          <cell r="W1826" t="str">
            <v/>
          </cell>
          <cell r="X1826" t="str">
            <v/>
          </cell>
          <cell r="Y1826" t="str">
            <v/>
          </cell>
          <cell r="Z1826" t="str">
            <v/>
          </cell>
          <cell r="AA1826" t="str">
            <v/>
          </cell>
          <cell r="AB1826" t="str">
            <v>70001931</v>
          </cell>
          <cell r="AC1826">
            <v>1</v>
          </cell>
          <cell r="AD1826" t="str">
            <v/>
          </cell>
          <cell r="AE1826">
            <v>0</v>
          </cell>
          <cell r="AF1826" t="str">
            <v/>
          </cell>
          <cell r="AG1826" t="str">
            <v>70001931</v>
          </cell>
          <cell r="AH1826">
            <v>44909.949652777781</v>
          </cell>
          <cell r="AI1826" t="str">
            <v>I31</v>
          </cell>
          <cell r="AJ1826" t="str">
            <v>F</v>
          </cell>
          <cell r="AK1826" t="str">
            <v>--</v>
          </cell>
        </row>
        <row r="1827">
          <cell r="A1827" t="str">
            <v>70002003828521</v>
          </cell>
          <cell r="B1827">
            <v>0</v>
          </cell>
          <cell r="C1827" t="e">
            <v>#N/A</v>
          </cell>
          <cell r="D1827" t="str">
            <v>EK65</v>
          </cell>
          <cell r="E1827" t="str">
            <v>686937</v>
          </cell>
          <cell r="F1827" t="str">
            <v>E</v>
          </cell>
          <cell r="G1827" t="str">
            <v>70002003</v>
          </cell>
          <cell r="H1827" t="str">
            <v>BRACKET</v>
          </cell>
          <cell r="I1827">
            <v>90</v>
          </cell>
          <cell r="J1827" t="str">
            <v>Stk</v>
          </cell>
          <cell r="K1827">
            <v>45112</v>
          </cell>
          <cell r="L1827" t="str">
            <v>828521</v>
          </cell>
          <cell r="M1827" t="str">
            <v/>
          </cell>
          <cell r="N1827" t="str">
            <v/>
          </cell>
          <cell r="O1827" t="str">
            <v/>
          </cell>
          <cell r="P1827" t="str">
            <v/>
          </cell>
          <cell r="Q1827" t="str">
            <v/>
          </cell>
          <cell r="R1827" t="str">
            <v/>
          </cell>
          <cell r="S1827" t="str">
            <v/>
          </cell>
          <cell r="T1827" t="str">
            <v/>
          </cell>
          <cell r="U1827" t="str">
            <v>BB20046211001</v>
          </cell>
          <cell r="V1827" t="str">
            <v>N52</v>
          </cell>
          <cell r="W1827" t="str">
            <v/>
          </cell>
          <cell r="X1827" t="str">
            <v/>
          </cell>
          <cell r="Y1827" t="str">
            <v/>
          </cell>
          <cell r="Z1827" t="str">
            <v/>
          </cell>
          <cell r="AA1827" t="str">
            <v/>
          </cell>
          <cell r="AB1827" t="str">
            <v>70002003</v>
          </cell>
          <cell r="AC1827">
            <v>1</v>
          </cell>
          <cell r="AD1827" t="str">
            <v/>
          </cell>
          <cell r="AE1827">
            <v>0</v>
          </cell>
          <cell r="AF1827" t="str">
            <v/>
          </cell>
          <cell r="AG1827" t="str">
            <v>70002003</v>
          </cell>
          <cell r="AH1827">
            <v>44916.132615740738</v>
          </cell>
          <cell r="AI1827" t="str">
            <v>N52</v>
          </cell>
          <cell r="AJ1827" t="str">
            <v>F</v>
          </cell>
          <cell r="AK1827" t="str">
            <v>--</v>
          </cell>
        </row>
        <row r="1828">
          <cell r="A1828" t="str">
            <v>12496456</v>
          </cell>
          <cell r="B1828">
            <v>0</v>
          </cell>
          <cell r="C1828" t="e">
            <v>#N/A</v>
          </cell>
          <cell r="D1828" t="str">
            <v>EK65</v>
          </cell>
          <cell r="E1828" t="str">
            <v>707991</v>
          </cell>
          <cell r="F1828" t="str">
            <v>B</v>
          </cell>
          <cell r="G1828" t="str">
            <v>12496456</v>
          </cell>
          <cell r="H1828" t="str">
            <v>Blech</v>
          </cell>
          <cell r="I1828">
            <v>6</v>
          </cell>
          <cell r="J1828" t="str">
            <v>Stk</v>
          </cell>
          <cell r="K1828">
            <v>44966</v>
          </cell>
          <cell r="L1828" t="str">
            <v/>
          </cell>
          <cell r="M1828" t="str">
            <v/>
          </cell>
          <cell r="N1828" t="str">
            <v/>
          </cell>
          <cell r="O1828" t="str">
            <v/>
          </cell>
          <cell r="P1828" t="str">
            <v/>
          </cell>
          <cell r="Q1828" t="str">
            <v/>
          </cell>
          <cell r="R1828" t="str">
            <v/>
          </cell>
          <cell r="S1828" t="str">
            <v/>
          </cell>
          <cell r="T1828" t="str">
            <v/>
          </cell>
          <cell r="U1828" t="str">
            <v/>
          </cell>
          <cell r="V1828" t="str">
            <v>N52</v>
          </cell>
          <cell r="W1828" t="str">
            <v/>
          </cell>
          <cell r="X1828" t="str">
            <v/>
          </cell>
          <cell r="Y1828" t="str">
            <v/>
          </cell>
          <cell r="Z1828" t="str">
            <v/>
          </cell>
          <cell r="AA1828" t="str">
            <v/>
          </cell>
          <cell r="AB1828" t="str">
            <v>PA_4408706-LC.7005-3</v>
          </cell>
          <cell r="AC1828">
            <v>4</v>
          </cell>
          <cell r="AD1828" t="str">
            <v/>
          </cell>
          <cell r="AE1828">
            <v>0</v>
          </cell>
          <cell r="AF1828" t="str">
            <v/>
          </cell>
          <cell r="AG1828" t="str">
            <v>12496456</v>
          </cell>
          <cell r="AH1828">
            <v>44964.835277777776</v>
          </cell>
          <cell r="AI1828" t="str">
            <v>N52</v>
          </cell>
          <cell r="AJ1828" t="str">
            <v>F</v>
          </cell>
          <cell r="AK1828" t="str">
            <v/>
          </cell>
        </row>
        <row r="1829">
          <cell r="A1829" t="str">
            <v>2015400</v>
          </cell>
          <cell r="B1829" t="e">
            <v>#N/A</v>
          </cell>
          <cell r="C1829" t="e">
            <v>#N/A</v>
          </cell>
          <cell r="D1829" t="str">
            <v>EK65</v>
          </cell>
          <cell r="E1829" t="str">
            <v>707993</v>
          </cell>
          <cell r="F1829" t="str">
            <v>B</v>
          </cell>
          <cell r="G1829" t="str">
            <v>2015400</v>
          </cell>
          <cell r="H1829" t="str">
            <v>Erdungsfahne Gravur M8</v>
          </cell>
          <cell r="I1829">
            <v>200</v>
          </cell>
          <cell r="J1829" t="str">
            <v>Stk</v>
          </cell>
          <cell r="K1829">
            <v>44993</v>
          </cell>
          <cell r="L1829" t="str">
            <v/>
          </cell>
          <cell r="M1829" t="str">
            <v/>
          </cell>
          <cell r="N1829" t="str">
            <v/>
          </cell>
          <cell r="O1829" t="str">
            <v/>
          </cell>
          <cell r="P1829" t="str">
            <v/>
          </cell>
          <cell r="Q1829" t="str">
            <v/>
          </cell>
          <cell r="R1829" t="str">
            <v/>
          </cell>
          <cell r="S1829" t="str">
            <v/>
          </cell>
          <cell r="T1829" t="str">
            <v/>
          </cell>
          <cell r="U1829" t="str">
            <v/>
          </cell>
          <cell r="V1829" t="str">
            <v>N38</v>
          </cell>
          <cell r="W1829" t="str">
            <v/>
          </cell>
          <cell r="X1829" t="str">
            <v/>
          </cell>
          <cell r="Y1829" t="str">
            <v/>
          </cell>
          <cell r="Z1829" t="str">
            <v/>
          </cell>
          <cell r="AA1829" t="str">
            <v/>
          </cell>
          <cell r="AB1829" t="str">
            <v>PA_2313372-UA.6005-3P.2</v>
          </cell>
          <cell r="AC1829">
            <v>4</v>
          </cell>
          <cell r="AD1829" t="str">
            <v/>
          </cell>
          <cell r="AE1829">
            <v>0</v>
          </cell>
          <cell r="AF1829" t="str">
            <v/>
          </cell>
          <cell r="AG1829" t="str">
            <v>2015400</v>
          </cell>
          <cell r="AH1829">
            <v>44964.835902777777</v>
          </cell>
          <cell r="AI1829" t="str">
            <v>N38</v>
          </cell>
          <cell r="AJ1829" t="str">
            <v>F</v>
          </cell>
          <cell r="AK1829" t="str">
            <v/>
          </cell>
        </row>
        <row r="1830">
          <cell r="A1830" t="str">
            <v>4027323</v>
          </cell>
          <cell r="B1830" t="e">
            <v>#N/A</v>
          </cell>
          <cell r="C1830" t="e">
            <v>#N/A</v>
          </cell>
          <cell r="D1830" t="str">
            <v>EK65</v>
          </cell>
          <cell r="E1830" t="str">
            <v>707995</v>
          </cell>
          <cell r="F1830" t="str">
            <v>B</v>
          </cell>
          <cell r="G1830" t="str">
            <v>4027323</v>
          </cell>
          <cell r="H1830" t="str">
            <v>Dehnhuelse L24, D21/9</v>
          </cell>
          <cell r="I1830">
            <v>500</v>
          </cell>
          <cell r="J1830" t="str">
            <v>Stk</v>
          </cell>
          <cell r="K1830">
            <v>44966</v>
          </cell>
          <cell r="L1830" t="str">
            <v/>
          </cell>
          <cell r="M1830" t="str">
            <v/>
          </cell>
          <cell r="N1830" t="str">
            <v/>
          </cell>
          <cell r="O1830" t="str">
            <v/>
          </cell>
          <cell r="P1830" t="str">
            <v/>
          </cell>
          <cell r="Q1830" t="str">
            <v/>
          </cell>
          <cell r="R1830" t="str">
            <v/>
          </cell>
          <cell r="S1830" t="str">
            <v/>
          </cell>
          <cell r="T1830" t="str">
            <v/>
          </cell>
          <cell r="U1830" t="str">
            <v/>
          </cell>
          <cell r="V1830" t="str">
            <v>N32</v>
          </cell>
          <cell r="W1830" t="str">
            <v/>
          </cell>
          <cell r="X1830" t="str">
            <v/>
          </cell>
          <cell r="Y1830" t="str">
            <v/>
          </cell>
          <cell r="Z1830" t="str">
            <v/>
          </cell>
          <cell r="AA1830" t="str">
            <v/>
          </cell>
          <cell r="AB1830" t="str">
            <v>PA_2168996-CF.3034-4</v>
          </cell>
          <cell r="AC1830">
            <v>4</v>
          </cell>
          <cell r="AD1830" t="str">
            <v/>
          </cell>
          <cell r="AE1830">
            <v>0</v>
          </cell>
          <cell r="AF1830" t="str">
            <v/>
          </cell>
          <cell r="AG1830" t="str">
            <v>4027323</v>
          </cell>
          <cell r="AH1830">
            <v>44964.836631944447</v>
          </cell>
          <cell r="AI1830" t="str">
            <v>N32</v>
          </cell>
          <cell r="AJ1830" t="str">
            <v>F</v>
          </cell>
          <cell r="AK1830" t="str">
            <v/>
          </cell>
        </row>
        <row r="1831">
          <cell r="A1831" t="str">
            <v>12537826829052</v>
          </cell>
          <cell r="B1831" t="str">
            <v>Übergabe Task Force</v>
          </cell>
          <cell r="C1831" t="e">
            <v>#N/A</v>
          </cell>
          <cell r="D1831" t="str">
            <v>EK65</v>
          </cell>
          <cell r="E1831" t="str">
            <v>708071</v>
          </cell>
          <cell r="F1831" t="str">
            <v>E</v>
          </cell>
          <cell r="G1831" t="str">
            <v>12537826</v>
          </cell>
          <cell r="H1831" t="str">
            <v>Zwischenblech vollst.</v>
          </cell>
          <cell r="I1831">
            <v>26</v>
          </cell>
          <cell r="J1831" t="str">
            <v>Stk</v>
          </cell>
          <cell r="K1831">
            <v>45394</v>
          </cell>
          <cell r="L1831" t="str">
            <v>829052</v>
          </cell>
          <cell r="M1831" t="str">
            <v/>
          </cell>
          <cell r="N1831" t="str">
            <v/>
          </cell>
          <cell r="O1831" t="str">
            <v/>
          </cell>
          <cell r="P1831" t="str">
            <v/>
          </cell>
          <cell r="Q1831" t="str">
            <v/>
          </cell>
          <cell r="R1831" t="str">
            <v/>
          </cell>
          <cell r="S1831" t="str">
            <v/>
          </cell>
          <cell r="T1831" t="str">
            <v/>
          </cell>
          <cell r="U1831" t="str">
            <v/>
          </cell>
          <cell r="V1831" t="str">
            <v>N38</v>
          </cell>
          <cell r="W1831" t="str">
            <v/>
          </cell>
          <cell r="X1831" t="str">
            <v/>
          </cell>
          <cell r="Y1831" t="str">
            <v/>
          </cell>
          <cell r="Z1831" t="str">
            <v/>
          </cell>
          <cell r="AA1831" t="str">
            <v/>
          </cell>
          <cell r="AB1831" t="str">
            <v>PA_4497052-UA.7005-3</v>
          </cell>
          <cell r="AC1831">
            <v>1</v>
          </cell>
          <cell r="AD1831" t="str">
            <v/>
          </cell>
          <cell r="AE1831">
            <v>0</v>
          </cell>
          <cell r="AF1831" t="str">
            <v/>
          </cell>
          <cell r="AG1831" t="str">
            <v>12537826</v>
          </cell>
          <cell r="AH1831">
            <v>44964.901307870372</v>
          </cell>
          <cell r="AI1831" t="str">
            <v>N38</v>
          </cell>
          <cell r="AJ1831" t="str">
            <v>F</v>
          </cell>
          <cell r="AK1831" t="str">
            <v/>
          </cell>
        </row>
        <row r="1832">
          <cell r="A1832" t="str">
            <v>0209501820541</v>
          </cell>
          <cell r="B1832" t="e">
            <v>#N/A</v>
          </cell>
          <cell r="C1832" t="e">
            <v>#N/A</v>
          </cell>
          <cell r="D1832" t="str">
            <v>EK65</v>
          </cell>
          <cell r="E1832" t="str">
            <v>708083</v>
          </cell>
          <cell r="F1832" t="str">
            <v>E</v>
          </cell>
          <cell r="G1832" t="str">
            <v>0209501</v>
          </cell>
          <cell r="H1832" t="str">
            <v>SPEZIAL UNTERLEGSCHEIBE D30X16,5X1</v>
          </cell>
          <cell r="I1832">
            <v>1320</v>
          </cell>
          <cell r="J1832" t="str">
            <v>Stk</v>
          </cell>
          <cell r="K1832">
            <v>45156</v>
          </cell>
          <cell r="L1832" t="str">
            <v>820541</v>
          </cell>
          <cell r="M1832" t="str">
            <v/>
          </cell>
          <cell r="N1832" t="str">
            <v/>
          </cell>
          <cell r="O1832" t="str">
            <v/>
          </cell>
          <cell r="P1832" t="str">
            <v/>
          </cell>
          <cell r="Q1832" t="str">
            <v/>
          </cell>
          <cell r="R1832" t="str">
            <v/>
          </cell>
          <cell r="S1832" t="str">
            <v/>
          </cell>
          <cell r="T1832" t="str">
            <v/>
          </cell>
          <cell r="U1832" t="str">
            <v/>
          </cell>
          <cell r="V1832" t="str">
            <v>K30</v>
          </cell>
          <cell r="W1832" t="str">
            <v/>
          </cell>
          <cell r="X1832" t="str">
            <v/>
          </cell>
          <cell r="Y1832" t="str">
            <v/>
          </cell>
          <cell r="Z1832" t="str">
            <v/>
          </cell>
          <cell r="AA1832" t="str">
            <v/>
          </cell>
          <cell r="AB1832" t="str">
            <v>CHX1017152-QB.3000-4</v>
          </cell>
          <cell r="AC1832">
            <v>1</v>
          </cell>
          <cell r="AD1832" t="str">
            <v/>
          </cell>
          <cell r="AE1832">
            <v>0</v>
          </cell>
          <cell r="AF1832" t="str">
            <v/>
          </cell>
          <cell r="AG1832" t="str">
            <v>0209501</v>
          </cell>
          <cell r="AH1832">
            <v>44964.939016203702</v>
          </cell>
          <cell r="AI1832" t="str">
            <v>K30</v>
          </cell>
          <cell r="AJ1832" t="str">
            <v>F</v>
          </cell>
          <cell r="AK1832" t="str">
            <v>A</v>
          </cell>
        </row>
        <row r="1833">
          <cell r="A1833" t="str">
            <v>1080045</v>
          </cell>
          <cell r="B1833">
            <v>0</v>
          </cell>
          <cell r="C1833" t="e">
            <v>#N/A</v>
          </cell>
          <cell r="D1833" t="str">
            <v>EK65</v>
          </cell>
          <cell r="E1833" t="str">
            <v>708097</v>
          </cell>
          <cell r="F1833" t="str">
            <v>B</v>
          </cell>
          <cell r="G1833" t="str">
            <v>1080045</v>
          </cell>
          <cell r="H1833" t="str">
            <v>Beilage</v>
          </cell>
          <cell r="I1833">
            <v>1</v>
          </cell>
          <cell r="J1833" t="str">
            <v>Stk</v>
          </cell>
          <cell r="K1833">
            <v>44967</v>
          </cell>
          <cell r="L1833" t="str">
            <v/>
          </cell>
          <cell r="M1833" t="str">
            <v/>
          </cell>
          <cell r="N1833" t="str">
            <v/>
          </cell>
          <cell r="O1833" t="str">
            <v/>
          </cell>
          <cell r="P1833" t="str">
            <v/>
          </cell>
          <cell r="Q1833" t="str">
            <v/>
          </cell>
          <cell r="R1833" t="str">
            <v/>
          </cell>
          <cell r="S1833" t="str">
            <v/>
          </cell>
          <cell r="T1833" t="str">
            <v/>
          </cell>
          <cell r="U1833" t="str">
            <v/>
          </cell>
          <cell r="V1833" t="str">
            <v>N52</v>
          </cell>
          <cell r="W1833" t="str">
            <v/>
          </cell>
          <cell r="X1833" t="str">
            <v/>
          </cell>
          <cell r="Y1833" t="str">
            <v/>
          </cell>
          <cell r="Z1833" t="str">
            <v/>
          </cell>
          <cell r="AA1833" t="str">
            <v/>
          </cell>
          <cell r="AB1833" t="str">
            <v>PA_2262349-DA.7501-4P.3</v>
          </cell>
          <cell r="AC1833">
            <v>5</v>
          </cell>
          <cell r="AD1833" t="str">
            <v/>
          </cell>
          <cell r="AE1833">
            <v>0</v>
          </cell>
          <cell r="AF1833" t="str">
            <v/>
          </cell>
          <cell r="AG1833" t="str">
            <v>1080045</v>
          </cell>
          <cell r="AH1833">
            <v>44965.834918981483</v>
          </cell>
          <cell r="AI1833" t="str">
            <v>N52</v>
          </cell>
          <cell r="AJ1833" t="str">
            <v>F</v>
          </cell>
          <cell r="AK1833" t="str">
            <v/>
          </cell>
        </row>
        <row r="1834">
          <cell r="A1834" t="str">
            <v>1080045</v>
          </cell>
          <cell r="B1834">
            <v>0</v>
          </cell>
          <cell r="C1834" t="e">
            <v>#N/A</v>
          </cell>
          <cell r="D1834" t="str">
            <v>EK65</v>
          </cell>
          <cell r="E1834" t="str">
            <v>708098</v>
          </cell>
          <cell r="F1834" t="str">
            <v>B</v>
          </cell>
          <cell r="G1834" t="str">
            <v>1080045</v>
          </cell>
          <cell r="H1834" t="str">
            <v>Beilage</v>
          </cell>
          <cell r="I1834">
            <v>1</v>
          </cell>
          <cell r="J1834" t="str">
            <v>Stk</v>
          </cell>
          <cell r="K1834">
            <v>44967</v>
          </cell>
          <cell r="L1834" t="str">
            <v/>
          </cell>
          <cell r="M1834" t="str">
            <v/>
          </cell>
          <cell r="N1834" t="str">
            <v/>
          </cell>
          <cell r="O1834" t="str">
            <v/>
          </cell>
          <cell r="P1834" t="str">
            <v/>
          </cell>
          <cell r="Q1834" t="str">
            <v/>
          </cell>
          <cell r="R1834" t="str">
            <v/>
          </cell>
          <cell r="S1834" t="str">
            <v/>
          </cell>
          <cell r="T1834" t="str">
            <v/>
          </cell>
          <cell r="U1834" t="str">
            <v/>
          </cell>
          <cell r="V1834" t="str">
            <v>N52</v>
          </cell>
          <cell r="W1834" t="str">
            <v/>
          </cell>
          <cell r="X1834" t="str">
            <v/>
          </cell>
          <cell r="Y1834" t="str">
            <v/>
          </cell>
          <cell r="Z1834" t="str">
            <v/>
          </cell>
          <cell r="AA1834" t="str">
            <v/>
          </cell>
          <cell r="AB1834" t="str">
            <v>PA_2262349-DA.7501-4P.3</v>
          </cell>
          <cell r="AC1834">
            <v>5</v>
          </cell>
          <cell r="AD1834" t="str">
            <v/>
          </cell>
          <cell r="AE1834">
            <v>0</v>
          </cell>
          <cell r="AF1834" t="str">
            <v/>
          </cell>
          <cell r="AG1834" t="str">
            <v>1080045</v>
          </cell>
          <cell r="AH1834">
            <v>44965.834918981483</v>
          </cell>
          <cell r="AI1834" t="str">
            <v>N52</v>
          </cell>
          <cell r="AJ1834" t="str">
            <v>F</v>
          </cell>
          <cell r="AK1834" t="str">
            <v/>
          </cell>
        </row>
        <row r="1835">
          <cell r="A1835" t="str">
            <v>1080045</v>
          </cell>
          <cell r="B1835">
            <v>0</v>
          </cell>
          <cell r="C1835" t="e">
            <v>#N/A</v>
          </cell>
          <cell r="D1835" t="str">
            <v>EK65</v>
          </cell>
          <cell r="E1835" t="str">
            <v>708099</v>
          </cell>
          <cell r="F1835" t="str">
            <v>B</v>
          </cell>
          <cell r="G1835" t="str">
            <v>1080045</v>
          </cell>
          <cell r="H1835" t="str">
            <v>Beilage</v>
          </cell>
          <cell r="I1835">
            <v>1</v>
          </cell>
          <cell r="J1835" t="str">
            <v>Stk</v>
          </cell>
          <cell r="K1835">
            <v>44967</v>
          </cell>
          <cell r="L1835" t="str">
            <v/>
          </cell>
          <cell r="M1835" t="str">
            <v/>
          </cell>
          <cell r="N1835" t="str">
            <v/>
          </cell>
          <cell r="O1835" t="str">
            <v/>
          </cell>
          <cell r="P1835" t="str">
            <v/>
          </cell>
          <cell r="Q1835" t="str">
            <v/>
          </cell>
          <cell r="R1835" t="str">
            <v/>
          </cell>
          <cell r="S1835" t="str">
            <v/>
          </cell>
          <cell r="T1835" t="str">
            <v/>
          </cell>
          <cell r="U1835" t="str">
            <v/>
          </cell>
          <cell r="V1835" t="str">
            <v>N52</v>
          </cell>
          <cell r="W1835" t="str">
            <v/>
          </cell>
          <cell r="X1835" t="str">
            <v/>
          </cell>
          <cell r="Y1835" t="str">
            <v/>
          </cell>
          <cell r="Z1835" t="str">
            <v/>
          </cell>
          <cell r="AA1835" t="str">
            <v/>
          </cell>
          <cell r="AB1835" t="str">
            <v>PA_2262349-DA.7501-4P.3</v>
          </cell>
          <cell r="AC1835">
            <v>5</v>
          </cell>
          <cell r="AD1835" t="str">
            <v/>
          </cell>
          <cell r="AE1835">
            <v>0</v>
          </cell>
          <cell r="AF1835" t="str">
            <v/>
          </cell>
          <cell r="AG1835" t="str">
            <v>1080045</v>
          </cell>
          <cell r="AH1835">
            <v>44965.834918981483</v>
          </cell>
          <cell r="AI1835" t="str">
            <v>N52</v>
          </cell>
          <cell r="AJ1835" t="str">
            <v>F</v>
          </cell>
          <cell r="AK1835" t="str">
            <v/>
          </cell>
        </row>
        <row r="1836">
          <cell r="A1836" t="str">
            <v>1080045</v>
          </cell>
          <cell r="B1836">
            <v>0</v>
          </cell>
          <cell r="C1836" t="e">
            <v>#N/A</v>
          </cell>
          <cell r="D1836" t="str">
            <v>EK65</v>
          </cell>
          <cell r="E1836" t="str">
            <v>708100</v>
          </cell>
          <cell r="F1836" t="str">
            <v>B</v>
          </cell>
          <cell r="G1836" t="str">
            <v>1080045</v>
          </cell>
          <cell r="H1836" t="str">
            <v>Beilage</v>
          </cell>
          <cell r="I1836">
            <v>1</v>
          </cell>
          <cell r="J1836" t="str">
            <v>Stk</v>
          </cell>
          <cell r="K1836">
            <v>44967</v>
          </cell>
          <cell r="L1836" t="str">
            <v/>
          </cell>
          <cell r="M1836" t="str">
            <v/>
          </cell>
          <cell r="N1836" t="str">
            <v/>
          </cell>
          <cell r="O1836" t="str">
            <v/>
          </cell>
          <cell r="P1836" t="str">
            <v/>
          </cell>
          <cell r="Q1836" t="str">
            <v/>
          </cell>
          <cell r="R1836" t="str">
            <v/>
          </cell>
          <cell r="S1836" t="str">
            <v/>
          </cell>
          <cell r="T1836" t="str">
            <v/>
          </cell>
          <cell r="U1836" t="str">
            <v/>
          </cell>
          <cell r="V1836" t="str">
            <v>N52</v>
          </cell>
          <cell r="W1836" t="str">
            <v/>
          </cell>
          <cell r="X1836" t="str">
            <v/>
          </cell>
          <cell r="Y1836" t="str">
            <v/>
          </cell>
          <cell r="Z1836" t="str">
            <v/>
          </cell>
          <cell r="AA1836" t="str">
            <v/>
          </cell>
          <cell r="AB1836" t="str">
            <v>PA_2262349-DA.7501-4P.3</v>
          </cell>
          <cell r="AC1836">
            <v>5</v>
          </cell>
          <cell r="AD1836" t="str">
            <v/>
          </cell>
          <cell r="AE1836">
            <v>0</v>
          </cell>
          <cell r="AF1836" t="str">
            <v/>
          </cell>
          <cell r="AG1836" t="str">
            <v>1080045</v>
          </cell>
          <cell r="AH1836">
            <v>44965.834918981483</v>
          </cell>
          <cell r="AI1836" t="str">
            <v>N52</v>
          </cell>
          <cell r="AJ1836" t="str">
            <v>F</v>
          </cell>
          <cell r="AK1836" t="str">
            <v/>
          </cell>
        </row>
        <row r="1837">
          <cell r="A1837" t="str">
            <v>1080045</v>
          </cell>
          <cell r="B1837">
            <v>0</v>
          </cell>
          <cell r="C1837" t="e">
            <v>#N/A</v>
          </cell>
          <cell r="D1837" t="str">
            <v>EK65</v>
          </cell>
          <cell r="E1837" t="str">
            <v>708101</v>
          </cell>
          <cell r="F1837" t="str">
            <v>B</v>
          </cell>
          <cell r="G1837" t="str">
            <v>1080045</v>
          </cell>
          <cell r="H1837" t="str">
            <v>Beilage</v>
          </cell>
          <cell r="I1837">
            <v>1</v>
          </cell>
          <cell r="J1837" t="str">
            <v>Stk</v>
          </cell>
          <cell r="K1837">
            <v>44967</v>
          </cell>
          <cell r="L1837" t="str">
            <v/>
          </cell>
          <cell r="M1837" t="str">
            <v/>
          </cell>
          <cell r="N1837" t="str">
            <v/>
          </cell>
          <cell r="O1837" t="str">
            <v/>
          </cell>
          <cell r="P1837" t="str">
            <v/>
          </cell>
          <cell r="Q1837" t="str">
            <v/>
          </cell>
          <cell r="R1837" t="str">
            <v/>
          </cell>
          <cell r="S1837" t="str">
            <v/>
          </cell>
          <cell r="T1837" t="str">
            <v/>
          </cell>
          <cell r="U1837" t="str">
            <v/>
          </cell>
          <cell r="V1837" t="str">
            <v>N52</v>
          </cell>
          <cell r="W1837" t="str">
            <v/>
          </cell>
          <cell r="X1837" t="str">
            <v/>
          </cell>
          <cell r="Y1837" t="str">
            <v/>
          </cell>
          <cell r="Z1837" t="str">
            <v/>
          </cell>
          <cell r="AA1837" t="str">
            <v/>
          </cell>
          <cell r="AB1837" t="str">
            <v>PA_2262349-DA.7501-4P.3</v>
          </cell>
          <cell r="AC1837">
            <v>5</v>
          </cell>
          <cell r="AD1837" t="str">
            <v/>
          </cell>
          <cell r="AE1837">
            <v>0</v>
          </cell>
          <cell r="AF1837" t="str">
            <v/>
          </cell>
          <cell r="AG1837" t="str">
            <v>1080045</v>
          </cell>
          <cell r="AH1837">
            <v>44965.834918981483</v>
          </cell>
          <cell r="AI1837" t="str">
            <v>N52</v>
          </cell>
          <cell r="AJ1837" t="str">
            <v>F</v>
          </cell>
          <cell r="AK1837" t="str">
            <v/>
          </cell>
        </row>
        <row r="1838">
          <cell r="A1838" t="str">
            <v>1080045</v>
          </cell>
          <cell r="B1838">
            <v>0</v>
          </cell>
          <cell r="C1838" t="e">
            <v>#N/A</v>
          </cell>
          <cell r="D1838" t="str">
            <v>EK65</v>
          </cell>
          <cell r="E1838" t="str">
            <v>708102</v>
          </cell>
          <cell r="F1838" t="str">
            <v>B</v>
          </cell>
          <cell r="G1838" t="str">
            <v>1080045</v>
          </cell>
          <cell r="H1838" t="str">
            <v>Beilage</v>
          </cell>
          <cell r="I1838">
            <v>1</v>
          </cell>
          <cell r="J1838" t="str">
            <v>Stk</v>
          </cell>
          <cell r="K1838">
            <v>44967</v>
          </cell>
          <cell r="L1838" t="str">
            <v/>
          </cell>
          <cell r="M1838" t="str">
            <v/>
          </cell>
          <cell r="N1838" t="str">
            <v/>
          </cell>
          <cell r="O1838" t="str">
            <v/>
          </cell>
          <cell r="P1838" t="str">
            <v/>
          </cell>
          <cell r="Q1838" t="str">
            <v/>
          </cell>
          <cell r="R1838" t="str">
            <v/>
          </cell>
          <cell r="S1838" t="str">
            <v/>
          </cell>
          <cell r="T1838" t="str">
            <v/>
          </cell>
          <cell r="U1838" t="str">
            <v/>
          </cell>
          <cell r="V1838" t="str">
            <v>N52</v>
          </cell>
          <cell r="W1838" t="str">
            <v/>
          </cell>
          <cell r="X1838" t="str">
            <v/>
          </cell>
          <cell r="Y1838" t="str">
            <v/>
          </cell>
          <cell r="Z1838" t="str">
            <v/>
          </cell>
          <cell r="AA1838" t="str">
            <v/>
          </cell>
          <cell r="AB1838" t="str">
            <v>PA_2262349-DA.7501-4P.3</v>
          </cell>
          <cell r="AC1838">
            <v>5</v>
          </cell>
          <cell r="AD1838" t="str">
            <v/>
          </cell>
          <cell r="AE1838">
            <v>0</v>
          </cell>
          <cell r="AF1838" t="str">
            <v/>
          </cell>
          <cell r="AG1838" t="str">
            <v>1080045</v>
          </cell>
          <cell r="AH1838">
            <v>44965.834918981483</v>
          </cell>
          <cell r="AI1838" t="str">
            <v>N52</v>
          </cell>
          <cell r="AJ1838" t="str">
            <v>F</v>
          </cell>
          <cell r="AK1838" t="str">
            <v/>
          </cell>
        </row>
        <row r="1839">
          <cell r="A1839" t="str">
            <v>1080045</v>
          </cell>
          <cell r="B1839">
            <v>0</v>
          </cell>
          <cell r="C1839" t="e">
            <v>#N/A</v>
          </cell>
          <cell r="D1839" t="str">
            <v>EK65</v>
          </cell>
          <cell r="E1839" t="str">
            <v>708103</v>
          </cell>
          <cell r="F1839" t="str">
            <v>B</v>
          </cell>
          <cell r="G1839" t="str">
            <v>1080045</v>
          </cell>
          <cell r="H1839" t="str">
            <v>Beilage</v>
          </cell>
          <cell r="I1839">
            <v>1</v>
          </cell>
          <cell r="J1839" t="str">
            <v>Stk</v>
          </cell>
          <cell r="K1839">
            <v>44967</v>
          </cell>
          <cell r="L1839" t="str">
            <v/>
          </cell>
          <cell r="M1839" t="str">
            <v/>
          </cell>
          <cell r="N1839" t="str">
            <v/>
          </cell>
          <cell r="O1839" t="str">
            <v/>
          </cell>
          <cell r="P1839" t="str">
            <v/>
          </cell>
          <cell r="Q1839" t="str">
            <v/>
          </cell>
          <cell r="R1839" t="str">
            <v/>
          </cell>
          <cell r="S1839" t="str">
            <v/>
          </cell>
          <cell r="T1839" t="str">
            <v/>
          </cell>
          <cell r="U1839" t="str">
            <v/>
          </cell>
          <cell r="V1839" t="str">
            <v>N52</v>
          </cell>
          <cell r="W1839" t="str">
            <v/>
          </cell>
          <cell r="X1839" t="str">
            <v/>
          </cell>
          <cell r="Y1839" t="str">
            <v/>
          </cell>
          <cell r="Z1839" t="str">
            <v/>
          </cell>
          <cell r="AA1839" t="str">
            <v/>
          </cell>
          <cell r="AB1839" t="str">
            <v>PA_2262349-DA.7501-4P.3</v>
          </cell>
          <cell r="AC1839">
            <v>5</v>
          </cell>
          <cell r="AD1839" t="str">
            <v/>
          </cell>
          <cell r="AE1839">
            <v>0</v>
          </cell>
          <cell r="AF1839" t="str">
            <v/>
          </cell>
          <cell r="AG1839" t="str">
            <v>1080045</v>
          </cell>
          <cell r="AH1839">
            <v>44965.834930555553</v>
          </cell>
          <cell r="AI1839" t="str">
            <v>N52</v>
          </cell>
          <cell r="AJ1839" t="str">
            <v>F</v>
          </cell>
          <cell r="AK1839" t="str">
            <v/>
          </cell>
        </row>
        <row r="1840">
          <cell r="A1840" t="str">
            <v>1080045</v>
          </cell>
          <cell r="B1840">
            <v>0</v>
          </cell>
          <cell r="C1840" t="e">
            <v>#N/A</v>
          </cell>
          <cell r="D1840" t="str">
            <v>EK65</v>
          </cell>
          <cell r="E1840" t="str">
            <v>708104</v>
          </cell>
          <cell r="F1840" t="str">
            <v>B</v>
          </cell>
          <cell r="G1840" t="str">
            <v>1080045</v>
          </cell>
          <cell r="H1840" t="str">
            <v>Beilage</v>
          </cell>
          <cell r="I1840">
            <v>1</v>
          </cell>
          <cell r="J1840" t="str">
            <v>Stk</v>
          </cell>
          <cell r="K1840">
            <v>44967</v>
          </cell>
          <cell r="L1840" t="str">
            <v/>
          </cell>
          <cell r="M1840" t="str">
            <v/>
          </cell>
          <cell r="N1840" t="str">
            <v/>
          </cell>
          <cell r="O1840" t="str">
            <v/>
          </cell>
          <cell r="P1840" t="str">
            <v/>
          </cell>
          <cell r="Q1840" t="str">
            <v/>
          </cell>
          <cell r="R1840" t="str">
            <v/>
          </cell>
          <cell r="S1840" t="str">
            <v/>
          </cell>
          <cell r="T1840" t="str">
            <v/>
          </cell>
          <cell r="U1840" t="str">
            <v/>
          </cell>
          <cell r="V1840" t="str">
            <v>N52</v>
          </cell>
          <cell r="W1840" t="str">
            <v/>
          </cell>
          <cell r="X1840" t="str">
            <v/>
          </cell>
          <cell r="Y1840" t="str">
            <v/>
          </cell>
          <cell r="Z1840" t="str">
            <v/>
          </cell>
          <cell r="AA1840" t="str">
            <v/>
          </cell>
          <cell r="AB1840" t="str">
            <v>PA_2262349-DA.7501-4P.3</v>
          </cell>
          <cell r="AC1840">
            <v>5</v>
          </cell>
          <cell r="AD1840" t="str">
            <v/>
          </cell>
          <cell r="AE1840">
            <v>0</v>
          </cell>
          <cell r="AF1840" t="str">
            <v/>
          </cell>
          <cell r="AG1840" t="str">
            <v>1080045</v>
          </cell>
          <cell r="AH1840">
            <v>44965.834930555553</v>
          </cell>
          <cell r="AI1840" t="str">
            <v>N52</v>
          </cell>
          <cell r="AJ1840" t="str">
            <v>F</v>
          </cell>
          <cell r="AK1840" t="str">
            <v/>
          </cell>
        </row>
        <row r="1841">
          <cell r="A1841" t="str">
            <v>1080045</v>
          </cell>
          <cell r="B1841">
            <v>0</v>
          </cell>
          <cell r="C1841" t="e">
            <v>#N/A</v>
          </cell>
          <cell r="D1841" t="str">
            <v>EK65</v>
          </cell>
          <cell r="E1841" t="str">
            <v>708105</v>
          </cell>
          <cell r="F1841" t="str">
            <v>B</v>
          </cell>
          <cell r="G1841" t="str">
            <v>1080045</v>
          </cell>
          <cell r="H1841" t="str">
            <v>Beilage</v>
          </cell>
          <cell r="I1841">
            <v>1</v>
          </cell>
          <cell r="J1841" t="str">
            <v>Stk</v>
          </cell>
          <cell r="K1841">
            <v>44967</v>
          </cell>
          <cell r="L1841" t="str">
            <v/>
          </cell>
          <cell r="M1841" t="str">
            <v/>
          </cell>
          <cell r="N1841" t="str">
            <v/>
          </cell>
          <cell r="O1841" t="str">
            <v/>
          </cell>
          <cell r="P1841" t="str">
            <v/>
          </cell>
          <cell r="Q1841" t="str">
            <v/>
          </cell>
          <cell r="R1841" t="str">
            <v/>
          </cell>
          <cell r="S1841" t="str">
            <v/>
          </cell>
          <cell r="T1841" t="str">
            <v/>
          </cell>
          <cell r="U1841" t="str">
            <v/>
          </cell>
          <cell r="V1841" t="str">
            <v>N52</v>
          </cell>
          <cell r="W1841" t="str">
            <v/>
          </cell>
          <cell r="X1841" t="str">
            <v/>
          </cell>
          <cell r="Y1841" t="str">
            <v/>
          </cell>
          <cell r="Z1841" t="str">
            <v/>
          </cell>
          <cell r="AA1841" t="str">
            <v/>
          </cell>
          <cell r="AB1841" t="str">
            <v>PA_2262349-DA.7501-4P.3</v>
          </cell>
          <cell r="AC1841">
            <v>5</v>
          </cell>
          <cell r="AD1841" t="str">
            <v/>
          </cell>
          <cell r="AE1841">
            <v>0</v>
          </cell>
          <cell r="AF1841" t="str">
            <v/>
          </cell>
          <cell r="AG1841" t="str">
            <v>1080045</v>
          </cell>
          <cell r="AH1841">
            <v>44965.834930555553</v>
          </cell>
          <cell r="AI1841" t="str">
            <v>N52</v>
          </cell>
          <cell r="AJ1841" t="str">
            <v>F</v>
          </cell>
          <cell r="AK1841" t="str">
            <v/>
          </cell>
        </row>
        <row r="1842">
          <cell r="A1842" t="str">
            <v>1080045</v>
          </cell>
          <cell r="B1842">
            <v>0</v>
          </cell>
          <cell r="C1842" t="e">
            <v>#N/A</v>
          </cell>
          <cell r="D1842" t="str">
            <v>EK65</v>
          </cell>
          <cell r="E1842" t="str">
            <v>708106</v>
          </cell>
          <cell r="F1842" t="str">
            <v>B</v>
          </cell>
          <cell r="G1842" t="str">
            <v>1080045</v>
          </cell>
          <cell r="H1842" t="str">
            <v>Beilage</v>
          </cell>
          <cell r="I1842">
            <v>1</v>
          </cell>
          <cell r="J1842" t="str">
            <v>Stk</v>
          </cell>
          <cell r="K1842">
            <v>44967</v>
          </cell>
          <cell r="L1842" t="str">
            <v/>
          </cell>
          <cell r="M1842" t="str">
            <v/>
          </cell>
          <cell r="N1842" t="str">
            <v/>
          </cell>
          <cell r="O1842" t="str">
            <v/>
          </cell>
          <cell r="P1842" t="str">
            <v/>
          </cell>
          <cell r="Q1842" t="str">
            <v/>
          </cell>
          <cell r="R1842" t="str">
            <v/>
          </cell>
          <cell r="S1842" t="str">
            <v/>
          </cell>
          <cell r="T1842" t="str">
            <v/>
          </cell>
          <cell r="U1842" t="str">
            <v/>
          </cell>
          <cell r="V1842" t="str">
            <v>N52</v>
          </cell>
          <cell r="W1842" t="str">
            <v/>
          </cell>
          <cell r="X1842" t="str">
            <v/>
          </cell>
          <cell r="Y1842" t="str">
            <v/>
          </cell>
          <cell r="Z1842" t="str">
            <v/>
          </cell>
          <cell r="AA1842" t="str">
            <v/>
          </cell>
          <cell r="AB1842" t="str">
            <v>PA_2262349-DA.7501-4P.3</v>
          </cell>
          <cell r="AC1842">
            <v>5</v>
          </cell>
          <cell r="AD1842" t="str">
            <v/>
          </cell>
          <cell r="AE1842">
            <v>0</v>
          </cell>
          <cell r="AF1842" t="str">
            <v/>
          </cell>
          <cell r="AG1842" t="str">
            <v>1080045</v>
          </cell>
          <cell r="AH1842">
            <v>44965.834930555553</v>
          </cell>
          <cell r="AI1842" t="str">
            <v>N52</v>
          </cell>
          <cell r="AJ1842" t="str">
            <v>F</v>
          </cell>
          <cell r="AK1842" t="str">
            <v/>
          </cell>
        </row>
        <row r="1843">
          <cell r="A1843" t="str">
            <v>1080045</v>
          </cell>
          <cell r="B1843">
            <v>0</v>
          </cell>
          <cell r="C1843" t="e">
            <v>#N/A</v>
          </cell>
          <cell r="D1843" t="str">
            <v>EK65</v>
          </cell>
          <cell r="E1843" t="str">
            <v>708107</v>
          </cell>
          <cell r="F1843" t="str">
            <v>B</v>
          </cell>
          <cell r="G1843" t="str">
            <v>1080045</v>
          </cell>
          <cell r="H1843" t="str">
            <v>Beilage</v>
          </cell>
          <cell r="I1843">
            <v>1</v>
          </cell>
          <cell r="J1843" t="str">
            <v>Stk</v>
          </cell>
          <cell r="K1843">
            <v>44967</v>
          </cell>
          <cell r="L1843" t="str">
            <v/>
          </cell>
          <cell r="M1843" t="str">
            <v/>
          </cell>
          <cell r="N1843" t="str">
            <v/>
          </cell>
          <cell r="O1843" t="str">
            <v/>
          </cell>
          <cell r="P1843" t="str">
            <v/>
          </cell>
          <cell r="Q1843" t="str">
            <v/>
          </cell>
          <cell r="R1843" t="str">
            <v/>
          </cell>
          <cell r="S1843" t="str">
            <v/>
          </cell>
          <cell r="T1843" t="str">
            <v/>
          </cell>
          <cell r="U1843" t="str">
            <v/>
          </cell>
          <cell r="V1843" t="str">
            <v>N52</v>
          </cell>
          <cell r="W1843" t="str">
            <v/>
          </cell>
          <cell r="X1843" t="str">
            <v/>
          </cell>
          <cell r="Y1843" t="str">
            <v/>
          </cell>
          <cell r="Z1843" t="str">
            <v/>
          </cell>
          <cell r="AA1843" t="str">
            <v/>
          </cell>
          <cell r="AB1843" t="str">
            <v>PA_2262349-DA.7501-4P.3</v>
          </cell>
          <cell r="AC1843">
            <v>5</v>
          </cell>
          <cell r="AD1843" t="str">
            <v/>
          </cell>
          <cell r="AE1843">
            <v>0</v>
          </cell>
          <cell r="AF1843" t="str">
            <v/>
          </cell>
          <cell r="AG1843" t="str">
            <v>1080045</v>
          </cell>
          <cell r="AH1843">
            <v>44965.834930555553</v>
          </cell>
          <cell r="AI1843" t="str">
            <v>N52</v>
          </cell>
          <cell r="AJ1843" t="str">
            <v>F</v>
          </cell>
          <cell r="AK1843" t="str">
            <v/>
          </cell>
        </row>
        <row r="1844">
          <cell r="A1844" t="str">
            <v>1080045</v>
          </cell>
          <cell r="B1844">
            <v>0</v>
          </cell>
          <cell r="C1844" t="e">
            <v>#N/A</v>
          </cell>
          <cell r="D1844" t="str">
            <v>EK65</v>
          </cell>
          <cell r="E1844" t="str">
            <v>708108</v>
          </cell>
          <cell r="F1844" t="str">
            <v>B</v>
          </cell>
          <cell r="G1844" t="str">
            <v>1080045</v>
          </cell>
          <cell r="H1844" t="str">
            <v>Beilage</v>
          </cell>
          <cell r="I1844">
            <v>1</v>
          </cell>
          <cell r="J1844" t="str">
            <v>Stk</v>
          </cell>
          <cell r="K1844">
            <v>44967</v>
          </cell>
          <cell r="L1844" t="str">
            <v/>
          </cell>
          <cell r="M1844" t="str">
            <v/>
          </cell>
          <cell r="N1844" t="str">
            <v/>
          </cell>
          <cell r="O1844" t="str">
            <v/>
          </cell>
          <cell r="P1844" t="str">
            <v/>
          </cell>
          <cell r="Q1844" t="str">
            <v/>
          </cell>
          <cell r="R1844" t="str">
            <v/>
          </cell>
          <cell r="S1844" t="str">
            <v/>
          </cell>
          <cell r="T1844" t="str">
            <v/>
          </cell>
          <cell r="U1844" t="str">
            <v/>
          </cell>
          <cell r="V1844" t="str">
            <v>N52</v>
          </cell>
          <cell r="W1844" t="str">
            <v/>
          </cell>
          <cell r="X1844" t="str">
            <v/>
          </cell>
          <cell r="Y1844" t="str">
            <v/>
          </cell>
          <cell r="Z1844" t="str">
            <v/>
          </cell>
          <cell r="AA1844" t="str">
            <v/>
          </cell>
          <cell r="AB1844" t="str">
            <v>PA_2262349-DA.7501-4P.3</v>
          </cell>
          <cell r="AC1844">
            <v>5</v>
          </cell>
          <cell r="AD1844" t="str">
            <v/>
          </cell>
          <cell r="AE1844">
            <v>0</v>
          </cell>
          <cell r="AF1844" t="str">
            <v/>
          </cell>
          <cell r="AG1844" t="str">
            <v>1080045</v>
          </cell>
          <cell r="AH1844">
            <v>44965.834930555553</v>
          </cell>
          <cell r="AI1844" t="str">
            <v>N52</v>
          </cell>
          <cell r="AJ1844" t="str">
            <v>F</v>
          </cell>
          <cell r="AK1844" t="str">
            <v/>
          </cell>
        </row>
        <row r="1845">
          <cell r="A1845" t="str">
            <v>1080045</v>
          </cell>
          <cell r="B1845">
            <v>0</v>
          </cell>
          <cell r="C1845" t="e">
            <v>#N/A</v>
          </cell>
          <cell r="D1845" t="str">
            <v>EK65</v>
          </cell>
          <cell r="E1845" t="str">
            <v>708109</v>
          </cell>
          <cell r="F1845" t="str">
            <v>B</v>
          </cell>
          <cell r="G1845" t="str">
            <v>1080045</v>
          </cell>
          <cell r="H1845" t="str">
            <v>Beilage</v>
          </cell>
          <cell r="I1845">
            <v>1</v>
          </cell>
          <cell r="J1845" t="str">
            <v>Stk</v>
          </cell>
          <cell r="K1845">
            <v>44967</v>
          </cell>
          <cell r="L1845" t="str">
            <v/>
          </cell>
          <cell r="M1845" t="str">
            <v/>
          </cell>
          <cell r="N1845" t="str">
            <v/>
          </cell>
          <cell r="O1845" t="str">
            <v/>
          </cell>
          <cell r="P1845" t="str">
            <v/>
          </cell>
          <cell r="Q1845" t="str">
            <v/>
          </cell>
          <cell r="R1845" t="str">
            <v/>
          </cell>
          <cell r="S1845" t="str">
            <v/>
          </cell>
          <cell r="T1845" t="str">
            <v/>
          </cell>
          <cell r="U1845" t="str">
            <v/>
          </cell>
          <cell r="V1845" t="str">
            <v>N52</v>
          </cell>
          <cell r="W1845" t="str">
            <v/>
          </cell>
          <cell r="X1845" t="str">
            <v/>
          </cell>
          <cell r="Y1845" t="str">
            <v/>
          </cell>
          <cell r="Z1845" t="str">
            <v/>
          </cell>
          <cell r="AA1845" t="str">
            <v/>
          </cell>
          <cell r="AB1845" t="str">
            <v>PA_2262349-DA.7501-4P.3</v>
          </cell>
          <cell r="AC1845">
            <v>5</v>
          </cell>
          <cell r="AD1845" t="str">
            <v/>
          </cell>
          <cell r="AE1845">
            <v>0</v>
          </cell>
          <cell r="AF1845" t="str">
            <v/>
          </cell>
          <cell r="AG1845" t="str">
            <v>1080045</v>
          </cell>
          <cell r="AH1845">
            <v>44965.834930555553</v>
          </cell>
          <cell r="AI1845" t="str">
            <v>N52</v>
          </cell>
          <cell r="AJ1845" t="str">
            <v>F</v>
          </cell>
          <cell r="AK1845" t="str">
            <v/>
          </cell>
        </row>
        <row r="1846">
          <cell r="A1846" t="str">
            <v>1080045</v>
          </cell>
          <cell r="B1846">
            <v>0</v>
          </cell>
          <cell r="C1846" t="e">
            <v>#N/A</v>
          </cell>
          <cell r="D1846" t="str">
            <v>EK65</v>
          </cell>
          <cell r="E1846" t="str">
            <v>708110</v>
          </cell>
          <cell r="F1846" t="str">
            <v>B</v>
          </cell>
          <cell r="G1846" t="str">
            <v>1080045</v>
          </cell>
          <cell r="H1846" t="str">
            <v>Beilage</v>
          </cell>
          <cell r="I1846">
            <v>1</v>
          </cell>
          <cell r="J1846" t="str">
            <v>Stk</v>
          </cell>
          <cell r="K1846">
            <v>44967</v>
          </cell>
          <cell r="L1846" t="str">
            <v/>
          </cell>
          <cell r="M1846" t="str">
            <v/>
          </cell>
          <cell r="N1846" t="str">
            <v/>
          </cell>
          <cell r="O1846" t="str">
            <v/>
          </cell>
          <cell r="P1846" t="str">
            <v/>
          </cell>
          <cell r="Q1846" t="str">
            <v/>
          </cell>
          <cell r="R1846" t="str">
            <v/>
          </cell>
          <cell r="S1846" t="str">
            <v/>
          </cell>
          <cell r="T1846" t="str">
            <v/>
          </cell>
          <cell r="U1846" t="str">
            <v/>
          </cell>
          <cell r="V1846" t="str">
            <v>N52</v>
          </cell>
          <cell r="W1846" t="str">
            <v/>
          </cell>
          <cell r="X1846" t="str">
            <v/>
          </cell>
          <cell r="Y1846" t="str">
            <v/>
          </cell>
          <cell r="Z1846" t="str">
            <v/>
          </cell>
          <cell r="AA1846" t="str">
            <v/>
          </cell>
          <cell r="AB1846" t="str">
            <v>PA_2262349-DA.7501-4P.3</v>
          </cell>
          <cell r="AC1846">
            <v>5</v>
          </cell>
          <cell r="AD1846" t="str">
            <v/>
          </cell>
          <cell r="AE1846">
            <v>0</v>
          </cell>
          <cell r="AF1846" t="str">
            <v/>
          </cell>
          <cell r="AG1846" t="str">
            <v>1080045</v>
          </cell>
          <cell r="AH1846">
            <v>44965.834930555553</v>
          </cell>
          <cell r="AI1846" t="str">
            <v>N52</v>
          </cell>
          <cell r="AJ1846" t="str">
            <v>F</v>
          </cell>
          <cell r="AK1846" t="str">
            <v/>
          </cell>
        </row>
        <row r="1847">
          <cell r="A1847" t="str">
            <v>1080045</v>
          </cell>
          <cell r="B1847">
            <v>0</v>
          </cell>
          <cell r="C1847" t="e">
            <v>#N/A</v>
          </cell>
          <cell r="D1847" t="str">
            <v>EK65</v>
          </cell>
          <cell r="E1847" t="str">
            <v>708111</v>
          </cell>
          <cell r="F1847" t="str">
            <v>B</v>
          </cell>
          <cell r="G1847" t="str">
            <v>1080045</v>
          </cell>
          <cell r="H1847" t="str">
            <v>Beilage</v>
          </cell>
          <cell r="I1847">
            <v>1</v>
          </cell>
          <cell r="J1847" t="str">
            <v>Stk</v>
          </cell>
          <cell r="K1847">
            <v>44967</v>
          </cell>
          <cell r="L1847" t="str">
            <v/>
          </cell>
          <cell r="M1847" t="str">
            <v/>
          </cell>
          <cell r="N1847" t="str">
            <v/>
          </cell>
          <cell r="O1847" t="str">
            <v/>
          </cell>
          <cell r="P1847" t="str">
            <v/>
          </cell>
          <cell r="Q1847" t="str">
            <v/>
          </cell>
          <cell r="R1847" t="str">
            <v/>
          </cell>
          <cell r="S1847" t="str">
            <v/>
          </cell>
          <cell r="T1847" t="str">
            <v/>
          </cell>
          <cell r="U1847" t="str">
            <v/>
          </cell>
          <cell r="V1847" t="str">
            <v>N52</v>
          </cell>
          <cell r="W1847" t="str">
            <v/>
          </cell>
          <cell r="X1847" t="str">
            <v/>
          </cell>
          <cell r="Y1847" t="str">
            <v/>
          </cell>
          <cell r="Z1847" t="str">
            <v/>
          </cell>
          <cell r="AA1847" t="str">
            <v/>
          </cell>
          <cell r="AB1847" t="str">
            <v>PA_2262349-DA.7501-4P.3</v>
          </cell>
          <cell r="AC1847">
            <v>5</v>
          </cell>
          <cell r="AD1847" t="str">
            <v/>
          </cell>
          <cell r="AE1847">
            <v>0</v>
          </cell>
          <cell r="AF1847" t="str">
            <v/>
          </cell>
          <cell r="AG1847" t="str">
            <v>1080045</v>
          </cell>
          <cell r="AH1847">
            <v>44965.834930555553</v>
          </cell>
          <cell r="AI1847" t="str">
            <v>N52</v>
          </cell>
          <cell r="AJ1847" t="str">
            <v>F</v>
          </cell>
          <cell r="AK1847" t="str">
            <v/>
          </cell>
        </row>
        <row r="1848">
          <cell r="A1848" t="str">
            <v>1080045</v>
          </cell>
          <cell r="B1848">
            <v>0</v>
          </cell>
          <cell r="C1848" t="e">
            <v>#N/A</v>
          </cell>
          <cell r="D1848" t="str">
            <v>EK65</v>
          </cell>
          <cell r="E1848" t="str">
            <v>708112</v>
          </cell>
          <cell r="F1848" t="str">
            <v>B</v>
          </cell>
          <cell r="G1848" t="str">
            <v>1080045</v>
          </cell>
          <cell r="H1848" t="str">
            <v>Beilage</v>
          </cell>
          <cell r="I1848">
            <v>1</v>
          </cell>
          <cell r="J1848" t="str">
            <v>Stk</v>
          </cell>
          <cell r="K1848">
            <v>44967</v>
          </cell>
          <cell r="L1848" t="str">
            <v/>
          </cell>
          <cell r="M1848" t="str">
            <v/>
          </cell>
          <cell r="N1848" t="str">
            <v/>
          </cell>
          <cell r="O1848" t="str">
            <v/>
          </cell>
          <cell r="P1848" t="str">
            <v/>
          </cell>
          <cell r="Q1848" t="str">
            <v/>
          </cell>
          <cell r="R1848" t="str">
            <v/>
          </cell>
          <cell r="S1848" t="str">
            <v/>
          </cell>
          <cell r="T1848" t="str">
            <v/>
          </cell>
          <cell r="U1848" t="str">
            <v/>
          </cell>
          <cell r="V1848" t="str">
            <v>N52</v>
          </cell>
          <cell r="W1848" t="str">
            <v/>
          </cell>
          <cell r="X1848" t="str">
            <v/>
          </cell>
          <cell r="Y1848" t="str">
            <v/>
          </cell>
          <cell r="Z1848" t="str">
            <v/>
          </cell>
          <cell r="AA1848" t="str">
            <v/>
          </cell>
          <cell r="AB1848" t="str">
            <v>PA_2262349-DA.7501-4P.3</v>
          </cell>
          <cell r="AC1848">
            <v>5</v>
          </cell>
          <cell r="AD1848" t="str">
            <v/>
          </cell>
          <cell r="AE1848">
            <v>0</v>
          </cell>
          <cell r="AF1848" t="str">
            <v/>
          </cell>
          <cell r="AG1848" t="str">
            <v>1080045</v>
          </cell>
          <cell r="AH1848">
            <v>44965.834930555553</v>
          </cell>
          <cell r="AI1848" t="str">
            <v>N52</v>
          </cell>
          <cell r="AJ1848" t="str">
            <v>F</v>
          </cell>
          <cell r="AK1848" t="str">
            <v/>
          </cell>
        </row>
        <row r="1849">
          <cell r="A1849" t="str">
            <v>1080045</v>
          </cell>
          <cell r="B1849">
            <v>0</v>
          </cell>
          <cell r="C1849" t="e">
            <v>#N/A</v>
          </cell>
          <cell r="D1849" t="str">
            <v>EK65</v>
          </cell>
          <cell r="E1849" t="str">
            <v>708113</v>
          </cell>
          <cell r="F1849" t="str">
            <v>B</v>
          </cell>
          <cell r="G1849" t="str">
            <v>1080045</v>
          </cell>
          <cell r="H1849" t="str">
            <v>Beilage</v>
          </cell>
          <cell r="I1849">
            <v>1</v>
          </cell>
          <cell r="J1849" t="str">
            <v>Stk</v>
          </cell>
          <cell r="K1849">
            <v>44967</v>
          </cell>
          <cell r="L1849" t="str">
            <v/>
          </cell>
          <cell r="M1849" t="str">
            <v/>
          </cell>
          <cell r="N1849" t="str">
            <v/>
          </cell>
          <cell r="O1849" t="str">
            <v/>
          </cell>
          <cell r="P1849" t="str">
            <v/>
          </cell>
          <cell r="Q1849" t="str">
            <v/>
          </cell>
          <cell r="R1849" t="str">
            <v/>
          </cell>
          <cell r="S1849" t="str">
            <v/>
          </cell>
          <cell r="T1849" t="str">
            <v/>
          </cell>
          <cell r="U1849" t="str">
            <v/>
          </cell>
          <cell r="V1849" t="str">
            <v>N52</v>
          </cell>
          <cell r="W1849" t="str">
            <v/>
          </cell>
          <cell r="X1849" t="str">
            <v/>
          </cell>
          <cell r="Y1849" t="str">
            <v/>
          </cell>
          <cell r="Z1849" t="str">
            <v/>
          </cell>
          <cell r="AA1849" t="str">
            <v/>
          </cell>
          <cell r="AB1849" t="str">
            <v>PA_2262349-DA.7501-4P.3</v>
          </cell>
          <cell r="AC1849">
            <v>5</v>
          </cell>
          <cell r="AD1849" t="str">
            <v/>
          </cell>
          <cell r="AE1849">
            <v>0</v>
          </cell>
          <cell r="AF1849" t="str">
            <v/>
          </cell>
          <cell r="AG1849" t="str">
            <v>1080045</v>
          </cell>
          <cell r="AH1849">
            <v>44965.834930555553</v>
          </cell>
          <cell r="AI1849" t="str">
            <v>N52</v>
          </cell>
          <cell r="AJ1849" t="str">
            <v>F</v>
          </cell>
          <cell r="AK1849" t="str">
            <v/>
          </cell>
        </row>
        <row r="1850">
          <cell r="A1850" t="str">
            <v>1080045</v>
          </cell>
          <cell r="B1850">
            <v>0</v>
          </cell>
          <cell r="C1850" t="e">
            <v>#N/A</v>
          </cell>
          <cell r="D1850" t="str">
            <v>EK65</v>
          </cell>
          <cell r="E1850" t="str">
            <v>708114</v>
          </cell>
          <cell r="F1850" t="str">
            <v>B</v>
          </cell>
          <cell r="G1850" t="str">
            <v>1080045</v>
          </cell>
          <cell r="H1850" t="str">
            <v>Beilage</v>
          </cell>
          <cell r="I1850">
            <v>1</v>
          </cell>
          <cell r="J1850" t="str">
            <v>Stk</v>
          </cell>
          <cell r="K1850">
            <v>44967</v>
          </cell>
          <cell r="L1850" t="str">
            <v/>
          </cell>
          <cell r="M1850" t="str">
            <v/>
          </cell>
          <cell r="N1850" t="str">
            <v/>
          </cell>
          <cell r="O1850" t="str">
            <v/>
          </cell>
          <cell r="P1850" t="str">
            <v/>
          </cell>
          <cell r="Q1850" t="str">
            <v/>
          </cell>
          <cell r="R1850" t="str">
            <v/>
          </cell>
          <cell r="S1850" t="str">
            <v/>
          </cell>
          <cell r="T1850" t="str">
            <v/>
          </cell>
          <cell r="U1850" t="str">
            <v/>
          </cell>
          <cell r="V1850" t="str">
            <v>N52</v>
          </cell>
          <cell r="W1850" t="str">
            <v/>
          </cell>
          <cell r="X1850" t="str">
            <v/>
          </cell>
          <cell r="Y1850" t="str">
            <v/>
          </cell>
          <cell r="Z1850" t="str">
            <v/>
          </cell>
          <cell r="AA1850" t="str">
            <v/>
          </cell>
          <cell r="AB1850" t="str">
            <v>PA_2262349-DA.7501-4P.3</v>
          </cell>
          <cell r="AC1850">
            <v>5</v>
          </cell>
          <cell r="AD1850" t="str">
            <v/>
          </cell>
          <cell r="AE1850">
            <v>0</v>
          </cell>
          <cell r="AF1850" t="str">
            <v/>
          </cell>
          <cell r="AG1850" t="str">
            <v>1080045</v>
          </cell>
          <cell r="AH1850">
            <v>44965.834930555553</v>
          </cell>
          <cell r="AI1850" t="str">
            <v>N52</v>
          </cell>
          <cell r="AJ1850" t="str">
            <v>F</v>
          </cell>
          <cell r="AK1850" t="str">
            <v/>
          </cell>
        </row>
        <row r="1851">
          <cell r="A1851" t="str">
            <v>1080045</v>
          </cell>
          <cell r="B1851">
            <v>0</v>
          </cell>
          <cell r="C1851" t="e">
            <v>#N/A</v>
          </cell>
          <cell r="D1851" t="str">
            <v>EK65</v>
          </cell>
          <cell r="E1851" t="str">
            <v>708115</v>
          </cell>
          <cell r="F1851" t="str">
            <v>B</v>
          </cell>
          <cell r="G1851" t="str">
            <v>1080045</v>
          </cell>
          <cell r="H1851" t="str">
            <v>Beilage</v>
          </cell>
          <cell r="I1851">
            <v>1</v>
          </cell>
          <cell r="J1851" t="str">
            <v>Stk</v>
          </cell>
          <cell r="K1851">
            <v>44967</v>
          </cell>
          <cell r="L1851" t="str">
            <v/>
          </cell>
          <cell r="M1851" t="str">
            <v/>
          </cell>
          <cell r="N1851" t="str">
            <v/>
          </cell>
          <cell r="O1851" t="str">
            <v/>
          </cell>
          <cell r="P1851" t="str">
            <v/>
          </cell>
          <cell r="Q1851" t="str">
            <v/>
          </cell>
          <cell r="R1851" t="str">
            <v/>
          </cell>
          <cell r="S1851" t="str">
            <v/>
          </cell>
          <cell r="T1851" t="str">
            <v/>
          </cell>
          <cell r="U1851" t="str">
            <v/>
          </cell>
          <cell r="V1851" t="str">
            <v>N52</v>
          </cell>
          <cell r="W1851" t="str">
            <v/>
          </cell>
          <cell r="X1851" t="str">
            <v/>
          </cell>
          <cell r="Y1851" t="str">
            <v/>
          </cell>
          <cell r="Z1851" t="str">
            <v/>
          </cell>
          <cell r="AA1851" t="str">
            <v/>
          </cell>
          <cell r="AB1851" t="str">
            <v>PA_2262349-DA.7501-4P.3</v>
          </cell>
          <cell r="AC1851">
            <v>5</v>
          </cell>
          <cell r="AD1851" t="str">
            <v/>
          </cell>
          <cell r="AE1851">
            <v>0</v>
          </cell>
          <cell r="AF1851" t="str">
            <v/>
          </cell>
          <cell r="AG1851" t="str">
            <v>1080045</v>
          </cell>
          <cell r="AH1851">
            <v>44965.834930555553</v>
          </cell>
          <cell r="AI1851" t="str">
            <v>N52</v>
          </cell>
          <cell r="AJ1851" t="str">
            <v>F</v>
          </cell>
          <cell r="AK1851" t="str">
            <v/>
          </cell>
        </row>
        <row r="1852">
          <cell r="A1852" t="str">
            <v>1080045</v>
          </cell>
          <cell r="B1852">
            <v>0</v>
          </cell>
          <cell r="C1852" t="e">
            <v>#N/A</v>
          </cell>
          <cell r="D1852" t="str">
            <v>EK65</v>
          </cell>
          <cell r="E1852" t="str">
            <v>708116</v>
          </cell>
          <cell r="F1852" t="str">
            <v>B</v>
          </cell>
          <cell r="G1852" t="str">
            <v>1080045</v>
          </cell>
          <cell r="H1852" t="str">
            <v>Beilage</v>
          </cell>
          <cell r="I1852">
            <v>1</v>
          </cell>
          <cell r="J1852" t="str">
            <v>Stk</v>
          </cell>
          <cell r="K1852">
            <v>44967</v>
          </cell>
          <cell r="L1852" t="str">
            <v/>
          </cell>
          <cell r="M1852" t="str">
            <v/>
          </cell>
          <cell r="N1852" t="str">
            <v/>
          </cell>
          <cell r="O1852" t="str">
            <v/>
          </cell>
          <cell r="P1852" t="str">
            <v/>
          </cell>
          <cell r="Q1852" t="str">
            <v/>
          </cell>
          <cell r="R1852" t="str">
            <v/>
          </cell>
          <cell r="S1852" t="str">
            <v/>
          </cell>
          <cell r="T1852" t="str">
            <v/>
          </cell>
          <cell r="U1852" t="str">
            <v/>
          </cell>
          <cell r="V1852" t="str">
            <v>N52</v>
          </cell>
          <cell r="W1852" t="str">
            <v/>
          </cell>
          <cell r="X1852" t="str">
            <v/>
          </cell>
          <cell r="Y1852" t="str">
            <v/>
          </cell>
          <cell r="Z1852" t="str">
            <v/>
          </cell>
          <cell r="AA1852" t="str">
            <v/>
          </cell>
          <cell r="AB1852" t="str">
            <v>PA_2262349-DA.7501-4P.3</v>
          </cell>
          <cell r="AC1852">
            <v>5</v>
          </cell>
          <cell r="AD1852" t="str">
            <v/>
          </cell>
          <cell r="AE1852">
            <v>0</v>
          </cell>
          <cell r="AF1852" t="str">
            <v/>
          </cell>
          <cell r="AG1852" t="str">
            <v>1080045</v>
          </cell>
          <cell r="AH1852">
            <v>44965.834930555553</v>
          </cell>
          <cell r="AI1852" t="str">
            <v>N52</v>
          </cell>
          <cell r="AJ1852" t="str">
            <v>F</v>
          </cell>
          <cell r="AK1852" t="str">
            <v/>
          </cell>
        </row>
        <row r="1853">
          <cell r="A1853" t="str">
            <v>1080045</v>
          </cell>
          <cell r="B1853">
            <v>0</v>
          </cell>
          <cell r="C1853" t="e">
            <v>#N/A</v>
          </cell>
          <cell r="D1853" t="str">
            <v>EK65</v>
          </cell>
          <cell r="E1853" t="str">
            <v>708117</v>
          </cell>
          <cell r="F1853" t="str">
            <v>B</v>
          </cell>
          <cell r="G1853" t="str">
            <v>1080045</v>
          </cell>
          <cell r="H1853" t="str">
            <v>Beilage</v>
          </cell>
          <cell r="I1853">
            <v>1</v>
          </cell>
          <cell r="J1853" t="str">
            <v>Stk</v>
          </cell>
          <cell r="K1853">
            <v>44967</v>
          </cell>
          <cell r="L1853" t="str">
            <v/>
          </cell>
          <cell r="M1853" t="str">
            <v/>
          </cell>
          <cell r="N1853" t="str">
            <v/>
          </cell>
          <cell r="O1853" t="str">
            <v/>
          </cell>
          <cell r="P1853" t="str">
            <v/>
          </cell>
          <cell r="Q1853" t="str">
            <v/>
          </cell>
          <cell r="R1853" t="str">
            <v/>
          </cell>
          <cell r="S1853" t="str">
            <v/>
          </cell>
          <cell r="T1853" t="str">
            <v/>
          </cell>
          <cell r="U1853" t="str">
            <v/>
          </cell>
          <cell r="V1853" t="str">
            <v>N52</v>
          </cell>
          <cell r="W1853" t="str">
            <v/>
          </cell>
          <cell r="X1853" t="str">
            <v/>
          </cell>
          <cell r="Y1853" t="str">
            <v/>
          </cell>
          <cell r="Z1853" t="str">
            <v/>
          </cell>
          <cell r="AA1853" t="str">
            <v/>
          </cell>
          <cell r="AB1853" t="str">
            <v>PA_2262349-DA.7501-4P.3</v>
          </cell>
          <cell r="AC1853">
            <v>5</v>
          </cell>
          <cell r="AD1853" t="str">
            <v/>
          </cell>
          <cell r="AE1853">
            <v>0</v>
          </cell>
          <cell r="AF1853" t="str">
            <v/>
          </cell>
          <cell r="AG1853" t="str">
            <v>1080045</v>
          </cell>
          <cell r="AH1853">
            <v>44965.834930555553</v>
          </cell>
          <cell r="AI1853" t="str">
            <v>N52</v>
          </cell>
          <cell r="AJ1853" t="str">
            <v>F</v>
          </cell>
          <cell r="AK1853" t="str">
            <v/>
          </cell>
        </row>
        <row r="1854">
          <cell r="A1854" t="str">
            <v>1080045</v>
          </cell>
          <cell r="B1854">
            <v>0</v>
          </cell>
          <cell r="C1854" t="e">
            <v>#N/A</v>
          </cell>
          <cell r="D1854" t="str">
            <v>EK65</v>
          </cell>
          <cell r="E1854" t="str">
            <v>708118</v>
          </cell>
          <cell r="F1854" t="str">
            <v>B</v>
          </cell>
          <cell r="G1854" t="str">
            <v>1080045</v>
          </cell>
          <cell r="H1854" t="str">
            <v>Beilage</v>
          </cell>
          <cell r="I1854">
            <v>1</v>
          </cell>
          <cell r="J1854" t="str">
            <v>Stk</v>
          </cell>
          <cell r="K1854">
            <v>44967</v>
          </cell>
          <cell r="L1854" t="str">
            <v/>
          </cell>
          <cell r="M1854" t="str">
            <v/>
          </cell>
          <cell r="N1854" t="str">
            <v/>
          </cell>
          <cell r="O1854" t="str">
            <v/>
          </cell>
          <cell r="P1854" t="str">
            <v/>
          </cell>
          <cell r="Q1854" t="str">
            <v/>
          </cell>
          <cell r="R1854" t="str">
            <v/>
          </cell>
          <cell r="S1854" t="str">
            <v/>
          </cell>
          <cell r="T1854" t="str">
            <v/>
          </cell>
          <cell r="U1854" t="str">
            <v/>
          </cell>
          <cell r="V1854" t="str">
            <v>N52</v>
          </cell>
          <cell r="W1854" t="str">
            <v/>
          </cell>
          <cell r="X1854" t="str">
            <v/>
          </cell>
          <cell r="Y1854" t="str">
            <v/>
          </cell>
          <cell r="Z1854" t="str">
            <v/>
          </cell>
          <cell r="AA1854" t="str">
            <v/>
          </cell>
          <cell r="AB1854" t="str">
            <v>PA_2262349-DA.7501-4P.3</v>
          </cell>
          <cell r="AC1854">
            <v>5</v>
          </cell>
          <cell r="AD1854" t="str">
            <v/>
          </cell>
          <cell r="AE1854">
            <v>0</v>
          </cell>
          <cell r="AF1854" t="str">
            <v/>
          </cell>
          <cell r="AG1854" t="str">
            <v>1080045</v>
          </cell>
          <cell r="AH1854">
            <v>44965.834930555553</v>
          </cell>
          <cell r="AI1854" t="str">
            <v>N52</v>
          </cell>
          <cell r="AJ1854" t="str">
            <v>F</v>
          </cell>
          <cell r="AK1854" t="str">
            <v/>
          </cell>
        </row>
        <row r="1855">
          <cell r="A1855" t="str">
            <v>1080045</v>
          </cell>
          <cell r="B1855">
            <v>0</v>
          </cell>
          <cell r="C1855" t="e">
            <v>#N/A</v>
          </cell>
          <cell r="D1855" t="str">
            <v>EK65</v>
          </cell>
          <cell r="E1855" t="str">
            <v>708119</v>
          </cell>
          <cell r="F1855" t="str">
            <v>B</v>
          </cell>
          <cell r="G1855" t="str">
            <v>1080045</v>
          </cell>
          <cell r="H1855" t="str">
            <v>Beilage</v>
          </cell>
          <cell r="I1855">
            <v>1</v>
          </cell>
          <cell r="J1855" t="str">
            <v>Stk</v>
          </cell>
          <cell r="K1855">
            <v>44967</v>
          </cell>
          <cell r="L1855" t="str">
            <v/>
          </cell>
          <cell r="M1855" t="str">
            <v/>
          </cell>
          <cell r="N1855" t="str">
            <v/>
          </cell>
          <cell r="O1855" t="str">
            <v/>
          </cell>
          <cell r="P1855" t="str">
            <v/>
          </cell>
          <cell r="Q1855" t="str">
            <v/>
          </cell>
          <cell r="R1855" t="str">
            <v/>
          </cell>
          <cell r="S1855" t="str">
            <v/>
          </cell>
          <cell r="T1855" t="str">
            <v/>
          </cell>
          <cell r="U1855" t="str">
            <v/>
          </cell>
          <cell r="V1855" t="str">
            <v>N52</v>
          </cell>
          <cell r="W1855" t="str">
            <v/>
          </cell>
          <cell r="X1855" t="str">
            <v/>
          </cell>
          <cell r="Y1855" t="str">
            <v/>
          </cell>
          <cell r="Z1855" t="str">
            <v/>
          </cell>
          <cell r="AA1855" t="str">
            <v/>
          </cell>
          <cell r="AB1855" t="str">
            <v>PA_2262349-DA.7501-4P.3</v>
          </cell>
          <cell r="AC1855">
            <v>5</v>
          </cell>
          <cell r="AD1855" t="str">
            <v/>
          </cell>
          <cell r="AE1855">
            <v>0</v>
          </cell>
          <cell r="AF1855" t="str">
            <v/>
          </cell>
          <cell r="AG1855" t="str">
            <v>1080045</v>
          </cell>
          <cell r="AH1855">
            <v>44965.834930555553</v>
          </cell>
          <cell r="AI1855" t="str">
            <v>N52</v>
          </cell>
          <cell r="AJ1855" t="str">
            <v>F</v>
          </cell>
          <cell r="AK1855" t="str">
            <v/>
          </cell>
        </row>
        <row r="1856">
          <cell r="A1856" t="str">
            <v>1080045</v>
          </cell>
          <cell r="B1856">
            <v>0</v>
          </cell>
          <cell r="C1856" t="e">
            <v>#N/A</v>
          </cell>
          <cell r="D1856" t="str">
            <v>EK65</v>
          </cell>
          <cell r="E1856" t="str">
            <v>708120</v>
          </cell>
          <cell r="F1856" t="str">
            <v>B</v>
          </cell>
          <cell r="G1856" t="str">
            <v>1080045</v>
          </cell>
          <cell r="H1856" t="str">
            <v>Beilage</v>
          </cell>
          <cell r="I1856">
            <v>1</v>
          </cell>
          <cell r="J1856" t="str">
            <v>Stk</v>
          </cell>
          <cell r="K1856">
            <v>44967</v>
          </cell>
          <cell r="L1856" t="str">
            <v/>
          </cell>
          <cell r="M1856" t="str">
            <v/>
          </cell>
          <cell r="N1856" t="str">
            <v/>
          </cell>
          <cell r="O1856" t="str">
            <v/>
          </cell>
          <cell r="P1856" t="str">
            <v/>
          </cell>
          <cell r="Q1856" t="str">
            <v/>
          </cell>
          <cell r="R1856" t="str">
            <v/>
          </cell>
          <cell r="S1856" t="str">
            <v/>
          </cell>
          <cell r="T1856" t="str">
            <v/>
          </cell>
          <cell r="U1856" t="str">
            <v/>
          </cell>
          <cell r="V1856" t="str">
            <v>N52</v>
          </cell>
          <cell r="W1856" t="str">
            <v/>
          </cell>
          <cell r="X1856" t="str">
            <v/>
          </cell>
          <cell r="Y1856" t="str">
            <v/>
          </cell>
          <cell r="Z1856" t="str">
            <v/>
          </cell>
          <cell r="AA1856" t="str">
            <v/>
          </cell>
          <cell r="AB1856" t="str">
            <v>PA_2262349-DA.7501-4P.3</v>
          </cell>
          <cell r="AC1856">
            <v>5</v>
          </cell>
          <cell r="AD1856" t="str">
            <v/>
          </cell>
          <cell r="AE1856">
            <v>0</v>
          </cell>
          <cell r="AF1856" t="str">
            <v/>
          </cell>
          <cell r="AG1856" t="str">
            <v>1080045</v>
          </cell>
          <cell r="AH1856">
            <v>44965.834930555553</v>
          </cell>
          <cell r="AI1856" t="str">
            <v>N52</v>
          </cell>
          <cell r="AJ1856" t="str">
            <v>F</v>
          </cell>
          <cell r="AK1856" t="str">
            <v/>
          </cell>
        </row>
        <row r="1857">
          <cell r="A1857" t="str">
            <v>1080045</v>
          </cell>
          <cell r="B1857">
            <v>0</v>
          </cell>
          <cell r="C1857" t="e">
            <v>#N/A</v>
          </cell>
          <cell r="D1857" t="str">
            <v>EK65</v>
          </cell>
          <cell r="E1857" t="str">
            <v>708121</v>
          </cell>
          <cell r="F1857" t="str">
            <v>B</v>
          </cell>
          <cell r="G1857" t="str">
            <v>1080045</v>
          </cell>
          <cell r="H1857" t="str">
            <v>Beilage</v>
          </cell>
          <cell r="I1857">
            <v>1</v>
          </cell>
          <cell r="J1857" t="str">
            <v>Stk</v>
          </cell>
          <cell r="K1857">
            <v>44967</v>
          </cell>
          <cell r="L1857" t="str">
            <v/>
          </cell>
          <cell r="M1857" t="str">
            <v/>
          </cell>
          <cell r="N1857" t="str">
            <v/>
          </cell>
          <cell r="O1857" t="str">
            <v/>
          </cell>
          <cell r="P1857" t="str">
            <v/>
          </cell>
          <cell r="Q1857" t="str">
            <v/>
          </cell>
          <cell r="R1857" t="str">
            <v/>
          </cell>
          <cell r="S1857" t="str">
            <v/>
          </cell>
          <cell r="T1857" t="str">
            <v/>
          </cell>
          <cell r="U1857" t="str">
            <v/>
          </cell>
          <cell r="V1857" t="str">
            <v>N52</v>
          </cell>
          <cell r="W1857" t="str">
            <v/>
          </cell>
          <cell r="X1857" t="str">
            <v/>
          </cell>
          <cell r="Y1857" t="str">
            <v/>
          </cell>
          <cell r="Z1857" t="str">
            <v/>
          </cell>
          <cell r="AA1857" t="str">
            <v/>
          </cell>
          <cell r="AB1857" t="str">
            <v>PA_2262349-DA.7501-4P.3</v>
          </cell>
          <cell r="AC1857">
            <v>5</v>
          </cell>
          <cell r="AD1857" t="str">
            <v/>
          </cell>
          <cell r="AE1857">
            <v>0</v>
          </cell>
          <cell r="AF1857" t="str">
            <v/>
          </cell>
          <cell r="AG1857" t="str">
            <v>1080045</v>
          </cell>
          <cell r="AH1857">
            <v>44965.83494212963</v>
          </cell>
          <cell r="AI1857" t="str">
            <v>N52</v>
          </cell>
          <cell r="AJ1857" t="str">
            <v>F</v>
          </cell>
          <cell r="AK1857" t="str">
            <v/>
          </cell>
        </row>
        <row r="1858">
          <cell r="A1858" t="str">
            <v>1080045</v>
          </cell>
          <cell r="B1858">
            <v>0</v>
          </cell>
          <cell r="C1858" t="e">
            <v>#N/A</v>
          </cell>
          <cell r="D1858" t="str">
            <v>EK65</v>
          </cell>
          <cell r="E1858" t="str">
            <v>708122</v>
          </cell>
          <cell r="F1858" t="str">
            <v>B</v>
          </cell>
          <cell r="G1858" t="str">
            <v>1080045</v>
          </cell>
          <cell r="H1858" t="str">
            <v>Beilage</v>
          </cell>
          <cell r="I1858">
            <v>1</v>
          </cell>
          <cell r="J1858" t="str">
            <v>Stk</v>
          </cell>
          <cell r="K1858">
            <v>44967</v>
          </cell>
          <cell r="L1858" t="str">
            <v/>
          </cell>
          <cell r="M1858" t="str">
            <v/>
          </cell>
          <cell r="N1858" t="str">
            <v/>
          </cell>
          <cell r="O1858" t="str">
            <v/>
          </cell>
          <cell r="P1858" t="str">
            <v/>
          </cell>
          <cell r="Q1858" t="str">
            <v/>
          </cell>
          <cell r="R1858" t="str">
            <v/>
          </cell>
          <cell r="S1858" t="str">
            <v/>
          </cell>
          <cell r="T1858" t="str">
            <v/>
          </cell>
          <cell r="U1858" t="str">
            <v/>
          </cell>
          <cell r="V1858" t="str">
            <v>N52</v>
          </cell>
          <cell r="W1858" t="str">
            <v/>
          </cell>
          <cell r="X1858" t="str">
            <v/>
          </cell>
          <cell r="Y1858" t="str">
            <v/>
          </cell>
          <cell r="Z1858" t="str">
            <v/>
          </cell>
          <cell r="AA1858" t="str">
            <v/>
          </cell>
          <cell r="AB1858" t="str">
            <v>PA_2262349-DA.7501-4P.3</v>
          </cell>
          <cell r="AC1858">
            <v>5</v>
          </cell>
          <cell r="AD1858" t="str">
            <v/>
          </cell>
          <cell r="AE1858">
            <v>0</v>
          </cell>
          <cell r="AF1858" t="str">
            <v/>
          </cell>
          <cell r="AG1858" t="str">
            <v>1080045</v>
          </cell>
          <cell r="AH1858">
            <v>44965.83494212963</v>
          </cell>
          <cell r="AI1858" t="str">
            <v>N52</v>
          </cell>
          <cell r="AJ1858" t="str">
            <v>F</v>
          </cell>
          <cell r="AK1858" t="str">
            <v/>
          </cell>
        </row>
        <row r="1859">
          <cell r="A1859" t="str">
            <v>1080045</v>
          </cell>
          <cell r="B1859">
            <v>0</v>
          </cell>
          <cell r="C1859" t="e">
            <v>#N/A</v>
          </cell>
          <cell r="D1859" t="str">
            <v>EK65</v>
          </cell>
          <cell r="E1859" t="str">
            <v>708123</v>
          </cell>
          <cell r="F1859" t="str">
            <v>B</v>
          </cell>
          <cell r="G1859" t="str">
            <v>1080045</v>
          </cell>
          <cell r="H1859" t="str">
            <v>Beilage</v>
          </cell>
          <cell r="I1859">
            <v>1</v>
          </cell>
          <cell r="J1859" t="str">
            <v>Stk</v>
          </cell>
          <cell r="K1859">
            <v>44967</v>
          </cell>
          <cell r="L1859" t="str">
            <v/>
          </cell>
          <cell r="M1859" t="str">
            <v/>
          </cell>
          <cell r="N1859" t="str">
            <v/>
          </cell>
          <cell r="O1859" t="str">
            <v/>
          </cell>
          <cell r="P1859" t="str">
            <v/>
          </cell>
          <cell r="Q1859" t="str">
            <v/>
          </cell>
          <cell r="R1859" t="str">
            <v/>
          </cell>
          <cell r="S1859" t="str">
            <v/>
          </cell>
          <cell r="T1859" t="str">
            <v/>
          </cell>
          <cell r="U1859" t="str">
            <v/>
          </cell>
          <cell r="V1859" t="str">
            <v>N52</v>
          </cell>
          <cell r="W1859" t="str">
            <v/>
          </cell>
          <cell r="X1859" t="str">
            <v/>
          </cell>
          <cell r="Y1859" t="str">
            <v/>
          </cell>
          <cell r="Z1859" t="str">
            <v/>
          </cell>
          <cell r="AA1859" t="str">
            <v/>
          </cell>
          <cell r="AB1859" t="str">
            <v>PA_2262349-DA.7501-4P.3</v>
          </cell>
          <cell r="AC1859">
            <v>5</v>
          </cell>
          <cell r="AD1859" t="str">
            <v/>
          </cell>
          <cell r="AE1859">
            <v>0</v>
          </cell>
          <cell r="AF1859" t="str">
            <v/>
          </cell>
          <cell r="AG1859" t="str">
            <v>1080045</v>
          </cell>
          <cell r="AH1859">
            <v>44965.83494212963</v>
          </cell>
          <cell r="AI1859" t="str">
            <v>N52</v>
          </cell>
          <cell r="AJ1859" t="str">
            <v>F</v>
          </cell>
          <cell r="AK1859" t="str">
            <v/>
          </cell>
        </row>
        <row r="1860">
          <cell r="A1860" t="str">
            <v>1080045</v>
          </cell>
          <cell r="B1860">
            <v>0</v>
          </cell>
          <cell r="C1860" t="e">
            <v>#N/A</v>
          </cell>
          <cell r="D1860" t="str">
            <v>EK65</v>
          </cell>
          <cell r="E1860" t="str">
            <v>708124</v>
          </cell>
          <cell r="F1860" t="str">
            <v>B</v>
          </cell>
          <cell r="G1860" t="str">
            <v>1080045</v>
          </cell>
          <cell r="H1860" t="str">
            <v>Beilage</v>
          </cell>
          <cell r="I1860">
            <v>1</v>
          </cell>
          <cell r="J1860" t="str">
            <v>Stk</v>
          </cell>
          <cell r="K1860">
            <v>44967</v>
          </cell>
          <cell r="L1860" t="str">
            <v/>
          </cell>
          <cell r="M1860" t="str">
            <v/>
          </cell>
          <cell r="N1860" t="str">
            <v/>
          </cell>
          <cell r="O1860" t="str">
            <v/>
          </cell>
          <cell r="P1860" t="str">
            <v/>
          </cell>
          <cell r="Q1860" t="str">
            <v/>
          </cell>
          <cell r="R1860" t="str">
            <v/>
          </cell>
          <cell r="S1860" t="str">
            <v/>
          </cell>
          <cell r="T1860" t="str">
            <v/>
          </cell>
          <cell r="U1860" t="str">
            <v/>
          </cell>
          <cell r="V1860" t="str">
            <v>N52</v>
          </cell>
          <cell r="W1860" t="str">
            <v/>
          </cell>
          <cell r="X1860" t="str">
            <v/>
          </cell>
          <cell r="Y1860" t="str">
            <v/>
          </cell>
          <cell r="Z1860" t="str">
            <v/>
          </cell>
          <cell r="AA1860" t="str">
            <v/>
          </cell>
          <cell r="AB1860" t="str">
            <v>PA_2262349-DA.7501-4P.3</v>
          </cell>
          <cell r="AC1860">
            <v>5</v>
          </cell>
          <cell r="AD1860" t="str">
            <v/>
          </cell>
          <cell r="AE1860">
            <v>0</v>
          </cell>
          <cell r="AF1860" t="str">
            <v/>
          </cell>
          <cell r="AG1860" t="str">
            <v>1080045</v>
          </cell>
          <cell r="AH1860">
            <v>44965.83494212963</v>
          </cell>
          <cell r="AI1860" t="str">
            <v>N52</v>
          </cell>
          <cell r="AJ1860" t="str">
            <v>F</v>
          </cell>
          <cell r="AK1860" t="str">
            <v/>
          </cell>
        </row>
        <row r="1861">
          <cell r="A1861" t="str">
            <v>1080045</v>
          </cell>
          <cell r="B1861">
            <v>0</v>
          </cell>
          <cell r="C1861" t="e">
            <v>#N/A</v>
          </cell>
          <cell r="D1861" t="str">
            <v>EK65</v>
          </cell>
          <cell r="E1861" t="str">
            <v>708125</v>
          </cell>
          <cell r="F1861" t="str">
            <v>B</v>
          </cell>
          <cell r="G1861" t="str">
            <v>1080045</v>
          </cell>
          <cell r="H1861" t="str">
            <v>Beilage</v>
          </cell>
          <cell r="I1861">
            <v>1</v>
          </cell>
          <cell r="J1861" t="str">
            <v>Stk</v>
          </cell>
          <cell r="K1861">
            <v>44967</v>
          </cell>
          <cell r="L1861" t="str">
            <v/>
          </cell>
          <cell r="M1861" t="str">
            <v/>
          </cell>
          <cell r="N1861" t="str">
            <v/>
          </cell>
          <cell r="O1861" t="str">
            <v/>
          </cell>
          <cell r="P1861" t="str">
            <v/>
          </cell>
          <cell r="Q1861" t="str">
            <v/>
          </cell>
          <cell r="R1861" t="str">
            <v/>
          </cell>
          <cell r="S1861" t="str">
            <v/>
          </cell>
          <cell r="T1861" t="str">
            <v/>
          </cell>
          <cell r="U1861" t="str">
            <v/>
          </cell>
          <cell r="V1861" t="str">
            <v>N52</v>
          </cell>
          <cell r="W1861" t="str">
            <v/>
          </cell>
          <cell r="X1861" t="str">
            <v/>
          </cell>
          <cell r="Y1861" t="str">
            <v/>
          </cell>
          <cell r="Z1861" t="str">
            <v/>
          </cell>
          <cell r="AA1861" t="str">
            <v/>
          </cell>
          <cell r="AB1861" t="str">
            <v>PA_2262349-DA.7501-4P.3</v>
          </cell>
          <cell r="AC1861">
            <v>5</v>
          </cell>
          <cell r="AD1861" t="str">
            <v/>
          </cell>
          <cell r="AE1861">
            <v>0</v>
          </cell>
          <cell r="AF1861" t="str">
            <v/>
          </cell>
          <cell r="AG1861" t="str">
            <v>1080045</v>
          </cell>
          <cell r="AH1861">
            <v>44965.83494212963</v>
          </cell>
          <cell r="AI1861" t="str">
            <v>N52</v>
          </cell>
          <cell r="AJ1861" t="str">
            <v>F</v>
          </cell>
          <cell r="AK1861" t="str">
            <v/>
          </cell>
        </row>
        <row r="1862">
          <cell r="A1862" t="str">
            <v>1080045</v>
          </cell>
          <cell r="B1862">
            <v>0</v>
          </cell>
          <cell r="C1862" t="e">
            <v>#N/A</v>
          </cell>
          <cell r="D1862" t="str">
            <v>EK65</v>
          </cell>
          <cell r="E1862" t="str">
            <v>708126</v>
          </cell>
          <cell r="F1862" t="str">
            <v>B</v>
          </cell>
          <cell r="G1862" t="str">
            <v>1080045</v>
          </cell>
          <cell r="H1862" t="str">
            <v>Beilage</v>
          </cell>
          <cell r="I1862">
            <v>1</v>
          </cell>
          <cell r="J1862" t="str">
            <v>Stk</v>
          </cell>
          <cell r="K1862">
            <v>44967</v>
          </cell>
          <cell r="L1862" t="str">
            <v/>
          </cell>
          <cell r="M1862" t="str">
            <v/>
          </cell>
          <cell r="N1862" t="str">
            <v/>
          </cell>
          <cell r="O1862" t="str">
            <v/>
          </cell>
          <cell r="P1862" t="str">
            <v/>
          </cell>
          <cell r="Q1862" t="str">
            <v/>
          </cell>
          <cell r="R1862" t="str">
            <v/>
          </cell>
          <cell r="S1862" t="str">
            <v/>
          </cell>
          <cell r="T1862" t="str">
            <v/>
          </cell>
          <cell r="U1862" t="str">
            <v/>
          </cell>
          <cell r="V1862" t="str">
            <v>N52</v>
          </cell>
          <cell r="W1862" t="str">
            <v/>
          </cell>
          <cell r="X1862" t="str">
            <v/>
          </cell>
          <cell r="Y1862" t="str">
            <v/>
          </cell>
          <cell r="Z1862" t="str">
            <v/>
          </cell>
          <cell r="AA1862" t="str">
            <v/>
          </cell>
          <cell r="AB1862" t="str">
            <v>PA_2262349-DA.7501-4P.3</v>
          </cell>
          <cell r="AC1862">
            <v>5</v>
          </cell>
          <cell r="AD1862" t="str">
            <v/>
          </cell>
          <cell r="AE1862">
            <v>0</v>
          </cell>
          <cell r="AF1862" t="str">
            <v/>
          </cell>
          <cell r="AG1862" t="str">
            <v>1080045</v>
          </cell>
          <cell r="AH1862">
            <v>44965.83494212963</v>
          </cell>
          <cell r="AI1862" t="str">
            <v>N52</v>
          </cell>
          <cell r="AJ1862" t="str">
            <v>F</v>
          </cell>
          <cell r="AK1862" t="str">
            <v/>
          </cell>
        </row>
        <row r="1863">
          <cell r="A1863" t="str">
            <v>1080045</v>
          </cell>
          <cell r="B1863">
            <v>0</v>
          </cell>
          <cell r="C1863" t="e">
            <v>#N/A</v>
          </cell>
          <cell r="D1863" t="str">
            <v>EK65</v>
          </cell>
          <cell r="E1863" t="str">
            <v>708127</v>
          </cell>
          <cell r="F1863" t="str">
            <v>B</v>
          </cell>
          <cell r="G1863" t="str">
            <v>1080045</v>
          </cell>
          <cell r="H1863" t="str">
            <v>Beilage</v>
          </cell>
          <cell r="I1863">
            <v>1</v>
          </cell>
          <cell r="J1863" t="str">
            <v>Stk</v>
          </cell>
          <cell r="K1863">
            <v>44967</v>
          </cell>
          <cell r="L1863" t="str">
            <v/>
          </cell>
          <cell r="M1863" t="str">
            <v/>
          </cell>
          <cell r="N1863" t="str">
            <v/>
          </cell>
          <cell r="O1863" t="str">
            <v/>
          </cell>
          <cell r="P1863" t="str">
            <v/>
          </cell>
          <cell r="Q1863" t="str">
            <v/>
          </cell>
          <cell r="R1863" t="str">
            <v/>
          </cell>
          <cell r="S1863" t="str">
            <v/>
          </cell>
          <cell r="T1863" t="str">
            <v/>
          </cell>
          <cell r="U1863" t="str">
            <v/>
          </cell>
          <cell r="V1863" t="str">
            <v>N52</v>
          </cell>
          <cell r="W1863" t="str">
            <v/>
          </cell>
          <cell r="X1863" t="str">
            <v/>
          </cell>
          <cell r="Y1863" t="str">
            <v/>
          </cell>
          <cell r="Z1863" t="str">
            <v/>
          </cell>
          <cell r="AA1863" t="str">
            <v/>
          </cell>
          <cell r="AB1863" t="str">
            <v>PA_2262349-DA.7501-4P.3</v>
          </cell>
          <cell r="AC1863">
            <v>5</v>
          </cell>
          <cell r="AD1863" t="str">
            <v/>
          </cell>
          <cell r="AE1863">
            <v>0</v>
          </cell>
          <cell r="AF1863" t="str">
            <v/>
          </cell>
          <cell r="AG1863" t="str">
            <v>1080045</v>
          </cell>
          <cell r="AH1863">
            <v>44965.83494212963</v>
          </cell>
          <cell r="AI1863" t="str">
            <v>N52</v>
          </cell>
          <cell r="AJ1863" t="str">
            <v>F</v>
          </cell>
          <cell r="AK1863" t="str">
            <v/>
          </cell>
        </row>
        <row r="1864">
          <cell r="A1864" t="str">
            <v>1080045</v>
          </cell>
          <cell r="B1864">
            <v>0</v>
          </cell>
          <cell r="C1864" t="e">
            <v>#N/A</v>
          </cell>
          <cell r="D1864" t="str">
            <v>EK65</v>
          </cell>
          <cell r="E1864" t="str">
            <v>708128</v>
          </cell>
          <cell r="F1864" t="str">
            <v>B</v>
          </cell>
          <cell r="G1864" t="str">
            <v>1080045</v>
          </cell>
          <cell r="H1864" t="str">
            <v>Beilage</v>
          </cell>
          <cell r="I1864">
            <v>1</v>
          </cell>
          <cell r="J1864" t="str">
            <v>Stk</v>
          </cell>
          <cell r="K1864">
            <v>44967</v>
          </cell>
          <cell r="L1864" t="str">
            <v/>
          </cell>
          <cell r="M1864" t="str">
            <v/>
          </cell>
          <cell r="N1864" t="str">
            <v/>
          </cell>
          <cell r="O1864" t="str">
            <v/>
          </cell>
          <cell r="P1864" t="str">
            <v/>
          </cell>
          <cell r="Q1864" t="str">
            <v/>
          </cell>
          <cell r="R1864" t="str">
            <v/>
          </cell>
          <cell r="S1864" t="str">
            <v/>
          </cell>
          <cell r="T1864" t="str">
            <v/>
          </cell>
          <cell r="U1864" t="str">
            <v/>
          </cell>
          <cell r="V1864" t="str">
            <v>N52</v>
          </cell>
          <cell r="W1864" t="str">
            <v/>
          </cell>
          <cell r="X1864" t="str">
            <v/>
          </cell>
          <cell r="Y1864" t="str">
            <v/>
          </cell>
          <cell r="Z1864" t="str">
            <v/>
          </cell>
          <cell r="AA1864" t="str">
            <v/>
          </cell>
          <cell r="AB1864" t="str">
            <v>PA_2262349-DA.7501-4P.3</v>
          </cell>
          <cell r="AC1864">
            <v>5</v>
          </cell>
          <cell r="AD1864" t="str">
            <v/>
          </cell>
          <cell r="AE1864">
            <v>0</v>
          </cell>
          <cell r="AF1864" t="str">
            <v/>
          </cell>
          <cell r="AG1864" t="str">
            <v>1080045</v>
          </cell>
          <cell r="AH1864">
            <v>44965.83494212963</v>
          </cell>
          <cell r="AI1864" t="str">
            <v>N52</v>
          </cell>
          <cell r="AJ1864" t="str">
            <v>F</v>
          </cell>
          <cell r="AK1864" t="str">
            <v/>
          </cell>
        </row>
        <row r="1865">
          <cell r="A1865" t="str">
            <v>1080045</v>
          </cell>
          <cell r="B1865">
            <v>0</v>
          </cell>
          <cell r="C1865" t="e">
            <v>#N/A</v>
          </cell>
          <cell r="D1865" t="str">
            <v>EK65</v>
          </cell>
          <cell r="E1865" t="str">
            <v>708129</v>
          </cell>
          <cell r="F1865" t="str">
            <v>B</v>
          </cell>
          <cell r="G1865" t="str">
            <v>1080045</v>
          </cell>
          <cell r="H1865" t="str">
            <v>Beilage</v>
          </cell>
          <cell r="I1865">
            <v>1</v>
          </cell>
          <cell r="J1865" t="str">
            <v>Stk</v>
          </cell>
          <cell r="K1865">
            <v>44967</v>
          </cell>
          <cell r="L1865" t="str">
            <v/>
          </cell>
          <cell r="M1865" t="str">
            <v/>
          </cell>
          <cell r="N1865" t="str">
            <v/>
          </cell>
          <cell r="O1865" t="str">
            <v/>
          </cell>
          <cell r="P1865" t="str">
            <v/>
          </cell>
          <cell r="Q1865" t="str">
            <v/>
          </cell>
          <cell r="R1865" t="str">
            <v/>
          </cell>
          <cell r="S1865" t="str">
            <v/>
          </cell>
          <cell r="T1865" t="str">
            <v/>
          </cell>
          <cell r="U1865" t="str">
            <v/>
          </cell>
          <cell r="V1865" t="str">
            <v>N52</v>
          </cell>
          <cell r="W1865" t="str">
            <v/>
          </cell>
          <cell r="X1865" t="str">
            <v/>
          </cell>
          <cell r="Y1865" t="str">
            <v/>
          </cell>
          <cell r="Z1865" t="str">
            <v/>
          </cell>
          <cell r="AA1865" t="str">
            <v/>
          </cell>
          <cell r="AB1865" t="str">
            <v>PA_2262349-DA.7501-4P.3</v>
          </cell>
          <cell r="AC1865">
            <v>5</v>
          </cell>
          <cell r="AD1865" t="str">
            <v/>
          </cell>
          <cell r="AE1865">
            <v>0</v>
          </cell>
          <cell r="AF1865" t="str">
            <v/>
          </cell>
          <cell r="AG1865" t="str">
            <v>1080045</v>
          </cell>
          <cell r="AH1865">
            <v>44965.83494212963</v>
          </cell>
          <cell r="AI1865" t="str">
            <v>N52</v>
          </cell>
          <cell r="AJ1865" t="str">
            <v>F</v>
          </cell>
          <cell r="AK1865" t="str">
            <v/>
          </cell>
        </row>
        <row r="1866">
          <cell r="A1866" t="str">
            <v>5568152</v>
          </cell>
          <cell r="B1866">
            <v>0</v>
          </cell>
          <cell r="C1866" t="e">
            <v>#N/A</v>
          </cell>
          <cell r="D1866" t="str">
            <v>EK65</v>
          </cell>
          <cell r="E1866" t="str">
            <v>708136</v>
          </cell>
          <cell r="F1866" t="str">
            <v>B</v>
          </cell>
          <cell r="G1866" t="str">
            <v>5568152</v>
          </cell>
          <cell r="H1866" t="str">
            <v>ABSTANDSBUCHSE</v>
          </cell>
          <cell r="I1866">
            <v>10</v>
          </cell>
          <cell r="J1866" t="str">
            <v>Stk</v>
          </cell>
          <cell r="K1866">
            <v>44967</v>
          </cell>
          <cell r="L1866" t="str">
            <v/>
          </cell>
          <cell r="M1866" t="str">
            <v/>
          </cell>
          <cell r="N1866" t="str">
            <v/>
          </cell>
          <cell r="O1866" t="str">
            <v/>
          </cell>
          <cell r="P1866" t="str">
            <v/>
          </cell>
          <cell r="Q1866" t="str">
            <v/>
          </cell>
          <cell r="R1866" t="str">
            <v/>
          </cell>
          <cell r="S1866" t="str">
            <v/>
          </cell>
          <cell r="T1866" t="str">
            <v/>
          </cell>
          <cell r="U1866" t="str">
            <v/>
          </cell>
          <cell r="V1866" t="str">
            <v>N52</v>
          </cell>
          <cell r="W1866" t="str">
            <v/>
          </cell>
          <cell r="X1866" t="str">
            <v/>
          </cell>
          <cell r="Y1866" t="str">
            <v/>
          </cell>
          <cell r="Z1866" t="str">
            <v/>
          </cell>
          <cell r="AA1866" t="str">
            <v/>
          </cell>
          <cell r="AB1866" t="str">
            <v>PA_1273216-DC.4011-3MSP.C</v>
          </cell>
          <cell r="AC1866">
            <v>4</v>
          </cell>
          <cell r="AD1866" t="str">
            <v/>
          </cell>
          <cell r="AE1866">
            <v>0</v>
          </cell>
          <cell r="AF1866" t="str">
            <v/>
          </cell>
          <cell r="AG1866" t="str">
            <v>5568152</v>
          </cell>
          <cell r="AH1866">
            <v>44965.83730324074</v>
          </cell>
          <cell r="AI1866" t="str">
            <v>N52</v>
          </cell>
          <cell r="AJ1866" t="str">
            <v>F</v>
          </cell>
          <cell r="AK1866" t="str">
            <v/>
          </cell>
        </row>
        <row r="1867">
          <cell r="A1867" t="str">
            <v>0078443</v>
          </cell>
          <cell r="B1867">
            <v>0</v>
          </cell>
          <cell r="C1867" t="e">
            <v>#N/A</v>
          </cell>
          <cell r="D1867" t="str">
            <v>EK65</v>
          </cell>
          <cell r="E1867" t="str">
            <v>708155</v>
          </cell>
          <cell r="F1867" t="str">
            <v>E</v>
          </cell>
          <cell r="G1867" t="str">
            <v>0078443</v>
          </cell>
          <cell r="H1867" t="str">
            <v>Winkelprofil</v>
          </cell>
          <cell r="I1867">
            <v>18</v>
          </cell>
          <cell r="J1867" t="str">
            <v>Stk</v>
          </cell>
          <cell r="K1867">
            <v>44933</v>
          </cell>
          <cell r="L1867" t="str">
            <v/>
          </cell>
          <cell r="M1867" t="str">
            <v/>
          </cell>
          <cell r="N1867" t="str">
            <v/>
          </cell>
          <cell r="O1867" t="str">
            <v/>
          </cell>
          <cell r="P1867" t="str">
            <v/>
          </cell>
          <cell r="Q1867" t="str">
            <v/>
          </cell>
          <cell r="R1867" t="str">
            <v/>
          </cell>
          <cell r="S1867" t="str">
            <v/>
          </cell>
          <cell r="T1867" t="str">
            <v/>
          </cell>
          <cell r="U1867" t="str">
            <v/>
          </cell>
          <cell r="V1867" t="str">
            <v>N52</v>
          </cell>
          <cell r="W1867" t="str">
            <v/>
          </cell>
          <cell r="X1867" t="str">
            <v/>
          </cell>
          <cell r="Y1867" t="str">
            <v/>
          </cell>
          <cell r="Z1867" t="str">
            <v/>
          </cell>
          <cell r="AA1867" t="str">
            <v/>
          </cell>
          <cell r="AB1867" t="str">
            <v>PA_2109360-CE.6004-2</v>
          </cell>
          <cell r="AC1867">
            <v>1</v>
          </cell>
          <cell r="AD1867" t="str">
            <v/>
          </cell>
          <cell r="AE1867">
            <v>0</v>
          </cell>
          <cell r="AF1867" t="str">
            <v/>
          </cell>
          <cell r="AG1867" t="str">
            <v>0078443</v>
          </cell>
          <cell r="AH1867">
            <v>44965.859282407408</v>
          </cell>
          <cell r="AI1867" t="str">
            <v>N52</v>
          </cell>
          <cell r="AJ1867" t="str">
            <v>F</v>
          </cell>
          <cell r="AK1867" t="str">
            <v/>
          </cell>
        </row>
        <row r="1868">
          <cell r="A1868" t="str">
            <v>0118745</v>
          </cell>
          <cell r="B1868" t="e">
            <v>#N/A</v>
          </cell>
          <cell r="C1868" t="e">
            <v>#N/A</v>
          </cell>
          <cell r="D1868" t="str">
            <v>EK65</v>
          </cell>
          <cell r="E1868" t="str">
            <v>708164</v>
          </cell>
          <cell r="F1868" t="str">
            <v>E</v>
          </cell>
          <cell r="G1868" t="str">
            <v>0118745</v>
          </cell>
          <cell r="H1868" t="str">
            <v>Stirnwandverkleidung Oberteil</v>
          </cell>
          <cell r="I1868">
            <v>1</v>
          </cell>
          <cell r="J1868" t="str">
            <v>Stk</v>
          </cell>
          <cell r="K1868">
            <v>44933</v>
          </cell>
          <cell r="L1868" t="str">
            <v/>
          </cell>
          <cell r="M1868" t="str">
            <v/>
          </cell>
          <cell r="N1868" t="str">
            <v/>
          </cell>
          <cell r="O1868" t="str">
            <v/>
          </cell>
          <cell r="P1868" t="str">
            <v/>
          </cell>
          <cell r="Q1868" t="str">
            <v/>
          </cell>
          <cell r="R1868" t="str">
            <v/>
          </cell>
          <cell r="S1868" t="str">
            <v/>
          </cell>
          <cell r="T1868" t="str">
            <v/>
          </cell>
          <cell r="U1868" t="str">
            <v/>
          </cell>
          <cell r="V1868" t="str">
            <v>N52</v>
          </cell>
          <cell r="W1868" t="str">
            <v/>
          </cell>
          <cell r="X1868" t="str">
            <v>A3</v>
          </cell>
          <cell r="Y1868" t="str">
            <v/>
          </cell>
          <cell r="Z1868" t="str">
            <v/>
          </cell>
          <cell r="AA1868" t="str">
            <v/>
          </cell>
          <cell r="AB1868" t="str">
            <v>PA_2078072-CD.4015-3</v>
          </cell>
          <cell r="AC1868">
            <v>1</v>
          </cell>
          <cell r="AD1868" t="str">
            <v/>
          </cell>
          <cell r="AE1868">
            <v>0</v>
          </cell>
          <cell r="AF1868" t="str">
            <v/>
          </cell>
          <cell r="AG1868" t="str">
            <v>0118745</v>
          </cell>
          <cell r="AH1868">
            <v>44965.859432870369</v>
          </cell>
          <cell r="AI1868" t="str">
            <v>N52</v>
          </cell>
          <cell r="AJ1868" t="str">
            <v>F</v>
          </cell>
          <cell r="AK1868" t="str">
            <v/>
          </cell>
        </row>
        <row r="1869">
          <cell r="A1869" t="str">
            <v>0154203</v>
          </cell>
          <cell r="B1869">
            <v>0</v>
          </cell>
          <cell r="C1869" t="e">
            <v>#N/A</v>
          </cell>
          <cell r="D1869" t="str">
            <v>EK65</v>
          </cell>
          <cell r="E1869" t="str">
            <v>708166</v>
          </cell>
          <cell r="F1869" t="str">
            <v>E</v>
          </cell>
          <cell r="G1869" t="str">
            <v>0154203</v>
          </cell>
          <cell r="H1869" t="str">
            <v>Abdeckblech</v>
          </cell>
          <cell r="I1869">
            <v>9</v>
          </cell>
          <cell r="J1869" t="str">
            <v>Stk</v>
          </cell>
          <cell r="K1869">
            <v>44933</v>
          </cell>
          <cell r="L1869" t="str">
            <v/>
          </cell>
          <cell r="M1869" t="str">
            <v/>
          </cell>
          <cell r="N1869" t="str">
            <v/>
          </cell>
          <cell r="O1869" t="str">
            <v/>
          </cell>
          <cell r="P1869" t="str">
            <v/>
          </cell>
          <cell r="Q1869" t="str">
            <v>entfaellt siehe</v>
          </cell>
          <cell r="R1869" t="str">
            <v>Aem 36</v>
          </cell>
          <cell r="S1869" t="str">
            <v/>
          </cell>
          <cell r="T1869" t="str">
            <v/>
          </cell>
          <cell r="U1869" t="str">
            <v/>
          </cell>
          <cell r="V1869" t="str">
            <v>N32</v>
          </cell>
          <cell r="W1869" t="str">
            <v/>
          </cell>
          <cell r="X1869" t="str">
            <v/>
          </cell>
          <cell r="Y1869" t="str">
            <v/>
          </cell>
          <cell r="Z1869" t="str">
            <v/>
          </cell>
          <cell r="AA1869" t="str">
            <v/>
          </cell>
          <cell r="AB1869" t="str">
            <v>PA_2131770-LA.7001-3</v>
          </cell>
          <cell r="AC1869">
            <v>1</v>
          </cell>
          <cell r="AD1869" t="str">
            <v/>
          </cell>
          <cell r="AE1869">
            <v>0</v>
          </cell>
          <cell r="AF1869" t="str">
            <v/>
          </cell>
          <cell r="AG1869" t="str">
            <v>0154203</v>
          </cell>
          <cell r="AH1869">
            <v>44965.859953703701</v>
          </cell>
          <cell r="AI1869" t="str">
            <v>N32</v>
          </cell>
          <cell r="AJ1869" t="str">
            <v>F</v>
          </cell>
          <cell r="AK1869" t="str">
            <v>A</v>
          </cell>
        </row>
        <row r="1870">
          <cell r="A1870" t="str">
            <v>12637059820541</v>
          </cell>
          <cell r="B1870" t="str">
            <v>Übergabe Task Force</v>
          </cell>
          <cell r="C1870" t="e">
            <v>#N/A</v>
          </cell>
          <cell r="D1870" t="str">
            <v>EK65</v>
          </cell>
          <cell r="E1870" t="str">
            <v>708398</v>
          </cell>
          <cell r="F1870" t="str">
            <v>E</v>
          </cell>
          <cell r="G1870" t="str">
            <v>12637059</v>
          </cell>
          <cell r="H1870" t="str">
            <v>Halter A-Saeule vollst.</v>
          </cell>
          <cell r="I1870">
            <v>176</v>
          </cell>
          <cell r="J1870" t="str">
            <v>Stk</v>
          </cell>
          <cell r="K1870">
            <v>45147</v>
          </cell>
          <cell r="L1870" t="str">
            <v>820541</v>
          </cell>
          <cell r="M1870" t="str">
            <v/>
          </cell>
          <cell r="N1870" t="str">
            <v/>
          </cell>
          <cell r="O1870" t="str">
            <v/>
          </cell>
          <cell r="P1870" t="str">
            <v/>
          </cell>
          <cell r="Q1870" t="str">
            <v/>
          </cell>
          <cell r="R1870" t="str">
            <v/>
          </cell>
          <cell r="S1870" t="str">
            <v/>
          </cell>
          <cell r="T1870" t="str">
            <v/>
          </cell>
          <cell r="U1870" t="str">
            <v/>
          </cell>
          <cell r="V1870" t="str">
            <v>N38</v>
          </cell>
          <cell r="W1870" t="str">
            <v/>
          </cell>
          <cell r="X1870" t="str">
            <v/>
          </cell>
          <cell r="Y1870" t="str">
            <v/>
          </cell>
          <cell r="Z1870" t="str">
            <v/>
          </cell>
          <cell r="AA1870" t="str">
            <v/>
          </cell>
          <cell r="AB1870" t="str">
            <v>PA_5131226-CD.3048-4</v>
          </cell>
          <cell r="AC1870">
            <v>1</v>
          </cell>
          <cell r="AD1870" t="str">
            <v/>
          </cell>
          <cell r="AE1870">
            <v>0</v>
          </cell>
          <cell r="AF1870" t="str">
            <v/>
          </cell>
          <cell r="AG1870" t="str">
            <v>12637059</v>
          </cell>
          <cell r="AH1870">
            <v>44965.90247685185</v>
          </cell>
          <cell r="AI1870" t="str">
            <v>N38</v>
          </cell>
          <cell r="AJ1870" t="str">
            <v>F</v>
          </cell>
          <cell r="AK1870" t="str">
            <v/>
          </cell>
        </row>
        <row r="1871">
          <cell r="A1871" t="str">
            <v>12637062820541</v>
          </cell>
          <cell r="B1871" t="str">
            <v>Übergabe Task Force</v>
          </cell>
          <cell r="C1871" t="e">
            <v>#N/A</v>
          </cell>
          <cell r="D1871" t="str">
            <v>EK65</v>
          </cell>
          <cell r="E1871" t="str">
            <v>708399</v>
          </cell>
          <cell r="F1871" t="str">
            <v>E</v>
          </cell>
          <cell r="G1871" t="str">
            <v>12637062</v>
          </cell>
          <cell r="H1871" t="str">
            <v>Halter A-Saeule vollst.</v>
          </cell>
          <cell r="I1871">
            <v>176</v>
          </cell>
          <cell r="J1871" t="str">
            <v>Stk</v>
          </cell>
          <cell r="K1871">
            <v>45147</v>
          </cell>
          <cell r="L1871" t="str">
            <v>820541</v>
          </cell>
          <cell r="M1871" t="str">
            <v/>
          </cell>
          <cell r="N1871" t="str">
            <v/>
          </cell>
          <cell r="O1871" t="str">
            <v/>
          </cell>
          <cell r="P1871" t="str">
            <v/>
          </cell>
          <cell r="Q1871" t="str">
            <v/>
          </cell>
          <cell r="R1871" t="str">
            <v/>
          </cell>
          <cell r="S1871" t="str">
            <v/>
          </cell>
          <cell r="T1871" t="str">
            <v/>
          </cell>
          <cell r="U1871" t="str">
            <v/>
          </cell>
          <cell r="V1871" t="str">
            <v>N38</v>
          </cell>
          <cell r="W1871" t="str">
            <v/>
          </cell>
          <cell r="X1871" t="str">
            <v/>
          </cell>
          <cell r="Y1871" t="str">
            <v/>
          </cell>
          <cell r="Z1871" t="str">
            <v/>
          </cell>
          <cell r="AA1871" t="str">
            <v/>
          </cell>
          <cell r="AB1871" t="str">
            <v>PA_5131215-CD.3048-4</v>
          </cell>
          <cell r="AC1871">
            <v>1</v>
          </cell>
          <cell r="AD1871" t="str">
            <v/>
          </cell>
          <cell r="AE1871">
            <v>0</v>
          </cell>
          <cell r="AF1871" t="str">
            <v/>
          </cell>
          <cell r="AG1871" t="str">
            <v>12637062</v>
          </cell>
          <cell r="AH1871">
            <v>44965.902488425927</v>
          </cell>
          <cell r="AI1871" t="str">
            <v>N38</v>
          </cell>
          <cell r="AJ1871" t="str">
            <v>F</v>
          </cell>
          <cell r="AK1871" t="str">
            <v/>
          </cell>
        </row>
        <row r="1872">
          <cell r="A1872" t="str">
            <v>12637070820541</v>
          </cell>
          <cell r="B1872" t="str">
            <v>Übergabe Task Force</v>
          </cell>
          <cell r="C1872" t="e">
            <v>#N/A</v>
          </cell>
          <cell r="D1872" t="str">
            <v>EK65</v>
          </cell>
          <cell r="E1872" t="str">
            <v>708400</v>
          </cell>
          <cell r="F1872" t="str">
            <v>E</v>
          </cell>
          <cell r="G1872" t="str">
            <v>12637070</v>
          </cell>
          <cell r="H1872" t="str">
            <v>Halter A-Saeule vollst.</v>
          </cell>
          <cell r="I1872">
            <v>176</v>
          </cell>
          <cell r="J1872" t="str">
            <v>Stk</v>
          </cell>
          <cell r="K1872">
            <v>45147</v>
          </cell>
          <cell r="L1872" t="str">
            <v>820541</v>
          </cell>
          <cell r="M1872" t="str">
            <v/>
          </cell>
          <cell r="N1872" t="str">
            <v/>
          </cell>
          <cell r="O1872" t="str">
            <v/>
          </cell>
          <cell r="P1872" t="str">
            <v/>
          </cell>
          <cell r="Q1872" t="str">
            <v/>
          </cell>
          <cell r="R1872" t="str">
            <v/>
          </cell>
          <cell r="S1872" t="str">
            <v/>
          </cell>
          <cell r="T1872" t="str">
            <v/>
          </cell>
          <cell r="U1872" t="str">
            <v/>
          </cell>
          <cell r="V1872" t="str">
            <v>N38</v>
          </cell>
          <cell r="W1872" t="str">
            <v/>
          </cell>
          <cell r="X1872" t="str">
            <v/>
          </cell>
          <cell r="Y1872" t="str">
            <v/>
          </cell>
          <cell r="Z1872" t="str">
            <v/>
          </cell>
          <cell r="AA1872" t="str">
            <v/>
          </cell>
          <cell r="AB1872" t="str">
            <v>PA_5131224-CD.3048-4</v>
          </cell>
          <cell r="AC1872">
            <v>1</v>
          </cell>
          <cell r="AD1872" t="str">
            <v/>
          </cell>
          <cell r="AE1872">
            <v>0</v>
          </cell>
          <cell r="AF1872" t="str">
            <v/>
          </cell>
          <cell r="AG1872" t="str">
            <v>12637070</v>
          </cell>
          <cell r="AH1872">
            <v>44965.902499999997</v>
          </cell>
          <cell r="AI1872" t="str">
            <v>N38</v>
          </cell>
          <cell r="AJ1872" t="str">
            <v>F</v>
          </cell>
          <cell r="AK1872" t="str">
            <v/>
          </cell>
        </row>
        <row r="1873">
          <cell r="A1873" t="str">
            <v>12637088820541</v>
          </cell>
          <cell r="B1873" t="str">
            <v>Übergabe Task Force</v>
          </cell>
          <cell r="C1873" t="e">
            <v>#N/A</v>
          </cell>
          <cell r="D1873" t="str">
            <v>EK65</v>
          </cell>
          <cell r="E1873" t="str">
            <v>708401</v>
          </cell>
          <cell r="F1873" t="str">
            <v>E</v>
          </cell>
          <cell r="G1873" t="str">
            <v>12637088</v>
          </cell>
          <cell r="H1873" t="str">
            <v>Halter A-Saeule vollst.</v>
          </cell>
          <cell r="I1873">
            <v>176</v>
          </cell>
          <cell r="J1873" t="str">
            <v>Stk</v>
          </cell>
          <cell r="K1873">
            <v>45147</v>
          </cell>
          <cell r="L1873" t="str">
            <v>820541</v>
          </cell>
          <cell r="M1873" t="str">
            <v/>
          </cell>
          <cell r="N1873" t="str">
            <v/>
          </cell>
          <cell r="O1873" t="str">
            <v/>
          </cell>
          <cell r="P1873" t="str">
            <v/>
          </cell>
          <cell r="Q1873" t="str">
            <v/>
          </cell>
          <cell r="R1873" t="str">
            <v/>
          </cell>
          <cell r="S1873" t="str">
            <v/>
          </cell>
          <cell r="T1873" t="str">
            <v/>
          </cell>
          <cell r="U1873" t="str">
            <v/>
          </cell>
          <cell r="V1873" t="str">
            <v>N38</v>
          </cell>
          <cell r="W1873" t="str">
            <v/>
          </cell>
          <cell r="X1873" t="str">
            <v/>
          </cell>
          <cell r="Y1873" t="str">
            <v/>
          </cell>
          <cell r="Z1873" t="str">
            <v/>
          </cell>
          <cell r="AA1873" t="str">
            <v/>
          </cell>
          <cell r="AB1873" t="str">
            <v>PA_5131228-CD.3048-4</v>
          </cell>
          <cell r="AC1873">
            <v>1</v>
          </cell>
          <cell r="AD1873" t="str">
            <v/>
          </cell>
          <cell r="AE1873">
            <v>0</v>
          </cell>
          <cell r="AF1873" t="str">
            <v/>
          </cell>
          <cell r="AG1873" t="str">
            <v>12637088</v>
          </cell>
          <cell r="AH1873">
            <v>44965.902511574073</v>
          </cell>
          <cell r="AI1873" t="str">
            <v>N38</v>
          </cell>
          <cell r="AJ1873" t="str">
            <v>F</v>
          </cell>
          <cell r="AK1873" t="str">
            <v/>
          </cell>
        </row>
        <row r="1874">
          <cell r="A1874" t="str">
            <v>12637138820541</v>
          </cell>
          <cell r="B1874" t="str">
            <v>Übergabe Task Force</v>
          </cell>
          <cell r="C1874" t="e">
            <v>#N/A</v>
          </cell>
          <cell r="D1874" t="str">
            <v>EK65</v>
          </cell>
          <cell r="E1874" t="str">
            <v>708402</v>
          </cell>
          <cell r="F1874" t="str">
            <v>E</v>
          </cell>
          <cell r="G1874" t="str">
            <v>12637138</v>
          </cell>
          <cell r="H1874" t="str">
            <v>Halter A-Saeule links</v>
          </cell>
          <cell r="I1874">
            <v>88</v>
          </cell>
          <cell r="J1874" t="str">
            <v>Stk</v>
          </cell>
          <cell r="K1874">
            <v>45147</v>
          </cell>
          <cell r="L1874" t="str">
            <v>820541</v>
          </cell>
          <cell r="M1874" t="str">
            <v/>
          </cell>
          <cell r="N1874" t="str">
            <v/>
          </cell>
          <cell r="O1874" t="str">
            <v/>
          </cell>
          <cell r="P1874" t="str">
            <v/>
          </cell>
          <cell r="Q1874" t="str">
            <v/>
          </cell>
          <cell r="R1874" t="str">
            <v/>
          </cell>
          <cell r="S1874" t="str">
            <v/>
          </cell>
          <cell r="T1874" t="str">
            <v/>
          </cell>
          <cell r="U1874" t="str">
            <v/>
          </cell>
          <cell r="V1874" t="str">
            <v>N38</v>
          </cell>
          <cell r="W1874" t="str">
            <v/>
          </cell>
          <cell r="X1874" t="str">
            <v/>
          </cell>
          <cell r="Y1874" t="str">
            <v/>
          </cell>
          <cell r="Z1874" t="str">
            <v/>
          </cell>
          <cell r="AA1874" t="str">
            <v/>
          </cell>
          <cell r="AB1874" t="str">
            <v>PA_5131222-CD.3048-4</v>
          </cell>
          <cell r="AC1874">
            <v>1</v>
          </cell>
          <cell r="AD1874" t="str">
            <v/>
          </cell>
          <cell r="AE1874">
            <v>0</v>
          </cell>
          <cell r="AF1874" t="str">
            <v/>
          </cell>
          <cell r="AG1874" t="str">
            <v>12637138</v>
          </cell>
          <cell r="AH1874">
            <v>44965.90252314815</v>
          </cell>
          <cell r="AI1874" t="str">
            <v>N38</v>
          </cell>
          <cell r="AJ1874" t="str">
            <v>F</v>
          </cell>
          <cell r="AK1874" t="str">
            <v/>
          </cell>
        </row>
        <row r="1875">
          <cell r="A1875" t="str">
            <v>12637143820541</v>
          </cell>
          <cell r="B1875" t="str">
            <v>Übergabe Task Force</v>
          </cell>
          <cell r="C1875" t="e">
            <v>#N/A</v>
          </cell>
          <cell r="D1875" t="str">
            <v>EK65</v>
          </cell>
          <cell r="E1875" t="str">
            <v>708403</v>
          </cell>
          <cell r="F1875" t="str">
            <v>E</v>
          </cell>
          <cell r="G1875" t="str">
            <v>12637143</v>
          </cell>
          <cell r="H1875" t="str">
            <v>Halter A-Saeule rechts</v>
          </cell>
          <cell r="I1875">
            <v>88</v>
          </cell>
          <cell r="J1875" t="str">
            <v>Stk</v>
          </cell>
          <cell r="K1875">
            <v>45147</v>
          </cell>
          <cell r="L1875" t="str">
            <v>820541</v>
          </cell>
          <cell r="M1875" t="str">
            <v/>
          </cell>
          <cell r="N1875" t="str">
            <v/>
          </cell>
          <cell r="O1875" t="str">
            <v/>
          </cell>
          <cell r="P1875" t="str">
            <v/>
          </cell>
          <cell r="Q1875" t="str">
            <v/>
          </cell>
          <cell r="R1875" t="str">
            <v/>
          </cell>
          <cell r="S1875" t="str">
            <v/>
          </cell>
          <cell r="T1875" t="str">
            <v/>
          </cell>
          <cell r="U1875" t="str">
            <v/>
          </cell>
          <cell r="V1875" t="str">
            <v>N38</v>
          </cell>
          <cell r="W1875" t="str">
            <v/>
          </cell>
          <cell r="X1875" t="str">
            <v/>
          </cell>
          <cell r="Y1875" t="str">
            <v/>
          </cell>
          <cell r="Z1875" t="str">
            <v/>
          </cell>
          <cell r="AA1875" t="str">
            <v/>
          </cell>
          <cell r="AB1875" t="str">
            <v>PA_5131213-CD.3048-4</v>
          </cell>
          <cell r="AC1875">
            <v>1</v>
          </cell>
          <cell r="AD1875" t="str">
            <v/>
          </cell>
          <cell r="AE1875">
            <v>0</v>
          </cell>
          <cell r="AF1875" t="str">
            <v/>
          </cell>
          <cell r="AG1875" t="str">
            <v>12637143</v>
          </cell>
          <cell r="AH1875">
            <v>44965.902546296296</v>
          </cell>
          <cell r="AI1875" t="str">
            <v>N38</v>
          </cell>
          <cell r="AJ1875" t="str">
            <v>F</v>
          </cell>
          <cell r="AK1875" t="str">
            <v/>
          </cell>
        </row>
        <row r="1876">
          <cell r="A1876" t="str">
            <v>12637156820541</v>
          </cell>
          <cell r="B1876" t="str">
            <v>Übergabe Task Force</v>
          </cell>
          <cell r="C1876" t="e">
            <v>#N/A</v>
          </cell>
          <cell r="D1876" t="str">
            <v>EK65</v>
          </cell>
          <cell r="E1876" t="str">
            <v>708404</v>
          </cell>
          <cell r="F1876" t="str">
            <v>E</v>
          </cell>
          <cell r="G1876" t="str">
            <v>12637156</v>
          </cell>
          <cell r="H1876" t="str">
            <v>Halter A-Saeule rechts</v>
          </cell>
          <cell r="I1876">
            <v>88</v>
          </cell>
          <cell r="J1876" t="str">
            <v>Stk</v>
          </cell>
          <cell r="K1876">
            <v>45147</v>
          </cell>
          <cell r="L1876" t="str">
            <v>820541</v>
          </cell>
          <cell r="M1876" t="str">
            <v/>
          </cell>
          <cell r="N1876" t="str">
            <v/>
          </cell>
          <cell r="O1876" t="str">
            <v/>
          </cell>
          <cell r="P1876" t="str">
            <v/>
          </cell>
          <cell r="Q1876" t="str">
            <v/>
          </cell>
          <cell r="R1876" t="str">
            <v/>
          </cell>
          <cell r="S1876" t="str">
            <v/>
          </cell>
          <cell r="T1876" t="str">
            <v/>
          </cell>
          <cell r="U1876" t="str">
            <v/>
          </cell>
          <cell r="V1876" t="str">
            <v>N38</v>
          </cell>
          <cell r="W1876" t="str">
            <v/>
          </cell>
          <cell r="X1876" t="str">
            <v/>
          </cell>
          <cell r="Y1876" t="str">
            <v/>
          </cell>
          <cell r="Z1876" t="str">
            <v/>
          </cell>
          <cell r="AA1876" t="str">
            <v/>
          </cell>
          <cell r="AB1876" t="str">
            <v>PA_5131217-CD.3048-4</v>
          </cell>
          <cell r="AC1876">
            <v>1</v>
          </cell>
          <cell r="AD1876" t="str">
            <v/>
          </cell>
          <cell r="AE1876">
            <v>0</v>
          </cell>
          <cell r="AF1876" t="str">
            <v/>
          </cell>
          <cell r="AG1876" t="str">
            <v>12637156</v>
          </cell>
          <cell r="AH1876">
            <v>44965.902557870373</v>
          </cell>
          <cell r="AI1876" t="str">
            <v>N38</v>
          </cell>
          <cell r="AJ1876" t="str">
            <v>F</v>
          </cell>
          <cell r="AK1876" t="str">
            <v/>
          </cell>
        </row>
        <row r="1877">
          <cell r="A1877" t="str">
            <v>12637170820541</v>
          </cell>
          <cell r="B1877" t="str">
            <v>Übergabe Task Force</v>
          </cell>
          <cell r="C1877" t="e">
            <v>#N/A</v>
          </cell>
          <cell r="D1877" t="str">
            <v>EK65</v>
          </cell>
          <cell r="E1877" t="str">
            <v>708405</v>
          </cell>
          <cell r="F1877" t="str">
            <v>E</v>
          </cell>
          <cell r="G1877" t="str">
            <v>12637170</v>
          </cell>
          <cell r="H1877" t="str">
            <v>Halter A-Saeule links</v>
          </cell>
          <cell r="I1877">
            <v>88</v>
          </cell>
          <cell r="J1877" t="str">
            <v>Stk</v>
          </cell>
          <cell r="K1877">
            <v>45147</v>
          </cell>
          <cell r="L1877" t="str">
            <v>820541</v>
          </cell>
          <cell r="M1877" t="str">
            <v/>
          </cell>
          <cell r="N1877" t="str">
            <v/>
          </cell>
          <cell r="O1877" t="str">
            <v/>
          </cell>
          <cell r="P1877" t="str">
            <v/>
          </cell>
          <cell r="Q1877" t="str">
            <v/>
          </cell>
          <cell r="R1877" t="str">
            <v/>
          </cell>
          <cell r="S1877" t="str">
            <v/>
          </cell>
          <cell r="T1877" t="str">
            <v/>
          </cell>
          <cell r="U1877" t="str">
            <v/>
          </cell>
          <cell r="V1877" t="str">
            <v>N38</v>
          </cell>
          <cell r="W1877" t="str">
            <v/>
          </cell>
          <cell r="X1877" t="str">
            <v/>
          </cell>
          <cell r="Y1877" t="str">
            <v/>
          </cell>
          <cell r="Z1877" t="str">
            <v/>
          </cell>
          <cell r="AA1877" t="str">
            <v/>
          </cell>
          <cell r="AB1877" t="str">
            <v>PA_5131219-CD.3048-4</v>
          </cell>
          <cell r="AC1877">
            <v>1</v>
          </cell>
          <cell r="AD1877" t="str">
            <v/>
          </cell>
          <cell r="AE1877">
            <v>0</v>
          </cell>
          <cell r="AF1877" t="str">
            <v/>
          </cell>
          <cell r="AG1877" t="str">
            <v>12637170</v>
          </cell>
          <cell r="AH1877">
            <v>44965.902569444443</v>
          </cell>
          <cell r="AI1877" t="str">
            <v>N38</v>
          </cell>
          <cell r="AJ1877" t="str">
            <v>F</v>
          </cell>
          <cell r="AK1877" t="str">
            <v/>
          </cell>
        </row>
        <row r="1878">
          <cell r="A1878" t="str">
            <v>0736049</v>
          </cell>
          <cell r="B1878">
            <v>0</v>
          </cell>
          <cell r="C1878" t="e">
            <v>#N/A</v>
          </cell>
          <cell r="D1878" t="str">
            <v>EK65</v>
          </cell>
          <cell r="E1878" t="str">
            <v>708447</v>
          </cell>
          <cell r="F1878" t="str">
            <v>B</v>
          </cell>
          <cell r="G1878" t="str">
            <v>0736049</v>
          </cell>
          <cell r="H1878" t="str">
            <v>Dehnhuelse 20mm M12</v>
          </cell>
          <cell r="I1878">
            <v>1</v>
          </cell>
          <cell r="J1878" t="str">
            <v>Stk</v>
          </cell>
          <cell r="K1878">
            <v>44968</v>
          </cell>
          <cell r="L1878" t="str">
            <v/>
          </cell>
          <cell r="M1878" t="str">
            <v/>
          </cell>
          <cell r="N1878" t="str">
            <v/>
          </cell>
          <cell r="O1878" t="str">
            <v/>
          </cell>
          <cell r="P1878" t="str">
            <v/>
          </cell>
          <cell r="Q1878" t="str">
            <v/>
          </cell>
          <cell r="R1878" t="str">
            <v/>
          </cell>
          <cell r="S1878" t="str">
            <v/>
          </cell>
          <cell r="T1878" t="str">
            <v/>
          </cell>
          <cell r="U1878" t="str">
            <v/>
          </cell>
          <cell r="V1878" t="str">
            <v>N52</v>
          </cell>
          <cell r="W1878" t="str">
            <v/>
          </cell>
          <cell r="X1878" t="str">
            <v/>
          </cell>
          <cell r="Y1878" t="str">
            <v/>
          </cell>
          <cell r="Z1878" t="str">
            <v/>
          </cell>
          <cell r="AA1878" t="str">
            <v/>
          </cell>
          <cell r="AB1878" t="str">
            <v>PA_2177795-TB.7500-4</v>
          </cell>
          <cell r="AC1878">
            <v>4</v>
          </cell>
          <cell r="AD1878" t="str">
            <v/>
          </cell>
          <cell r="AE1878">
            <v>0</v>
          </cell>
          <cell r="AF1878" t="str">
            <v/>
          </cell>
          <cell r="AG1878" t="str">
            <v>0736049</v>
          </cell>
          <cell r="AH1878">
            <v>44966.834432870368</v>
          </cell>
          <cell r="AI1878" t="str">
            <v>N52</v>
          </cell>
          <cell r="AJ1878" t="str">
            <v>F</v>
          </cell>
          <cell r="AK1878" t="str">
            <v/>
          </cell>
        </row>
        <row r="1879">
          <cell r="A1879" t="str">
            <v>2507165</v>
          </cell>
          <cell r="B1879" t="e">
            <v>#N/A</v>
          </cell>
          <cell r="C1879" t="e">
            <v>#N/A</v>
          </cell>
          <cell r="D1879" t="str">
            <v>EK65</v>
          </cell>
          <cell r="E1879" t="str">
            <v>708480</v>
          </cell>
          <cell r="F1879" t="str">
            <v>B</v>
          </cell>
          <cell r="G1879" t="str">
            <v>2507165</v>
          </cell>
          <cell r="H1879" t="str">
            <v>Distanzstueck</v>
          </cell>
          <cell r="I1879">
            <v>200</v>
          </cell>
          <cell r="J1879" t="str">
            <v>Stk</v>
          </cell>
          <cell r="K1879">
            <v>44968</v>
          </cell>
          <cell r="L1879" t="str">
            <v/>
          </cell>
          <cell r="M1879" t="str">
            <v/>
          </cell>
          <cell r="N1879" t="str">
            <v/>
          </cell>
          <cell r="O1879" t="str">
            <v/>
          </cell>
          <cell r="P1879" t="str">
            <v/>
          </cell>
          <cell r="Q1879" t="str">
            <v/>
          </cell>
          <cell r="R1879" t="str">
            <v/>
          </cell>
          <cell r="S1879" t="str">
            <v/>
          </cell>
          <cell r="T1879" t="str">
            <v/>
          </cell>
          <cell r="U1879" t="str">
            <v/>
          </cell>
          <cell r="V1879" t="str">
            <v>N52</v>
          </cell>
          <cell r="W1879" t="str">
            <v/>
          </cell>
          <cell r="X1879" t="str">
            <v/>
          </cell>
          <cell r="Y1879" t="str">
            <v/>
          </cell>
          <cell r="Z1879" t="str">
            <v/>
          </cell>
          <cell r="AA1879" t="str">
            <v/>
          </cell>
          <cell r="AB1879" t="str">
            <v>PA_2207519-DD.3038-4</v>
          </cell>
          <cell r="AC1879">
            <v>4</v>
          </cell>
          <cell r="AD1879" t="str">
            <v/>
          </cell>
          <cell r="AE1879">
            <v>0</v>
          </cell>
          <cell r="AF1879" t="str">
            <v/>
          </cell>
          <cell r="AG1879" t="str">
            <v>2507165</v>
          </cell>
          <cell r="AH1879">
            <v>44966.835821759261</v>
          </cell>
          <cell r="AI1879" t="str">
            <v>N52</v>
          </cell>
          <cell r="AJ1879" t="str">
            <v>F</v>
          </cell>
          <cell r="AK1879" t="str">
            <v/>
          </cell>
        </row>
        <row r="1880">
          <cell r="A1880" t="str">
            <v>1313565</v>
          </cell>
          <cell r="B1880">
            <v>0</v>
          </cell>
          <cell r="C1880" t="e">
            <v>#N/A</v>
          </cell>
          <cell r="D1880" t="str">
            <v>EK65</v>
          </cell>
          <cell r="E1880" t="str">
            <v>708867</v>
          </cell>
          <cell r="F1880" t="str">
            <v>B</v>
          </cell>
          <cell r="G1880" t="str">
            <v>1313565</v>
          </cell>
          <cell r="H1880" t="str">
            <v>Dehnhuelse M16 / 30mm</v>
          </cell>
          <cell r="I1880">
            <v>12</v>
          </cell>
          <cell r="J1880" t="str">
            <v>Stk</v>
          </cell>
          <cell r="K1880">
            <v>44971</v>
          </cell>
          <cell r="L1880" t="str">
            <v/>
          </cell>
          <cell r="M1880" t="str">
            <v/>
          </cell>
          <cell r="N1880" t="str">
            <v/>
          </cell>
          <cell r="O1880" t="str">
            <v/>
          </cell>
          <cell r="P1880" t="str">
            <v/>
          </cell>
          <cell r="Q1880" t="str">
            <v/>
          </cell>
          <cell r="R1880" t="str">
            <v/>
          </cell>
          <cell r="S1880" t="str">
            <v/>
          </cell>
          <cell r="T1880" t="str">
            <v/>
          </cell>
          <cell r="U1880" t="str">
            <v/>
          </cell>
          <cell r="V1880" t="str">
            <v>N52</v>
          </cell>
          <cell r="W1880" t="str">
            <v/>
          </cell>
          <cell r="X1880" t="str">
            <v/>
          </cell>
          <cell r="Y1880" t="str">
            <v/>
          </cell>
          <cell r="Z1880" t="str">
            <v/>
          </cell>
          <cell r="AA1880" t="str">
            <v/>
          </cell>
          <cell r="AB1880" t="str">
            <v>PA_2174282-UA.7500-4</v>
          </cell>
          <cell r="AC1880">
            <v>4</v>
          </cell>
          <cell r="AD1880" t="str">
            <v/>
          </cell>
          <cell r="AE1880">
            <v>0</v>
          </cell>
          <cell r="AF1880" t="str">
            <v/>
          </cell>
          <cell r="AG1880" t="str">
            <v>1313565</v>
          </cell>
          <cell r="AH1880">
            <v>44967.835173611114</v>
          </cell>
          <cell r="AI1880" t="str">
            <v>N52</v>
          </cell>
          <cell r="AJ1880" t="str">
            <v>F</v>
          </cell>
          <cell r="AK1880" t="str">
            <v/>
          </cell>
        </row>
        <row r="1881">
          <cell r="A1881" t="str">
            <v>12532579829053</v>
          </cell>
          <cell r="B1881" t="e">
            <v>#N/A</v>
          </cell>
          <cell r="C1881">
            <v>12</v>
          </cell>
          <cell r="D1881" t="str">
            <v>EK65</v>
          </cell>
          <cell r="E1881" t="str">
            <v>709012</v>
          </cell>
          <cell r="F1881" t="str">
            <v>E</v>
          </cell>
          <cell r="G1881" t="str">
            <v>12532579</v>
          </cell>
          <cell r="H1881" t="str">
            <v>Halter</v>
          </cell>
          <cell r="I1881">
            <v>51</v>
          </cell>
          <cell r="J1881" t="str">
            <v>Stk</v>
          </cell>
          <cell r="K1881">
            <v>45196</v>
          </cell>
          <cell r="L1881" t="str">
            <v>829053</v>
          </cell>
          <cell r="M1881" t="str">
            <v/>
          </cell>
          <cell r="N1881" t="str">
            <v/>
          </cell>
          <cell r="O1881" t="str">
            <v/>
          </cell>
          <cell r="P1881" t="str">
            <v/>
          </cell>
          <cell r="Q1881" t="str">
            <v/>
          </cell>
          <cell r="R1881" t="str">
            <v/>
          </cell>
          <cell r="S1881" t="str">
            <v/>
          </cell>
          <cell r="T1881" t="str">
            <v/>
          </cell>
          <cell r="U1881" t="str">
            <v/>
          </cell>
          <cell r="V1881" t="str">
            <v>N52</v>
          </cell>
          <cell r="W1881" t="str">
            <v/>
          </cell>
          <cell r="X1881" t="str">
            <v/>
          </cell>
          <cell r="Y1881" t="str">
            <v/>
          </cell>
          <cell r="Z1881" t="str">
            <v/>
          </cell>
          <cell r="AA1881" t="str">
            <v/>
          </cell>
          <cell r="AB1881" t="str">
            <v>PA_4496337-UA.7005-4</v>
          </cell>
          <cell r="AC1881">
            <v>1</v>
          </cell>
          <cell r="AD1881" t="str">
            <v/>
          </cell>
          <cell r="AE1881">
            <v>0</v>
          </cell>
          <cell r="AF1881" t="str">
            <v/>
          </cell>
          <cell r="AG1881" t="str">
            <v>12532579</v>
          </cell>
          <cell r="AH1881">
            <v>44967.929490740738</v>
          </cell>
          <cell r="AI1881" t="str">
            <v>N52</v>
          </cell>
          <cell r="AJ1881" t="str">
            <v>F</v>
          </cell>
          <cell r="AK1881" t="str">
            <v>A</v>
          </cell>
        </row>
        <row r="1882">
          <cell r="A1882" t="str">
            <v>12532579829054</v>
          </cell>
          <cell r="B1882" t="e">
            <v>#N/A</v>
          </cell>
          <cell r="C1882">
            <v>12</v>
          </cell>
          <cell r="D1882" t="str">
            <v>EK65</v>
          </cell>
          <cell r="E1882" t="str">
            <v>709013</v>
          </cell>
          <cell r="F1882" t="str">
            <v>E</v>
          </cell>
          <cell r="G1882" t="str">
            <v>12532579</v>
          </cell>
          <cell r="H1882" t="str">
            <v>Halter</v>
          </cell>
          <cell r="I1882">
            <v>13</v>
          </cell>
          <cell r="J1882" t="str">
            <v>Stk</v>
          </cell>
          <cell r="K1882">
            <v>45252</v>
          </cell>
          <cell r="L1882" t="str">
            <v>829054</v>
          </cell>
          <cell r="M1882" t="str">
            <v/>
          </cell>
          <cell r="N1882" t="str">
            <v/>
          </cell>
          <cell r="O1882" t="str">
            <v/>
          </cell>
          <cell r="P1882" t="str">
            <v/>
          </cell>
          <cell r="Q1882" t="str">
            <v/>
          </cell>
          <cell r="R1882" t="str">
            <v/>
          </cell>
          <cell r="S1882" t="str">
            <v/>
          </cell>
          <cell r="T1882" t="str">
            <v/>
          </cell>
          <cell r="U1882" t="str">
            <v/>
          </cell>
          <cell r="V1882" t="str">
            <v>N52</v>
          </cell>
          <cell r="W1882" t="str">
            <v/>
          </cell>
          <cell r="X1882" t="str">
            <v/>
          </cell>
          <cell r="Y1882" t="str">
            <v/>
          </cell>
          <cell r="Z1882" t="str">
            <v/>
          </cell>
          <cell r="AA1882" t="str">
            <v/>
          </cell>
          <cell r="AB1882" t="str">
            <v>PA_4496337-UA.7005-4</v>
          </cell>
          <cell r="AC1882">
            <v>1</v>
          </cell>
          <cell r="AD1882" t="str">
            <v/>
          </cell>
          <cell r="AE1882">
            <v>0</v>
          </cell>
          <cell r="AF1882" t="str">
            <v/>
          </cell>
          <cell r="AG1882" t="str">
            <v>12532579</v>
          </cell>
          <cell r="AH1882">
            <v>44967.929490740738</v>
          </cell>
          <cell r="AI1882" t="str">
            <v>N52</v>
          </cell>
          <cell r="AJ1882" t="str">
            <v>F</v>
          </cell>
          <cell r="AK1882" t="str">
            <v>A</v>
          </cell>
        </row>
        <row r="1883">
          <cell r="A1883" t="str">
            <v>12532579829051</v>
          </cell>
          <cell r="B1883" t="e">
            <v>#N/A</v>
          </cell>
          <cell r="C1883">
            <v>12</v>
          </cell>
          <cell r="D1883" t="str">
            <v>EK65</v>
          </cell>
          <cell r="E1883" t="str">
            <v>709014</v>
          </cell>
          <cell r="F1883" t="str">
            <v>E</v>
          </cell>
          <cell r="G1883" t="str">
            <v>12532579</v>
          </cell>
          <cell r="H1883" t="str">
            <v>Halter</v>
          </cell>
          <cell r="I1883">
            <v>89</v>
          </cell>
          <cell r="J1883" t="str">
            <v>Stk</v>
          </cell>
          <cell r="K1883">
            <v>45324</v>
          </cell>
          <cell r="L1883" t="str">
            <v>829051</v>
          </cell>
          <cell r="M1883" t="str">
            <v/>
          </cell>
          <cell r="N1883" t="str">
            <v/>
          </cell>
          <cell r="O1883" t="str">
            <v/>
          </cell>
          <cell r="P1883" t="str">
            <v/>
          </cell>
          <cell r="Q1883" t="str">
            <v/>
          </cell>
          <cell r="R1883" t="str">
            <v/>
          </cell>
          <cell r="S1883" t="str">
            <v/>
          </cell>
          <cell r="T1883" t="str">
            <v/>
          </cell>
          <cell r="U1883" t="str">
            <v/>
          </cell>
          <cell r="V1883" t="str">
            <v>N52</v>
          </cell>
          <cell r="W1883" t="str">
            <v/>
          </cell>
          <cell r="X1883" t="str">
            <v/>
          </cell>
          <cell r="Y1883" t="str">
            <v/>
          </cell>
          <cell r="Z1883" t="str">
            <v/>
          </cell>
          <cell r="AA1883" t="str">
            <v/>
          </cell>
          <cell r="AB1883" t="str">
            <v>PA_4496337-UA.7005-4</v>
          </cell>
          <cell r="AC1883">
            <v>1</v>
          </cell>
          <cell r="AD1883" t="str">
            <v/>
          </cell>
          <cell r="AE1883">
            <v>0</v>
          </cell>
          <cell r="AF1883" t="str">
            <v/>
          </cell>
          <cell r="AG1883" t="str">
            <v>12532579</v>
          </cell>
          <cell r="AH1883">
            <v>44967.929490740738</v>
          </cell>
          <cell r="AI1883" t="str">
            <v>N52</v>
          </cell>
          <cell r="AJ1883" t="str">
            <v>F</v>
          </cell>
          <cell r="AK1883" t="str">
            <v>A</v>
          </cell>
        </row>
        <row r="1884">
          <cell r="A1884" t="str">
            <v>12532579829052</v>
          </cell>
          <cell r="B1884" t="str">
            <v>BL20230413-2</v>
          </cell>
          <cell r="C1884">
            <v>12</v>
          </cell>
          <cell r="D1884" t="str">
            <v>EK65</v>
          </cell>
          <cell r="E1884" t="str">
            <v>709015</v>
          </cell>
          <cell r="F1884" t="str">
            <v>E</v>
          </cell>
          <cell r="G1884" t="str">
            <v>12532579</v>
          </cell>
          <cell r="H1884" t="str">
            <v>Halter</v>
          </cell>
          <cell r="I1884">
            <v>31</v>
          </cell>
          <cell r="J1884" t="str">
            <v>Stk</v>
          </cell>
          <cell r="K1884">
            <v>45345</v>
          </cell>
          <cell r="L1884" t="str">
            <v>829052</v>
          </cell>
          <cell r="M1884" t="str">
            <v/>
          </cell>
          <cell r="N1884" t="str">
            <v/>
          </cell>
          <cell r="O1884" t="str">
            <v/>
          </cell>
          <cell r="P1884" t="str">
            <v/>
          </cell>
          <cell r="Q1884" t="str">
            <v/>
          </cell>
          <cell r="R1884" t="str">
            <v/>
          </cell>
          <cell r="S1884" t="str">
            <v/>
          </cell>
          <cell r="T1884" t="str">
            <v/>
          </cell>
          <cell r="U1884" t="str">
            <v/>
          </cell>
          <cell r="V1884" t="str">
            <v>N52</v>
          </cell>
          <cell r="W1884" t="str">
            <v/>
          </cell>
          <cell r="X1884" t="str">
            <v/>
          </cell>
          <cell r="Y1884" t="str">
            <v/>
          </cell>
          <cell r="Z1884" t="str">
            <v/>
          </cell>
          <cell r="AA1884" t="str">
            <v/>
          </cell>
          <cell r="AB1884" t="str">
            <v>PA_4496337-UA.7005-4</v>
          </cell>
          <cell r="AC1884">
            <v>1</v>
          </cell>
          <cell r="AD1884" t="str">
            <v/>
          </cell>
          <cell r="AE1884">
            <v>0</v>
          </cell>
          <cell r="AF1884" t="str">
            <v/>
          </cell>
          <cell r="AG1884" t="str">
            <v>12532579</v>
          </cell>
          <cell r="AH1884">
            <v>44967.929490740738</v>
          </cell>
          <cell r="AI1884" t="str">
            <v>N52</v>
          </cell>
          <cell r="AJ1884" t="str">
            <v>F</v>
          </cell>
          <cell r="AK1884" t="str">
            <v>A</v>
          </cell>
        </row>
        <row r="1885">
          <cell r="A1885" t="str">
            <v>12537218829051</v>
          </cell>
          <cell r="B1885" t="e">
            <v>#N/A</v>
          </cell>
          <cell r="C1885">
            <v>6</v>
          </cell>
          <cell r="D1885" t="str">
            <v>EK65</v>
          </cell>
          <cell r="E1885" t="str">
            <v>709016</v>
          </cell>
          <cell r="F1885" t="str">
            <v>E</v>
          </cell>
          <cell r="G1885" t="str">
            <v>12537218</v>
          </cell>
          <cell r="H1885" t="str">
            <v>Halter</v>
          </cell>
          <cell r="I1885">
            <v>90</v>
          </cell>
          <cell r="J1885" t="str">
            <v>Stk</v>
          </cell>
          <cell r="K1885">
            <v>45330</v>
          </cell>
          <cell r="L1885" t="str">
            <v>829051</v>
          </cell>
          <cell r="M1885" t="str">
            <v/>
          </cell>
          <cell r="N1885" t="str">
            <v/>
          </cell>
          <cell r="O1885" t="str">
            <v/>
          </cell>
          <cell r="P1885" t="str">
            <v/>
          </cell>
          <cell r="Q1885" t="str">
            <v/>
          </cell>
          <cell r="R1885" t="str">
            <v/>
          </cell>
          <cell r="S1885" t="str">
            <v/>
          </cell>
          <cell r="T1885" t="str">
            <v/>
          </cell>
          <cell r="U1885" t="str">
            <v/>
          </cell>
          <cell r="V1885" t="str">
            <v>N52</v>
          </cell>
          <cell r="W1885" t="str">
            <v/>
          </cell>
          <cell r="X1885" t="str">
            <v/>
          </cell>
          <cell r="Y1885" t="str">
            <v/>
          </cell>
          <cell r="Z1885" t="str">
            <v/>
          </cell>
          <cell r="AA1885" t="str">
            <v/>
          </cell>
          <cell r="AB1885" t="str">
            <v>PA_4505231-CF.7004-3</v>
          </cell>
          <cell r="AC1885">
            <v>1</v>
          </cell>
          <cell r="AD1885" t="str">
            <v/>
          </cell>
          <cell r="AE1885">
            <v>0</v>
          </cell>
          <cell r="AF1885" t="str">
            <v/>
          </cell>
          <cell r="AG1885" t="str">
            <v>12537218</v>
          </cell>
          <cell r="AH1885">
            <v>44967.932743055557</v>
          </cell>
          <cell r="AI1885" t="str">
            <v>N52</v>
          </cell>
          <cell r="AJ1885" t="str">
            <v>F</v>
          </cell>
          <cell r="AK1885" t="str">
            <v>A</v>
          </cell>
        </row>
        <row r="1886">
          <cell r="A1886" t="str">
            <v>12537339829051</v>
          </cell>
          <cell r="B1886" t="e">
            <v>#N/A</v>
          </cell>
          <cell r="C1886">
            <v>6</v>
          </cell>
          <cell r="D1886" t="str">
            <v>EK65</v>
          </cell>
          <cell r="E1886" t="str">
            <v>709017</v>
          </cell>
          <cell r="F1886" t="str">
            <v>E</v>
          </cell>
          <cell r="G1886" t="str">
            <v>12537339</v>
          </cell>
          <cell r="H1886" t="str">
            <v>Halter</v>
          </cell>
          <cell r="I1886">
            <v>45</v>
          </cell>
          <cell r="J1886" t="str">
            <v>Stk</v>
          </cell>
          <cell r="K1886">
            <v>45330</v>
          </cell>
          <cell r="L1886" t="str">
            <v>829051</v>
          </cell>
          <cell r="M1886" t="str">
            <v/>
          </cell>
          <cell r="N1886" t="str">
            <v/>
          </cell>
          <cell r="O1886" t="str">
            <v/>
          </cell>
          <cell r="P1886" t="str">
            <v/>
          </cell>
          <cell r="Q1886" t="str">
            <v/>
          </cell>
          <cell r="R1886" t="str">
            <v/>
          </cell>
          <cell r="S1886" t="str">
            <v/>
          </cell>
          <cell r="T1886" t="str">
            <v/>
          </cell>
          <cell r="U1886" t="str">
            <v/>
          </cell>
          <cell r="V1886" t="str">
            <v>N52</v>
          </cell>
          <cell r="W1886" t="str">
            <v/>
          </cell>
          <cell r="X1886" t="str">
            <v/>
          </cell>
          <cell r="Y1886" t="str">
            <v/>
          </cell>
          <cell r="Z1886" t="str">
            <v/>
          </cell>
          <cell r="AA1886" t="str">
            <v/>
          </cell>
          <cell r="AB1886" t="str">
            <v>PA_4619687-CF.7004-3</v>
          </cell>
          <cell r="AC1886">
            <v>1</v>
          </cell>
          <cell r="AD1886" t="str">
            <v/>
          </cell>
          <cell r="AE1886">
            <v>0</v>
          </cell>
          <cell r="AF1886" t="str">
            <v/>
          </cell>
          <cell r="AG1886" t="str">
            <v>12537339</v>
          </cell>
          <cell r="AH1886">
            <v>44967.932800925926</v>
          </cell>
          <cell r="AI1886" t="str">
            <v>N52</v>
          </cell>
          <cell r="AJ1886" t="str">
            <v>F</v>
          </cell>
          <cell r="AK1886" t="str">
            <v>A</v>
          </cell>
        </row>
        <row r="1887">
          <cell r="A1887" t="str">
            <v>12537371829051</v>
          </cell>
          <cell r="B1887" t="e">
            <v>#N/A</v>
          </cell>
          <cell r="C1887">
            <v>6</v>
          </cell>
          <cell r="D1887" t="str">
            <v>EK65</v>
          </cell>
          <cell r="E1887" t="str">
            <v>709018</v>
          </cell>
          <cell r="F1887" t="str">
            <v>E</v>
          </cell>
          <cell r="G1887" t="str">
            <v>12537371</v>
          </cell>
          <cell r="H1887" t="str">
            <v>Beilage 52x45x1</v>
          </cell>
          <cell r="I1887">
            <v>90</v>
          </cell>
          <cell r="J1887" t="str">
            <v>Stk</v>
          </cell>
          <cell r="K1887">
            <v>45330</v>
          </cell>
          <cell r="L1887" t="str">
            <v>829051</v>
          </cell>
          <cell r="M1887" t="str">
            <v/>
          </cell>
          <cell r="N1887" t="str">
            <v/>
          </cell>
          <cell r="O1887" t="str">
            <v/>
          </cell>
          <cell r="P1887" t="str">
            <v/>
          </cell>
          <cell r="Q1887" t="str">
            <v/>
          </cell>
          <cell r="R1887" t="str">
            <v/>
          </cell>
          <cell r="S1887" t="str">
            <v/>
          </cell>
          <cell r="T1887" t="str">
            <v/>
          </cell>
          <cell r="U1887" t="str">
            <v/>
          </cell>
          <cell r="V1887" t="str">
            <v>N52</v>
          </cell>
          <cell r="W1887" t="str">
            <v/>
          </cell>
          <cell r="X1887" t="str">
            <v/>
          </cell>
          <cell r="Y1887" t="str">
            <v/>
          </cell>
          <cell r="Z1887" t="str">
            <v/>
          </cell>
          <cell r="AA1887" t="str">
            <v/>
          </cell>
          <cell r="AB1887" t="str">
            <v>PA_4621535-CF.7004-4</v>
          </cell>
          <cell r="AC1887">
            <v>1</v>
          </cell>
          <cell r="AD1887" t="str">
            <v/>
          </cell>
          <cell r="AE1887">
            <v>0</v>
          </cell>
          <cell r="AF1887" t="str">
            <v/>
          </cell>
          <cell r="AG1887" t="str">
            <v>12537371</v>
          </cell>
          <cell r="AH1887">
            <v>44967.932812500003</v>
          </cell>
          <cell r="AI1887" t="str">
            <v>N52</v>
          </cell>
          <cell r="AJ1887" t="str">
            <v>F</v>
          </cell>
          <cell r="AK1887" t="str">
            <v>A</v>
          </cell>
        </row>
        <row r="1888">
          <cell r="A1888" t="str">
            <v>12537388829051</v>
          </cell>
          <cell r="B1888" t="e">
            <v>#N/A</v>
          </cell>
          <cell r="C1888">
            <v>6</v>
          </cell>
          <cell r="D1888" t="str">
            <v>EK65</v>
          </cell>
          <cell r="E1888" t="str">
            <v>709019</v>
          </cell>
          <cell r="F1888" t="str">
            <v>E</v>
          </cell>
          <cell r="G1888" t="str">
            <v>12537388</v>
          </cell>
          <cell r="H1888" t="str">
            <v>Beilage 52x45x2</v>
          </cell>
          <cell r="I1888">
            <v>90</v>
          </cell>
          <cell r="J1888" t="str">
            <v>Stk</v>
          </cell>
          <cell r="K1888">
            <v>45330</v>
          </cell>
          <cell r="L1888" t="str">
            <v>829051</v>
          </cell>
          <cell r="M1888" t="str">
            <v/>
          </cell>
          <cell r="N1888" t="str">
            <v/>
          </cell>
          <cell r="O1888" t="str">
            <v/>
          </cell>
          <cell r="P1888" t="str">
            <v/>
          </cell>
          <cell r="Q1888" t="str">
            <v/>
          </cell>
          <cell r="R1888" t="str">
            <v/>
          </cell>
          <cell r="S1888" t="str">
            <v/>
          </cell>
          <cell r="T1888" t="str">
            <v/>
          </cell>
          <cell r="U1888" t="str">
            <v/>
          </cell>
          <cell r="V1888" t="str">
            <v>N52</v>
          </cell>
          <cell r="W1888" t="str">
            <v/>
          </cell>
          <cell r="X1888" t="str">
            <v/>
          </cell>
          <cell r="Y1888" t="str">
            <v/>
          </cell>
          <cell r="Z1888" t="str">
            <v/>
          </cell>
          <cell r="AA1888" t="str">
            <v/>
          </cell>
          <cell r="AB1888" t="str">
            <v>PA_4621554-CF.7004-4</v>
          </cell>
          <cell r="AC1888">
            <v>1</v>
          </cell>
          <cell r="AD1888" t="str">
            <v/>
          </cell>
          <cell r="AE1888">
            <v>0</v>
          </cell>
          <cell r="AF1888" t="str">
            <v/>
          </cell>
          <cell r="AG1888" t="str">
            <v>12537388</v>
          </cell>
          <cell r="AH1888">
            <v>44967.932835648149</v>
          </cell>
          <cell r="AI1888" t="str">
            <v>N52</v>
          </cell>
          <cell r="AJ1888" t="str">
            <v>F</v>
          </cell>
          <cell r="AK1888" t="str">
            <v>A</v>
          </cell>
        </row>
        <row r="1889">
          <cell r="A1889" t="str">
            <v>12542756829051</v>
          </cell>
          <cell r="B1889" t="str">
            <v>BL20230413-2</v>
          </cell>
          <cell r="C1889">
            <v>6</v>
          </cell>
          <cell r="D1889" t="str">
            <v>EK65</v>
          </cell>
          <cell r="E1889" t="str">
            <v>709020</v>
          </cell>
          <cell r="F1889" t="str">
            <v>E</v>
          </cell>
          <cell r="G1889" t="str">
            <v>12542756</v>
          </cell>
          <cell r="H1889" t="str">
            <v>Halter</v>
          </cell>
          <cell r="I1889">
            <v>45</v>
          </cell>
          <cell r="J1889" t="str">
            <v>Stk</v>
          </cell>
          <cell r="K1889">
            <v>45335</v>
          </cell>
          <cell r="L1889" t="str">
            <v>829051</v>
          </cell>
          <cell r="M1889" t="str">
            <v/>
          </cell>
          <cell r="N1889" t="str">
            <v/>
          </cell>
          <cell r="O1889" t="str">
            <v/>
          </cell>
          <cell r="P1889" t="str">
            <v/>
          </cell>
          <cell r="Q1889" t="str">
            <v/>
          </cell>
          <cell r="R1889" t="str">
            <v/>
          </cell>
          <cell r="S1889" t="str">
            <v/>
          </cell>
          <cell r="T1889" t="str">
            <v/>
          </cell>
          <cell r="U1889" t="str">
            <v/>
          </cell>
          <cell r="V1889" t="str">
            <v>N52</v>
          </cell>
          <cell r="W1889" t="str">
            <v/>
          </cell>
          <cell r="X1889" t="str">
            <v/>
          </cell>
          <cell r="Y1889" t="str">
            <v/>
          </cell>
          <cell r="Z1889" t="str">
            <v/>
          </cell>
          <cell r="AA1889" t="str">
            <v/>
          </cell>
          <cell r="AB1889" t="str">
            <v>PA_4661238-CF.7004-3</v>
          </cell>
          <cell r="AC1889">
            <v>1</v>
          </cell>
          <cell r="AD1889" t="str">
            <v/>
          </cell>
          <cell r="AE1889">
            <v>0</v>
          </cell>
          <cell r="AF1889" t="str">
            <v/>
          </cell>
          <cell r="AG1889" t="str">
            <v>12542756</v>
          </cell>
          <cell r="AH1889">
            <v>44967.934733796297</v>
          </cell>
          <cell r="AI1889" t="str">
            <v>N52</v>
          </cell>
          <cell r="AJ1889" t="str">
            <v>F</v>
          </cell>
          <cell r="AK1889" t="str">
            <v>A</v>
          </cell>
        </row>
        <row r="1890">
          <cell r="A1890" t="str">
            <v>12617786829054</v>
          </cell>
          <cell r="B1890" t="e">
            <v>#N/A</v>
          </cell>
          <cell r="C1890">
            <v>8</v>
          </cell>
          <cell r="D1890" t="str">
            <v>EK65</v>
          </cell>
          <cell r="E1890" t="str">
            <v>709023</v>
          </cell>
          <cell r="F1890" t="str">
            <v>E</v>
          </cell>
          <cell r="G1890" t="str">
            <v>12617786</v>
          </cell>
          <cell r="H1890" t="str">
            <v>Halter</v>
          </cell>
          <cell r="I1890">
            <v>47</v>
          </cell>
          <cell r="J1890" t="str">
            <v>Stk</v>
          </cell>
          <cell r="K1890">
            <v>45148</v>
          </cell>
          <cell r="L1890" t="str">
            <v>829054</v>
          </cell>
          <cell r="M1890" t="str">
            <v/>
          </cell>
          <cell r="N1890" t="str">
            <v/>
          </cell>
          <cell r="O1890" t="str">
            <v/>
          </cell>
          <cell r="P1890" t="str">
            <v/>
          </cell>
          <cell r="Q1890" t="str">
            <v/>
          </cell>
          <cell r="R1890" t="str">
            <v/>
          </cell>
          <cell r="S1890" t="str">
            <v/>
          </cell>
          <cell r="T1890" t="str">
            <v/>
          </cell>
          <cell r="U1890" t="str">
            <v/>
          </cell>
          <cell r="V1890" t="str">
            <v>N52</v>
          </cell>
          <cell r="W1890" t="str">
            <v/>
          </cell>
          <cell r="X1890" t="str">
            <v/>
          </cell>
          <cell r="Y1890" t="str">
            <v/>
          </cell>
          <cell r="Z1890" t="str">
            <v/>
          </cell>
          <cell r="AA1890" t="str">
            <v/>
          </cell>
          <cell r="AB1890" t="str">
            <v>PA_5031231-UA.7004-2</v>
          </cell>
          <cell r="AC1890">
            <v>1</v>
          </cell>
          <cell r="AD1890" t="str">
            <v/>
          </cell>
          <cell r="AE1890">
            <v>0</v>
          </cell>
          <cell r="AF1890" t="str">
            <v/>
          </cell>
          <cell r="AG1890" t="str">
            <v>12617786</v>
          </cell>
          <cell r="AH1890">
            <v>44967.943564814814</v>
          </cell>
          <cell r="AI1890" t="str">
            <v>N52</v>
          </cell>
          <cell r="AJ1890" t="str">
            <v>F</v>
          </cell>
          <cell r="AK1890" t="str">
            <v>A</v>
          </cell>
        </row>
        <row r="1891">
          <cell r="A1891" t="str">
            <v>12617786829052</v>
          </cell>
          <cell r="B1891" t="e">
            <v>#N/A</v>
          </cell>
          <cell r="C1891">
            <v>8</v>
          </cell>
          <cell r="D1891" t="str">
            <v>EK65</v>
          </cell>
          <cell r="E1891" t="str">
            <v>709024</v>
          </cell>
          <cell r="F1891" t="str">
            <v>E</v>
          </cell>
          <cell r="G1891" t="str">
            <v>12617786</v>
          </cell>
          <cell r="H1891" t="str">
            <v>Halter</v>
          </cell>
          <cell r="I1891">
            <v>104</v>
          </cell>
          <cell r="J1891" t="str">
            <v>Stk</v>
          </cell>
          <cell r="K1891">
            <v>45154</v>
          </cell>
          <cell r="L1891" t="str">
            <v>829052</v>
          </cell>
          <cell r="M1891" t="str">
            <v/>
          </cell>
          <cell r="N1891" t="str">
            <v/>
          </cell>
          <cell r="O1891" t="str">
            <v/>
          </cell>
          <cell r="P1891" t="str">
            <v/>
          </cell>
          <cell r="Q1891" t="str">
            <v/>
          </cell>
          <cell r="R1891" t="str">
            <v/>
          </cell>
          <cell r="S1891" t="str">
            <v/>
          </cell>
          <cell r="T1891" t="str">
            <v/>
          </cell>
          <cell r="U1891" t="str">
            <v/>
          </cell>
          <cell r="V1891" t="str">
            <v>N52</v>
          </cell>
          <cell r="W1891" t="str">
            <v/>
          </cell>
          <cell r="X1891" t="str">
            <v/>
          </cell>
          <cell r="Y1891" t="str">
            <v/>
          </cell>
          <cell r="Z1891" t="str">
            <v/>
          </cell>
          <cell r="AA1891" t="str">
            <v/>
          </cell>
          <cell r="AB1891" t="str">
            <v>PA_5031231-UA.7004-2</v>
          </cell>
          <cell r="AC1891">
            <v>1</v>
          </cell>
          <cell r="AD1891" t="str">
            <v/>
          </cell>
          <cell r="AE1891">
            <v>0</v>
          </cell>
          <cell r="AF1891" t="str">
            <v/>
          </cell>
          <cell r="AG1891" t="str">
            <v>12617786</v>
          </cell>
          <cell r="AH1891">
            <v>44967.943564814814</v>
          </cell>
          <cell r="AI1891" t="str">
            <v>N52</v>
          </cell>
          <cell r="AJ1891" t="str">
            <v>F</v>
          </cell>
          <cell r="AK1891" t="str">
            <v>A</v>
          </cell>
        </row>
        <row r="1892">
          <cell r="A1892" t="str">
            <v>12617786829053</v>
          </cell>
          <cell r="B1892" t="e">
            <v>#N/A</v>
          </cell>
          <cell r="C1892">
            <v>8</v>
          </cell>
          <cell r="D1892" t="str">
            <v>EK65</v>
          </cell>
          <cell r="E1892" t="str">
            <v>709025</v>
          </cell>
          <cell r="F1892" t="str">
            <v>E</v>
          </cell>
          <cell r="G1892" t="str">
            <v>12617786</v>
          </cell>
          <cell r="H1892" t="str">
            <v>Halter</v>
          </cell>
          <cell r="I1892">
            <v>112</v>
          </cell>
          <cell r="J1892" t="str">
            <v>Stk</v>
          </cell>
          <cell r="K1892">
            <v>45185</v>
          </cell>
          <cell r="L1892" t="str">
            <v>829053</v>
          </cell>
          <cell r="M1892" t="str">
            <v/>
          </cell>
          <cell r="N1892" t="str">
            <v/>
          </cell>
          <cell r="O1892" t="str">
            <v/>
          </cell>
          <cell r="P1892" t="str">
            <v/>
          </cell>
          <cell r="Q1892" t="str">
            <v/>
          </cell>
          <cell r="R1892" t="str">
            <v/>
          </cell>
          <cell r="S1892" t="str">
            <v/>
          </cell>
          <cell r="T1892" t="str">
            <v/>
          </cell>
          <cell r="U1892" t="str">
            <v/>
          </cell>
          <cell r="V1892" t="str">
            <v>N52</v>
          </cell>
          <cell r="W1892" t="str">
            <v/>
          </cell>
          <cell r="X1892" t="str">
            <v/>
          </cell>
          <cell r="Y1892" t="str">
            <v/>
          </cell>
          <cell r="Z1892" t="str">
            <v/>
          </cell>
          <cell r="AA1892" t="str">
            <v/>
          </cell>
          <cell r="AB1892" t="str">
            <v>PA_5031231-UA.7004-2</v>
          </cell>
          <cell r="AC1892">
            <v>1</v>
          </cell>
          <cell r="AD1892" t="str">
            <v/>
          </cell>
          <cell r="AE1892">
            <v>0</v>
          </cell>
          <cell r="AF1892" t="str">
            <v/>
          </cell>
          <cell r="AG1892" t="str">
            <v>12617786</v>
          </cell>
          <cell r="AH1892">
            <v>44967.943564814814</v>
          </cell>
          <cell r="AI1892" t="str">
            <v>N52</v>
          </cell>
          <cell r="AJ1892" t="str">
            <v>F</v>
          </cell>
          <cell r="AK1892" t="str">
            <v>A</v>
          </cell>
        </row>
        <row r="1893">
          <cell r="A1893" t="str">
            <v>12617786829051</v>
          </cell>
          <cell r="B1893" t="e">
            <v>#N/A</v>
          </cell>
          <cell r="C1893">
            <v>8</v>
          </cell>
          <cell r="D1893" t="str">
            <v>EK65</v>
          </cell>
          <cell r="E1893" t="str">
            <v>709026</v>
          </cell>
          <cell r="F1893" t="str">
            <v>E</v>
          </cell>
          <cell r="G1893" t="str">
            <v>12617786</v>
          </cell>
          <cell r="H1893" t="str">
            <v>Halter</v>
          </cell>
          <cell r="I1893">
            <v>181</v>
          </cell>
          <cell r="J1893" t="str">
            <v>Stk</v>
          </cell>
          <cell r="K1893">
            <v>45315</v>
          </cell>
          <cell r="L1893" t="str">
            <v>829051</v>
          </cell>
          <cell r="M1893" t="str">
            <v/>
          </cell>
          <cell r="N1893" t="str">
            <v/>
          </cell>
          <cell r="O1893" t="str">
            <v/>
          </cell>
          <cell r="P1893" t="str">
            <v/>
          </cell>
          <cell r="Q1893" t="str">
            <v/>
          </cell>
          <cell r="R1893" t="str">
            <v/>
          </cell>
          <cell r="S1893" t="str">
            <v/>
          </cell>
          <cell r="T1893" t="str">
            <v/>
          </cell>
          <cell r="U1893" t="str">
            <v/>
          </cell>
          <cell r="V1893" t="str">
            <v>N52</v>
          </cell>
          <cell r="W1893" t="str">
            <v/>
          </cell>
          <cell r="X1893" t="str">
            <v/>
          </cell>
          <cell r="Y1893" t="str">
            <v/>
          </cell>
          <cell r="Z1893" t="str">
            <v/>
          </cell>
          <cell r="AA1893" t="str">
            <v/>
          </cell>
          <cell r="AB1893" t="str">
            <v>PA_5031231-UA.7004-2</v>
          </cell>
          <cell r="AC1893">
            <v>1</v>
          </cell>
          <cell r="AD1893" t="str">
            <v/>
          </cell>
          <cell r="AE1893">
            <v>0</v>
          </cell>
          <cell r="AF1893" t="str">
            <v/>
          </cell>
          <cell r="AG1893" t="str">
            <v>12617786</v>
          </cell>
          <cell r="AH1893">
            <v>44967.943564814814</v>
          </cell>
          <cell r="AI1893" t="str">
            <v>N52</v>
          </cell>
          <cell r="AJ1893" t="str">
            <v>F</v>
          </cell>
          <cell r="AK1893" t="str">
            <v>A</v>
          </cell>
        </row>
        <row r="1894">
          <cell r="A1894" t="str">
            <v>12600045820541</v>
          </cell>
          <cell r="B1894" t="e">
            <v>#N/A</v>
          </cell>
          <cell r="C1894" t="e">
            <v>#N/A</v>
          </cell>
          <cell r="D1894" t="str">
            <v>EK65</v>
          </cell>
          <cell r="E1894" t="str">
            <v>709382</v>
          </cell>
          <cell r="F1894" t="str">
            <v>E</v>
          </cell>
          <cell r="G1894" t="str">
            <v>12600045</v>
          </cell>
          <cell r="H1894" t="str">
            <v>Distanzscheibe</v>
          </cell>
          <cell r="I1894">
            <v>528</v>
          </cell>
          <cell r="J1894" t="str">
            <v>Stk</v>
          </cell>
          <cell r="K1894">
            <v>45177</v>
          </cell>
          <cell r="L1894" t="str">
            <v>820541</v>
          </cell>
          <cell r="M1894" t="str">
            <v/>
          </cell>
          <cell r="N1894" t="str">
            <v/>
          </cell>
          <cell r="O1894" t="str">
            <v/>
          </cell>
          <cell r="P1894" t="str">
            <v/>
          </cell>
          <cell r="Q1894" t="str">
            <v/>
          </cell>
          <cell r="R1894" t="str">
            <v/>
          </cell>
          <cell r="S1894" t="str">
            <v/>
          </cell>
          <cell r="T1894" t="str">
            <v/>
          </cell>
          <cell r="U1894" t="str">
            <v/>
          </cell>
          <cell r="V1894" t="str">
            <v>N34</v>
          </cell>
          <cell r="W1894" t="str">
            <v/>
          </cell>
          <cell r="X1894" t="str">
            <v/>
          </cell>
          <cell r="Y1894" t="str">
            <v/>
          </cell>
          <cell r="Z1894" t="str">
            <v/>
          </cell>
          <cell r="AA1894" t="str">
            <v/>
          </cell>
          <cell r="AB1894" t="str">
            <v>PA_4946512-CF.3048-4</v>
          </cell>
          <cell r="AC1894">
            <v>1</v>
          </cell>
          <cell r="AD1894" t="str">
            <v/>
          </cell>
          <cell r="AE1894">
            <v>0</v>
          </cell>
          <cell r="AF1894" t="str">
            <v/>
          </cell>
          <cell r="AG1894" t="str">
            <v>12600045</v>
          </cell>
          <cell r="AH1894">
            <v>44970.911851851852</v>
          </cell>
          <cell r="AI1894" t="str">
            <v>N34</v>
          </cell>
          <cell r="AJ1894" t="str">
            <v>F</v>
          </cell>
          <cell r="AK1894" t="str">
            <v/>
          </cell>
        </row>
        <row r="1895">
          <cell r="A1895" t="str">
            <v>12644840820541</v>
          </cell>
          <cell r="B1895" t="e">
            <v>#N/A</v>
          </cell>
          <cell r="C1895" t="e">
            <v>#N/A</v>
          </cell>
          <cell r="D1895" t="str">
            <v>EK65</v>
          </cell>
          <cell r="E1895" t="str">
            <v>709389</v>
          </cell>
          <cell r="F1895" t="str">
            <v>E</v>
          </cell>
          <cell r="G1895" t="str">
            <v>12644840</v>
          </cell>
          <cell r="H1895" t="str">
            <v>Distanzplatte 3mm</v>
          </cell>
          <cell r="I1895">
            <v>352</v>
          </cell>
          <cell r="J1895" t="str">
            <v>Stk</v>
          </cell>
          <cell r="K1895">
            <v>45147</v>
          </cell>
          <cell r="L1895" t="str">
            <v>820541</v>
          </cell>
          <cell r="M1895" t="str">
            <v/>
          </cell>
          <cell r="N1895" t="str">
            <v/>
          </cell>
          <cell r="O1895" t="str">
            <v/>
          </cell>
          <cell r="P1895" t="str">
            <v/>
          </cell>
          <cell r="Q1895" t="str">
            <v/>
          </cell>
          <cell r="R1895" t="str">
            <v/>
          </cell>
          <cell r="S1895" t="str">
            <v/>
          </cell>
          <cell r="T1895" t="str">
            <v/>
          </cell>
          <cell r="U1895" t="str">
            <v/>
          </cell>
          <cell r="V1895" t="str">
            <v>N52</v>
          </cell>
          <cell r="W1895" t="str">
            <v/>
          </cell>
          <cell r="X1895" t="str">
            <v/>
          </cell>
          <cell r="Y1895" t="str">
            <v/>
          </cell>
          <cell r="Z1895" t="str">
            <v/>
          </cell>
          <cell r="AA1895" t="str">
            <v/>
          </cell>
          <cell r="AB1895" t="str">
            <v>PA_5165555-KB.3048-4</v>
          </cell>
          <cell r="AC1895">
            <v>1</v>
          </cell>
          <cell r="AD1895" t="str">
            <v/>
          </cell>
          <cell r="AE1895">
            <v>0</v>
          </cell>
          <cell r="AF1895" t="str">
            <v/>
          </cell>
          <cell r="AG1895" t="str">
            <v>12644840</v>
          </cell>
          <cell r="AH1895">
            <v>44970.912685185183</v>
          </cell>
          <cell r="AI1895" t="str">
            <v>N52</v>
          </cell>
          <cell r="AJ1895" t="str">
            <v>F</v>
          </cell>
          <cell r="AK1895" t="str">
            <v/>
          </cell>
        </row>
        <row r="1896">
          <cell r="A1896" t="str">
            <v>12644843820541</v>
          </cell>
          <cell r="B1896" t="e">
            <v>#N/A</v>
          </cell>
          <cell r="C1896" t="e">
            <v>#N/A</v>
          </cell>
          <cell r="D1896" t="str">
            <v>EK65</v>
          </cell>
          <cell r="E1896" t="str">
            <v>709390</v>
          </cell>
          <cell r="F1896" t="str">
            <v>E</v>
          </cell>
          <cell r="G1896" t="str">
            <v>12644843</v>
          </cell>
          <cell r="H1896" t="str">
            <v>Distanzplatte 2mm</v>
          </cell>
          <cell r="I1896">
            <v>352</v>
          </cell>
          <cell r="J1896" t="str">
            <v>Stk</v>
          </cell>
          <cell r="K1896">
            <v>45147</v>
          </cell>
          <cell r="L1896" t="str">
            <v>820541</v>
          </cell>
          <cell r="M1896" t="str">
            <v/>
          </cell>
          <cell r="N1896" t="str">
            <v/>
          </cell>
          <cell r="O1896" t="str">
            <v/>
          </cell>
          <cell r="P1896" t="str">
            <v/>
          </cell>
          <cell r="Q1896" t="str">
            <v/>
          </cell>
          <cell r="R1896" t="str">
            <v/>
          </cell>
          <cell r="S1896" t="str">
            <v/>
          </cell>
          <cell r="T1896" t="str">
            <v/>
          </cell>
          <cell r="U1896" t="str">
            <v/>
          </cell>
          <cell r="V1896" t="str">
            <v>N52</v>
          </cell>
          <cell r="W1896" t="str">
            <v/>
          </cell>
          <cell r="X1896" t="str">
            <v/>
          </cell>
          <cell r="Y1896" t="str">
            <v/>
          </cell>
          <cell r="Z1896" t="str">
            <v/>
          </cell>
          <cell r="AA1896" t="str">
            <v/>
          </cell>
          <cell r="AB1896" t="str">
            <v>PA_5165549-KB.3048-4</v>
          </cell>
          <cell r="AC1896">
            <v>1</v>
          </cell>
          <cell r="AD1896" t="str">
            <v/>
          </cell>
          <cell r="AE1896">
            <v>0</v>
          </cell>
          <cell r="AF1896" t="str">
            <v/>
          </cell>
          <cell r="AG1896" t="str">
            <v>12644843</v>
          </cell>
          <cell r="AH1896">
            <v>44970.91269675926</v>
          </cell>
          <cell r="AI1896" t="str">
            <v>N52</v>
          </cell>
          <cell r="AJ1896" t="str">
            <v>F</v>
          </cell>
          <cell r="AK1896" t="str">
            <v/>
          </cell>
        </row>
        <row r="1897">
          <cell r="A1897" t="str">
            <v>12644849820541</v>
          </cell>
          <cell r="B1897" t="e">
            <v>#N/A</v>
          </cell>
          <cell r="C1897" t="e">
            <v>#N/A</v>
          </cell>
          <cell r="D1897" t="str">
            <v>EK65</v>
          </cell>
          <cell r="E1897" t="str">
            <v>709391</v>
          </cell>
          <cell r="F1897" t="str">
            <v>E</v>
          </cell>
          <cell r="G1897" t="str">
            <v>12644849</v>
          </cell>
          <cell r="H1897" t="str">
            <v>Distanzplatte 1mm</v>
          </cell>
          <cell r="I1897">
            <v>176</v>
          </cell>
          <cell r="J1897" t="str">
            <v>Stk</v>
          </cell>
          <cell r="K1897">
            <v>45147</v>
          </cell>
          <cell r="L1897" t="str">
            <v>820541</v>
          </cell>
          <cell r="M1897" t="str">
            <v/>
          </cell>
          <cell r="N1897" t="str">
            <v/>
          </cell>
          <cell r="O1897" t="str">
            <v/>
          </cell>
          <cell r="P1897" t="str">
            <v/>
          </cell>
          <cell r="Q1897" t="str">
            <v/>
          </cell>
          <cell r="R1897" t="str">
            <v/>
          </cell>
          <cell r="S1897" t="str">
            <v/>
          </cell>
          <cell r="T1897" t="str">
            <v/>
          </cell>
          <cell r="U1897" t="str">
            <v/>
          </cell>
          <cell r="V1897" t="str">
            <v>N52</v>
          </cell>
          <cell r="W1897" t="str">
            <v/>
          </cell>
          <cell r="X1897" t="str">
            <v/>
          </cell>
          <cell r="Y1897" t="str">
            <v/>
          </cell>
          <cell r="Z1897" t="str">
            <v/>
          </cell>
          <cell r="AA1897" t="str">
            <v/>
          </cell>
          <cell r="AB1897" t="str">
            <v>PA_5165552-KB.3048-4</v>
          </cell>
          <cell r="AC1897">
            <v>1</v>
          </cell>
          <cell r="AD1897" t="str">
            <v/>
          </cell>
          <cell r="AE1897">
            <v>0</v>
          </cell>
          <cell r="AF1897" t="str">
            <v/>
          </cell>
          <cell r="AG1897" t="str">
            <v>12644849</v>
          </cell>
          <cell r="AH1897">
            <v>44970.912719907406</v>
          </cell>
          <cell r="AI1897" t="str">
            <v>N52</v>
          </cell>
          <cell r="AJ1897" t="str">
            <v>F</v>
          </cell>
          <cell r="AK1897" t="str">
            <v/>
          </cell>
        </row>
        <row r="1898">
          <cell r="A1898" t="str">
            <v>12644879820541</v>
          </cell>
          <cell r="B1898" t="e">
            <v>#N/A</v>
          </cell>
          <cell r="C1898" t="e">
            <v>#N/A</v>
          </cell>
          <cell r="D1898" t="str">
            <v>EK65</v>
          </cell>
          <cell r="E1898" t="str">
            <v>709392</v>
          </cell>
          <cell r="F1898" t="str">
            <v>E</v>
          </cell>
          <cell r="G1898" t="str">
            <v>12644879</v>
          </cell>
          <cell r="H1898" t="str">
            <v>Distanzplatte 3mm</v>
          </cell>
          <cell r="I1898">
            <v>176</v>
          </cell>
          <cell r="J1898" t="str">
            <v>Stk</v>
          </cell>
          <cell r="K1898">
            <v>45147</v>
          </cell>
          <cell r="L1898" t="str">
            <v>820541</v>
          </cell>
          <cell r="M1898" t="str">
            <v/>
          </cell>
          <cell r="N1898" t="str">
            <v/>
          </cell>
          <cell r="O1898" t="str">
            <v/>
          </cell>
          <cell r="P1898" t="str">
            <v/>
          </cell>
          <cell r="Q1898" t="str">
            <v/>
          </cell>
          <cell r="R1898" t="str">
            <v/>
          </cell>
          <cell r="S1898" t="str">
            <v/>
          </cell>
          <cell r="T1898" t="str">
            <v/>
          </cell>
          <cell r="U1898" t="str">
            <v/>
          </cell>
          <cell r="V1898" t="str">
            <v>N52</v>
          </cell>
          <cell r="W1898" t="str">
            <v/>
          </cell>
          <cell r="X1898" t="str">
            <v/>
          </cell>
          <cell r="Y1898" t="str">
            <v/>
          </cell>
          <cell r="Z1898" t="str">
            <v/>
          </cell>
          <cell r="AA1898" t="str">
            <v/>
          </cell>
          <cell r="AB1898" t="str">
            <v>PA_5165716-KB.3048-4</v>
          </cell>
          <cell r="AC1898">
            <v>1</v>
          </cell>
          <cell r="AD1898" t="str">
            <v/>
          </cell>
          <cell r="AE1898">
            <v>0</v>
          </cell>
          <cell r="AF1898" t="str">
            <v/>
          </cell>
          <cell r="AG1898" t="str">
            <v>12644879</v>
          </cell>
          <cell r="AH1898">
            <v>44970.912731481483</v>
          </cell>
          <cell r="AI1898" t="str">
            <v>N52</v>
          </cell>
          <cell r="AJ1898" t="str">
            <v>F</v>
          </cell>
          <cell r="AK1898" t="str">
            <v/>
          </cell>
        </row>
        <row r="1899">
          <cell r="A1899" t="str">
            <v>12644906820541</v>
          </cell>
          <cell r="B1899" t="e">
            <v>#N/A</v>
          </cell>
          <cell r="C1899" t="e">
            <v>#N/A</v>
          </cell>
          <cell r="D1899" t="str">
            <v>EK65</v>
          </cell>
          <cell r="E1899" t="str">
            <v>709393</v>
          </cell>
          <cell r="F1899" t="str">
            <v>E</v>
          </cell>
          <cell r="G1899" t="str">
            <v>12644906</v>
          </cell>
          <cell r="H1899" t="str">
            <v>Distanzplatte 2mm</v>
          </cell>
          <cell r="I1899">
            <v>176</v>
          </cell>
          <cell r="J1899" t="str">
            <v>Stk</v>
          </cell>
          <cell r="K1899">
            <v>45147</v>
          </cell>
          <cell r="L1899" t="str">
            <v>820541</v>
          </cell>
          <cell r="M1899" t="str">
            <v/>
          </cell>
          <cell r="N1899" t="str">
            <v/>
          </cell>
          <cell r="O1899" t="str">
            <v/>
          </cell>
          <cell r="P1899" t="str">
            <v/>
          </cell>
          <cell r="Q1899" t="str">
            <v/>
          </cell>
          <cell r="R1899" t="str">
            <v/>
          </cell>
          <cell r="S1899" t="str">
            <v/>
          </cell>
          <cell r="T1899" t="str">
            <v/>
          </cell>
          <cell r="U1899" t="str">
            <v/>
          </cell>
          <cell r="V1899" t="str">
            <v>N52</v>
          </cell>
          <cell r="W1899" t="str">
            <v/>
          </cell>
          <cell r="X1899" t="str">
            <v/>
          </cell>
          <cell r="Y1899" t="str">
            <v/>
          </cell>
          <cell r="Z1899" t="str">
            <v/>
          </cell>
          <cell r="AA1899" t="str">
            <v/>
          </cell>
          <cell r="AB1899" t="str">
            <v>PA_5165801-KB.3048-4</v>
          </cell>
          <cell r="AC1899">
            <v>1</v>
          </cell>
          <cell r="AD1899" t="str">
            <v/>
          </cell>
          <cell r="AE1899">
            <v>0</v>
          </cell>
          <cell r="AF1899" t="str">
            <v/>
          </cell>
          <cell r="AG1899" t="str">
            <v>12644906</v>
          </cell>
          <cell r="AH1899">
            <v>44970.912743055553</v>
          </cell>
          <cell r="AI1899" t="str">
            <v>N52</v>
          </cell>
          <cell r="AJ1899" t="str">
            <v>F</v>
          </cell>
          <cell r="AK1899" t="str">
            <v/>
          </cell>
        </row>
        <row r="1900">
          <cell r="A1900" t="str">
            <v>12644908820541</v>
          </cell>
          <cell r="B1900" t="e">
            <v>#N/A</v>
          </cell>
          <cell r="C1900" t="e">
            <v>#N/A</v>
          </cell>
          <cell r="D1900" t="str">
            <v>EK65</v>
          </cell>
          <cell r="E1900" t="str">
            <v>709394</v>
          </cell>
          <cell r="F1900" t="str">
            <v>E</v>
          </cell>
          <cell r="G1900" t="str">
            <v>12644908</v>
          </cell>
          <cell r="H1900" t="str">
            <v>Distanzplatte 1mm</v>
          </cell>
          <cell r="I1900">
            <v>176</v>
          </cell>
          <cell r="J1900" t="str">
            <v>Stk</v>
          </cell>
          <cell r="K1900">
            <v>45147</v>
          </cell>
          <cell r="L1900" t="str">
            <v>820541</v>
          </cell>
          <cell r="M1900" t="str">
            <v/>
          </cell>
          <cell r="N1900" t="str">
            <v/>
          </cell>
          <cell r="O1900" t="str">
            <v/>
          </cell>
          <cell r="P1900" t="str">
            <v/>
          </cell>
          <cell r="Q1900" t="str">
            <v/>
          </cell>
          <cell r="R1900" t="str">
            <v/>
          </cell>
          <cell r="S1900" t="str">
            <v/>
          </cell>
          <cell r="T1900" t="str">
            <v/>
          </cell>
          <cell r="U1900" t="str">
            <v/>
          </cell>
          <cell r="V1900" t="str">
            <v>N52</v>
          </cell>
          <cell r="W1900" t="str">
            <v/>
          </cell>
          <cell r="X1900" t="str">
            <v/>
          </cell>
          <cell r="Y1900" t="str">
            <v/>
          </cell>
          <cell r="Z1900" t="str">
            <v/>
          </cell>
          <cell r="AA1900" t="str">
            <v/>
          </cell>
          <cell r="AB1900" t="str">
            <v>PA_5165813-KB.3048-4</v>
          </cell>
          <cell r="AC1900">
            <v>1</v>
          </cell>
          <cell r="AD1900" t="str">
            <v/>
          </cell>
          <cell r="AE1900">
            <v>0</v>
          </cell>
          <cell r="AF1900" t="str">
            <v/>
          </cell>
          <cell r="AG1900" t="str">
            <v>12644908</v>
          </cell>
          <cell r="AH1900">
            <v>44970.912754629629</v>
          </cell>
          <cell r="AI1900" t="str">
            <v>N52</v>
          </cell>
          <cell r="AJ1900" t="str">
            <v>F</v>
          </cell>
          <cell r="AK1900" t="str">
            <v/>
          </cell>
        </row>
        <row r="1901">
          <cell r="A1901" t="str">
            <v>0418105</v>
          </cell>
          <cell r="B1901" t="str">
            <v>BL20230412-1</v>
          </cell>
          <cell r="C1901" t="e">
            <v>#N/A</v>
          </cell>
          <cell r="D1901" t="str">
            <v>EK65</v>
          </cell>
          <cell r="E1901" t="str">
            <v>709417</v>
          </cell>
          <cell r="F1901" t="str">
            <v>B</v>
          </cell>
          <cell r="G1901" t="str">
            <v>0418105</v>
          </cell>
          <cell r="H1901" t="str">
            <v>Ausgleichsplatte</v>
          </cell>
          <cell r="I1901">
            <v>30</v>
          </cell>
          <cell r="J1901" t="str">
            <v>Stk</v>
          </cell>
          <cell r="K1901">
            <v>44973</v>
          </cell>
          <cell r="L1901" t="str">
            <v/>
          </cell>
          <cell r="M1901" t="str">
            <v/>
          </cell>
          <cell r="N1901" t="str">
            <v/>
          </cell>
          <cell r="O1901" t="str">
            <v/>
          </cell>
          <cell r="P1901" t="str">
            <v/>
          </cell>
          <cell r="Q1901" t="str">
            <v/>
          </cell>
          <cell r="R1901" t="str">
            <v/>
          </cell>
          <cell r="S1901" t="str">
            <v/>
          </cell>
          <cell r="T1901" t="str">
            <v/>
          </cell>
          <cell r="U1901" t="str">
            <v/>
          </cell>
          <cell r="V1901" t="str">
            <v>N32</v>
          </cell>
          <cell r="W1901" t="str">
            <v/>
          </cell>
          <cell r="X1901" t="str">
            <v/>
          </cell>
          <cell r="Y1901" t="str">
            <v/>
          </cell>
          <cell r="Z1901" t="str">
            <v/>
          </cell>
          <cell r="AA1901" t="str">
            <v/>
          </cell>
          <cell r="AB1901" t="str">
            <v>PA_2186430-BG.7500-3P.3</v>
          </cell>
          <cell r="AC1901">
            <v>4</v>
          </cell>
          <cell r="AD1901" t="str">
            <v/>
          </cell>
          <cell r="AE1901">
            <v>0</v>
          </cell>
          <cell r="AF1901" t="str">
            <v/>
          </cell>
          <cell r="AG1901" t="str">
            <v>0418105</v>
          </cell>
          <cell r="AH1901">
            <v>44971.833969907406</v>
          </cell>
          <cell r="AI1901" t="str">
            <v>N32</v>
          </cell>
          <cell r="AJ1901" t="str">
            <v>F</v>
          </cell>
          <cell r="AK1901" t="str">
            <v>B</v>
          </cell>
        </row>
        <row r="1902">
          <cell r="A1902" t="str">
            <v>1319789</v>
          </cell>
          <cell r="B1902" t="str">
            <v>BL20230413-2</v>
          </cell>
          <cell r="C1902" t="e">
            <v>#N/A</v>
          </cell>
          <cell r="D1902" t="str">
            <v>EK65</v>
          </cell>
          <cell r="E1902" t="str">
            <v>709421</v>
          </cell>
          <cell r="F1902" t="str">
            <v>B</v>
          </cell>
          <cell r="G1902" t="str">
            <v>1319789</v>
          </cell>
          <cell r="H1902" t="str">
            <v>Beilage 2 mm</v>
          </cell>
          <cell r="I1902">
            <v>200</v>
          </cell>
          <cell r="J1902" t="str">
            <v>Stk</v>
          </cell>
          <cell r="K1902">
            <v>44973</v>
          </cell>
          <cell r="L1902" t="str">
            <v/>
          </cell>
          <cell r="M1902" t="str">
            <v/>
          </cell>
          <cell r="N1902" t="str">
            <v/>
          </cell>
          <cell r="O1902" t="str">
            <v/>
          </cell>
          <cell r="P1902" t="str">
            <v/>
          </cell>
          <cell r="Q1902" t="str">
            <v/>
          </cell>
          <cell r="R1902" t="str">
            <v/>
          </cell>
          <cell r="S1902" t="str">
            <v/>
          </cell>
          <cell r="T1902" t="str">
            <v/>
          </cell>
          <cell r="U1902" t="str">
            <v/>
          </cell>
          <cell r="V1902" t="str">
            <v>N52</v>
          </cell>
          <cell r="W1902" t="str">
            <v/>
          </cell>
          <cell r="X1902" t="str">
            <v/>
          </cell>
          <cell r="Y1902" t="str">
            <v/>
          </cell>
          <cell r="Z1902" t="str">
            <v/>
          </cell>
          <cell r="AA1902" t="str">
            <v/>
          </cell>
          <cell r="AB1902" t="str">
            <v>PA_2195538-UA.7500-4</v>
          </cell>
          <cell r="AC1902">
            <v>4</v>
          </cell>
          <cell r="AD1902" t="str">
            <v/>
          </cell>
          <cell r="AE1902">
            <v>0</v>
          </cell>
          <cell r="AF1902" t="str">
            <v/>
          </cell>
          <cell r="AG1902" t="str">
            <v>1319789</v>
          </cell>
          <cell r="AH1902">
            <v>44971.835231481484</v>
          </cell>
          <cell r="AI1902" t="str">
            <v>N52</v>
          </cell>
          <cell r="AJ1902" t="str">
            <v>F</v>
          </cell>
          <cell r="AK1902" t="str">
            <v/>
          </cell>
        </row>
        <row r="1903">
          <cell r="A1903" t="str">
            <v>1313565</v>
          </cell>
          <cell r="B1903">
            <v>0</v>
          </cell>
          <cell r="C1903" t="e">
            <v>#N/A</v>
          </cell>
          <cell r="D1903" t="str">
            <v>EK65</v>
          </cell>
          <cell r="E1903" t="str">
            <v>709671</v>
          </cell>
          <cell r="F1903" t="str">
            <v>B</v>
          </cell>
          <cell r="G1903" t="str">
            <v>1313565</v>
          </cell>
          <cell r="H1903" t="str">
            <v>Dehnhuelse M16 / 30mm</v>
          </cell>
          <cell r="I1903">
            <v>15</v>
          </cell>
          <cell r="J1903" t="str">
            <v>Stk</v>
          </cell>
          <cell r="K1903">
            <v>44974</v>
          </cell>
          <cell r="L1903" t="str">
            <v/>
          </cell>
          <cell r="M1903" t="str">
            <v/>
          </cell>
          <cell r="N1903" t="str">
            <v/>
          </cell>
          <cell r="O1903" t="str">
            <v/>
          </cell>
          <cell r="P1903" t="str">
            <v/>
          </cell>
          <cell r="Q1903" t="str">
            <v/>
          </cell>
          <cell r="R1903" t="str">
            <v/>
          </cell>
          <cell r="S1903" t="str">
            <v/>
          </cell>
          <cell r="T1903" t="str">
            <v/>
          </cell>
          <cell r="U1903" t="str">
            <v/>
          </cell>
          <cell r="V1903" t="str">
            <v>N52</v>
          </cell>
          <cell r="W1903" t="str">
            <v/>
          </cell>
          <cell r="X1903" t="str">
            <v/>
          </cell>
          <cell r="Y1903" t="str">
            <v/>
          </cell>
          <cell r="Z1903" t="str">
            <v/>
          </cell>
          <cell r="AA1903" t="str">
            <v/>
          </cell>
          <cell r="AB1903" t="str">
            <v>PA_2174282-UA.7500-4</v>
          </cell>
          <cell r="AC1903">
            <v>4</v>
          </cell>
          <cell r="AD1903" t="str">
            <v/>
          </cell>
          <cell r="AE1903">
            <v>0</v>
          </cell>
          <cell r="AF1903" t="str">
            <v/>
          </cell>
          <cell r="AG1903" t="str">
            <v>1313565</v>
          </cell>
          <cell r="AH1903">
            <v>44972.835162037038</v>
          </cell>
          <cell r="AI1903" t="str">
            <v>N52</v>
          </cell>
          <cell r="AJ1903" t="str">
            <v>F</v>
          </cell>
          <cell r="AK1903" t="str">
            <v/>
          </cell>
        </row>
        <row r="1904">
          <cell r="A1904" t="str">
            <v>12513692829053</v>
          </cell>
          <cell r="B1904">
            <v>0</v>
          </cell>
          <cell r="C1904" t="e">
            <v>#N/A</v>
          </cell>
          <cell r="D1904" t="str">
            <v>EK65</v>
          </cell>
          <cell r="E1904" t="str">
            <v>709709</v>
          </cell>
          <cell r="F1904" t="str">
            <v>E</v>
          </cell>
          <cell r="G1904" t="str">
            <v>12513692</v>
          </cell>
          <cell r="H1904" t="str">
            <v>Kupferplatte 2 vollst.</v>
          </cell>
          <cell r="I1904">
            <v>48</v>
          </cell>
          <cell r="J1904" t="str">
            <v>Stk</v>
          </cell>
          <cell r="K1904">
            <v>45114</v>
          </cell>
          <cell r="L1904" t="str">
            <v>829053</v>
          </cell>
          <cell r="M1904" t="str">
            <v/>
          </cell>
          <cell r="N1904" t="str">
            <v/>
          </cell>
          <cell r="O1904" t="str">
            <v/>
          </cell>
          <cell r="P1904" t="str">
            <v/>
          </cell>
          <cell r="Q1904" t="str">
            <v/>
          </cell>
          <cell r="R1904" t="str">
            <v/>
          </cell>
          <cell r="S1904" t="str">
            <v/>
          </cell>
          <cell r="T1904" t="str">
            <v/>
          </cell>
          <cell r="U1904" t="str">
            <v/>
          </cell>
          <cell r="V1904" t="str">
            <v>N38</v>
          </cell>
          <cell r="W1904" t="str">
            <v/>
          </cell>
          <cell r="X1904" t="str">
            <v/>
          </cell>
          <cell r="Y1904" t="str">
            <v/>
          </cell>
          <cell r="Z1904" t="str">
            <v/>
          </cell>
          <cell r="AA1904" t="str">
            <v/>
          </cell>
          <cell r="AB1904" t="str">
            <v>PA_4263691-UA.7005-3</v>
          </cell>
          <cell r="AC1904">
            <v>1</v>
          </cell>
          <cell r="AD1904" t="str">
            <v/>
          </cell>
          <cell r="AE1904">
            <v>0</v>
          </cell>
          <cell r="AF1904" t="str">
            <v/>
          </cell>
          <cell r="AG1904" t="str">
            <v>12513692</v>
          </cell>
          <cell r="AH1904">
            <v>44972.874699074076</v>
          </cell>
          <cell r="AI1904" t="str">
            <v>N38</v>
          </cell>
          <cell r="AJ1904" t="str">
            <v>F</v>
          </cell>
          <cell r="AK1904" t="str">
            <v>A</v>
          </cell>
        </row>
        <row r="1905">
          <cell r="A1905" t="str">
            <v>12513692829051</v>
          </cell>
          <cell r="B1905" t="str">
            <v>Übergabe Task Force NSB, Nachbestellung</v>
          </cell>
          <cell r="C1905" t="e">
            <v>#N/A</v>
          </cell>
          <cell r="D1905" t="str">
            <v>EK65</v>
          </cell>
          <cell r="E1905" t="str">
            <v>709710</v>
          </cell>
          <cell r="F1905" t="str">
            <v>E</v>
          </cell>
          <cell r="G1905" t="str">
            <v>12513692</v>
          </cell>
          <cell r="H1905" t="str">
            <v>Kupferplatte 2 vollst.</v>
          </cell>
          <cell r="I1905">
            <v>90</v>
          </cell>
          <cell r="J1905" t="str">
            <v>Stk</v>
          </cell>
          <cell r="K1905">
            <v>45219</v>
          </cell>
          <cell r="L1905" t="str">
            <v>829051</v>
          </cell>
          <cell r="M1905" t="str">
            <v/>
          </cell>
          <cell r="N1905" t="str">
            <v/>
          </cell>
          <cell r="O1905" t="str">
            <v/>
          </cell>
          <cell r="P1905" t="str">
            <v/>
          </cell>
          <cell r="Q1905" t="str">
            <v/>
          </cell>
          <cell r="R1905" t="str">
            <v/>
          </cell>
          <cell r="S1905" t="str">
            <v/>
          </cell>
          <cell r="T1905" t="str">
            <v/>
          </cell>
          <cell r="U1905" t="str">
            <v/>
          </cell>
          <cell r="V1905" t="str">
            <v>N38</v>
          </cell>
          <cell r="W1905" t="str">
            <v/>
          </cell>
          <cell r="X1905" t="str">
            <v/>
          </cell>
          <cell r="Y1905" t="str">
            <v/>
          </cell>
          <cell r="Z1905" t="str">
            <v/>
          </cell>
          <cell r="AA1905" t="str">
            <v/>
          </cell>
          <cell r="AB1905" t="str">
            <v>PA_4263691-UA.7005-3</v>
          </cell>
          <cell r="AC1905">
            <v>1</v>
          </cell>
          <cell r="AD1905" t="str">
            <v/>
          </cell>
          <cell r="AE1905">
            <v>0</v>
          </cell>
          <cell r="AF1905" t="str">
            <v/>
          </cell>
          <cell r="AG1905" t="str">
            <v>12513692</v>
          </cell>
          <cell r="AH1905">
            <v>44972.874699074076</v>
          </cell>
          <cell r="AI1905" t="str">
            <v>N38</v>
          </cell>
          <cell r="AJ1905" t="str">
            <v>F</v>
          </cell>
          <cell r="AK1905" t="str">
            <v>A</v>
          </cell>
        </row>
        <row r="1906">
          <cell r="A1906" t="str">
            <v>12513706829053</v>
          </cell>
          <cell r="B1906">
            <v>0</v>
          </cell>
          <cell r="C1906" t="e">
            <v>#N/A</v>
          </cell>
          <cell r="D1906" t="str">
            <v>EK65</v>
          </cell>
          <cell r="E1906" t="str">
            <v>709711</v>
          </cell>
          <cell r="F1906" t="str">
            <v>E</v>
          </cell>
          <cell r="G1906" t="str">
            <v>12513706</v>
          </cell>
          <cell r="H1906" t="str">
            <v>Kupferplatte vollst.</v>
          </cell>
          <cell r="I1906">
            <v>48</v>
          </cell>
          <cell r="J1906" t="str">
            <v>Stk</v>
          </cell>
          <cell r="K1906">
            <v>45114</v>
          </cell>
          <cell r="L1906" t="str">
            <v>829053</v>
          </cell>
          <cell r="M1906" t="str">
            <v/>
          </cell>
          <cell r="N1906" t="str">
            <v/>
          </cell>
          <cell r="O1906" t="str">
            <v/>
          </cell>
          <cell r="P1906" t="str">
            <v/>
          </cell>
          <cell r="Q1906" t="str">
            <v/>
          </cell>
          <cell r="R1906" t="str">
            <v/>
          </cell>
          <cell r="S1906" t="str">
            <v/>
          </cell>
          <cell r="T1906" t="str">
            <v/>
          </cell>
          <cell r="U1906" t="str">
            <v/>
          </cell>
          <cell r="V1906" t="str">
            <v>N38</v>
          </cell>
          <cell r="W1906" t="str">
            <v/>
          </cell>
          <cell r="X1906" t="str">
            <v/>
          </cell>
          <cell r="Y1906" t="str">
            <v/>
          </cell>
          <cell r="Z1906" t="str">
            <v/>
          </cell>
          <cell r="AA1906" t="str">
            <v/>
          </cell>
          <cell r="AB1906" t="str">
            <v>PA_2334983-UA.7005-3</v>
          </cell>
          <cell r="AC1906">
            <v>1</v>
          </cell>
          <cell r="AD1906" t="str">
            <v/>
          </cell>
          <cell r="AE1906">
            <v>0</v>
          </cell>
          <cell r="AF1906" t="str">
            <v/>
          </cell>
          <cell r="AG1906" t="str">
            <v>12513706</v>
          </cell>
          <cell r="AH1906">
            <v>44972.8747337963</v>
          </cell>
          <cell r="AI1906" t="str">
            <v>N38</v>
          </cell>
          <cell r="AJ1906" t="str">
            <v>F</v>
          </cell>
          <cell r="AK1906" t="str">
            <v/>
          </cell>
        </row>
        <row r="1907">
          <cell r="A1907" t="str">
            <v>12513706829051</v>
          </cell>
          <cell r="B1907" t="str">
            <v>Übergabe Task Force NSB, Nachbestellung</v>
          </cell>
          <cell r="C1907" t="e">
            <v>#N/A</v>
          </cell>
          <cell r="D1907" t="str">
            <v>EK65</v>
          </cell>
          <cell r="E1907" t="str">
            <v>709712</v>
          </cell>
          <cell r="F1907" t="str">
            <v>E</v>
          </cell>
          <cell r="G1907" t="str">
            <v>12513706</v>
          </cell>
          <cell r="H1907" t="str">
            <v>Kupferplatte vollst.</v>
          </cell>
          <cell r="I1907">
            <v>90</v>
          </cell>
          <cell r="J1907" t="str">
            <v>Stk</v>
          </cell>
          <cell r="K1907">
            <v>45219</v>
          </cell>
          <cell r="L1907" t="str">
            <v>829051</v>
          </cell>
          <cell r="M1907" t="str">
            <v/>
          </cell>
          <cell r="N1907" t="str">
            <v/>
          </cell>
          <cell r="O1907" t="str">
            <v/>
          </cell>
          <cell r="P1907" t="str">
            <v/>
          </cell>
          <cell r="Q1907" t="str">
            <v/>
          </cell>
          <cell r="R1907" t="str">
            <v/>
          </cell>
          <cell r="S1907" t="str">
            <v/>
          </cell>
          <cell r="T1907" t="str">
            <v/>
          </cell>
          <cell r="U1907" t="str">
            <v/>
          </cell>
          <cell r="V1907" t="str">
            <v>N38</v>
          </cell>
          <cell r="W1907" t="str">
            <v/>
          </cell>
          <cell r="X1907" t="str">
            <v/>
          </cell>
          <cell r="Y1907" t="str">
            <v/>
          </cell>
          <cell r="Z1907" t="str">
            <v/>
          </cell>
          <cell r="AA1907" t="str">
            <v/>
          </cell>
          <cell r="AB1907" t="str">
            <v>PA_2334983-UA.7005-3</v>
          </cell>
          <cell r="AC1907">
            <v>1</v>
          </cell>
          <cell r="AD1907" t="str">
            <v/>
          </cell>
          <cell r="AE1907">
            <v>0</v>
          </cell>
          <cell r="AF1907" t="str">
            <v/>
          </cell>
          <cell r="AG1907" t="str">
            <v>12513706</v>
          </cell>
          <cell r="AH1907">
            <v>44972.8747337963</v>
          </cell>
          <cell r="AI1907" t="str">
            <v>N38</v>
          </cell>
          <cell r="AJ1907" t="str">
            <v>F</v>
          </cell>
          <cell r="AK1907" t="str">
            <v/>
          </cell>
        </row>
        <row r="1908">
          <cell r="A1908" t="str">
            <v>0438834</v>
          </cell>
          <cell r="B1908" t="e">
            <v>#N/A</v>
          </cell>
          <cell r="C1908" t="e">
            <v>#N/A</v>
          </cell>
          <cell r="D1908" t="str">
            <v>EK65</v>
          </cell>
          <cell r="E1908" t="str">
            <v>709809</v>
          </cell>
          <cell r="F1908" t="str">
            <v>B</v>
          </cell>
          <cell r="G1908" t="str">
            <v>0438834</v>
          </cell>
          <cell r="H1908" t="str">
            <v>Unterlegscheibe</v>
          </cell>
          <cell r="I1908">
            <v>72</v>
          </cell>
          <cell r="J1908" t="str">
            <v>Stk</v>
          </cell>
          <cell r="K1908">
            <v>44975</v>
          </cell>
          <cell r="L1908" t="str">
            <v/>
          </cell>
          <cell r="M1908" t="str">
            <v/>
          </cell>
          <cell r="N1908" t="str">
            <v/>
          </cell>
          <cell r="O1908" t="str">
            <v/>
          </cell>
          <cell r="P1908" t="str">
            <v/>
          </cell>
          <cell r="Q1908" t="str">
            <v/>
          </cell>
          <cell r="R1908" t="str">
            <v/>
          </cell>
          <cell r="S1908" t="str">
            <v/>
          </cell>
          <cell r="T1908" t="str">
            <v/>
          </cell>
          <cell r="U1908" t="str">
            <v/>
          </cell>
          <cell r="V1908" t="str">
            <v>N52</v>
          </cell>
          <cell r="W1908" t="str">
            <v/>
          </cell>
          <cell r="X1908" t="str">
            <v/>
          </cell>
          <cell r="Y1908" t="str">
            <v/>
          </cell>
          <cell r="Z1908" t="str">
            <v/>
          </cell>
          <cell r="AA1908" t="str">
            <v/>
          </cell>
          <cell r="AB1908" t="str">
            <v>PA_2224762-CD.7500-4</v>
          </cell>
          <cell r="AC1908">
            <v>4</v>
          </cell>
          <cell r="AD1908" t="str">
            <v/>
          </cell>
          <cell r="AE1908">
            <v>0</v>
          </cell>
          <cell r="AF1908" t="str">
            <v/>
          </cell>
          <cell r="AG1908" t="str">
            <v>0438834</v>
          </cell>
          <cell r="AH1908">
            <v>44973.833993055552</v>
          </cell>
          <cell r="AI1908" t="str">
            <v>N52</v>
          </cell>
          <cell r="AJ1908" t="str">
            <v>F</v>
          </cell>
          <cell r="AK1908" t="str">
            <v/>
          </cell>
        </row>
        <row r="1909">
          <cell r="A1909" t="str">
            <v>5368772</v>
          </cell>
          <cell r="B1909" t="e">
            <v>#N/A</v>
          </cell>
          <cell r="C1909" t="e">
            <v>#N/A</v>
          </cell>
          <cell r="D1909" t="str">
            <v>EK65</v>
          </cell>
          <cell r="E1909" t="str">
            <v>709825</v>
          </cell>
          <cell r="F1909" t="str">
            <v>B</v>
          </cell>
          <cell r="G1909" t="str">
            <v>5368772</v>
          </cell>
          <cell r="H1909" t="str">
            <v>HINTERLAGE</v>
          </cell>
          <cell r="I1909">
            <v>1</v>
          </cell>
          <cell r="J1909" t="str">
            <v>Stk</v>
          </cell>
          <cell r="K1909">
            <v>44975</v>
          </cell>
          <cell r="L1909" t="str">
            <v/>
          </cell>
          <cell r="M1909" t="str">
            <v/>
          </cell>
          <cell r="N1909" t="str">
            <v/>
          </cell>
          <cell r="O1909" t="str">
            <v/>
          </cell>
          <cell r="P1909" t="str">
            <v/>
          </cell>
          <cell r="Q1909" t="str">
            <v/>
          </cell>
          <cell r="R1909" t="str">
            <v/>
          </cell>
          <cell r="S1909" t="str">
            <v/>
          </cell>
          <cell r="T1909" t="str">
            <v/>
          </cell>
          <cell r="U1909" t="str">
            <v/>
          </cell>
          <cell r="V1909" t="str">
            <v>N52</v>
          </cell>
          <cell r="W1909" t="str">
            <v/>
          </cell>
          <cell r="X1909" t="str">
            <v/>
          </cell>
          <cell r="Y1909" t="str">
            <v/>
          </cell>
          <cell r="Z1909" t="str">
            <v/>
          </cell>
          <cell r="AA1909" t="str">
            <v/>
          </cell>
          <cell r="AB1909" t="str">
            <v>PA_1254821-DD.6001-4P.1</v>
          </cell>
          <cell r="AC1909">
            <v>5</v>
          </cell>
          <cell r="AD1909" t="str">
            <v/>
          </cell>
          <cell r="AE1909">
            <v>0</v>
          </cell>
          <cell r="AF1909" t="str">
            <v/>
          </cell>
          <cell r="AG1909" t="str">
            <v>5368772</v>
          </cell>
          <cell r="AH1909">
            <v>44973.836770833332</v>
          </cell>
          <cell r="AI1909" t="str">
            <v>N52</v>
          </cell>
          <cell r="AJ1909" t="str">
            <v>F</v>
          </cell>
          <cell r="AK1909" t="str">
            <v>A</v>
          </cell>
        </row>
        <row r="1910">
          <cell r="A1910" t="str">
            <v>5368772</v>
          </cell>
          <cell r="B1910" t="e">
            <v>#N/A</v>
          </cell>
          <cell r="C1910" t="e">
            <v>#N/A</v>
          </cell>
          <cell r="D1910" t="str">
            <v>EK65</v>
          </cell>
          <cell r="E1910" t="str">
            <v>709826</v>
          </cell>
          <cell r="F1910" t="str">
            <v>B</v>
          </cell>
          <cell r="G1910" t="str">
            <v>5368772</v>
          </cell>
          <cell r="H1910" t="str">
            <v>HINTERLAGE</v>
          </cell>
          <cell r="I1910">
            <v>1</v>
          </cell>
          <cell r="J1910" t="str">
            <v>Stk</v>
          </cell>
          <cell r="K1910">
            <v>44975</v>
          </cell>
          <cell r="L1910" t="str">
            <v/>
          </cell>
          <cell r="M1910" t="str">
            <v/>
          </cell>
          <cell r="N1910" t="str">
            <v/>
          </cell>
          <cell r="O1910" t="str">
            <v/>
          </cell>
          <cell r="P1910" t="str">
            <v/>
          </cell>
          <cell r="Q1910" t="str">
            <v/>
          </cell>
          <cell r="R1910" t="str">
            <v/>
          </cell>
          <cell r="S1910" t="str">
            <v/>
          </cell>
          <cell r="T1910" t="str">
            <v/>
          </cell>
          <cell r="U1910" t="str">
            <v/>
          </cell>
          <cell r="V1910" t="str">
            <v>N52</v>
          </cell>
          <cell r="W1910" t="str">
            <v/>
          </cell>
          <cell r="X1910" t="str">
            <v/>
          </cell>
          <cell r="Y1910" t="str">
            <v/>
          </cell>
          <cell r="Z1910" t="str">
            <v/>
          </cell>
          <cell r="AA1910" t="str">
            <v/>
          </cell>
          <cell r="AB1910" t="str">
            <v>PA_1254821-DD.6001-4P.1</v>
          </cell>
          <cell r="AC1910">
            <v>5</v>
          </cell>
          <cell r="AD1910" t="str">
            <v/>
          </cell>
          <cell r="AE1910">
            <v>0</v>
          </cell>
          <cell r="AF1910" t="str">
            <v/>
          </cell>
          <cell r="AG1910" t="str">
            <v>5368772</v>
          </cell>
          <cell r="AH1910">
            <v>44973.836770833332</v>
          </cell>
          <cell r="AI1910" t="str">
            <v>N52</v>
          </cell>
          <cell r="AJ1910" t="str">
            <v>F</v>
          </cell>
          <cell r="AK1910" t="str">
            <v>A</v>
          </cell>
        </row>
        <row r="1911">
          <cell r="A1911" t="str">
            <v>5368772</v>
          </cell>
          <cell r="B1911" t="e">
            <v>#N/A</v>
          </cell>
          <cell r="C1911" t="e">
            <v>#N/A</v>
          </cell>
          <cell r="D1911" t="str">
            <v>EK65</v>
          </cell>
          <cell r="E1911" t="str">
            <v>709827</v>
          </cell>
          <cell r="F1911" t="str">
            <v>B</v>
          </cell>
          <cell r="G1911" t="str">
            <v>5368772</v>
          </cell>
          <cell r="H1911" t="str">
            <v>HINTERLAGE</v>
          </cell>
          <cell r="I1911">
            <v>1</v>
          </cell>
          <cell r="J1911" t="str">
            <v>Stk</v>
          </cell>
          <cell r="K1911">
            <v>44975</v>
          </cell>
          <cell r="L1911" t="str">
            <v/>
          </cell>
          <cell r="M1911" t="str">
            <v/>
          </cell>
          <cell r="N1911" t="str">
            <v/>
          </cell>
          <cell r="O1911" t="str">
            <v/>
          </cell>
          <cell r="P1911" t="str">
            <v/>
          </cell>
          <cell r="Q1911" t="str">
            <v/>
          </cell>
          <cell r="R1911" t="str">
            <v/>
          </cell>
          <cell r="S1911" t="str">
            <v/>
          </cell>
          <cell r="T1911" t="str">
            <v/>
          </cell>
          <cell r="U1911" t="str">
            <v/>
          </cell>
          <cell r="V1911" t="str">
            <v>N52</v>
          </cell>
          <cell r="W1911" t="str">
            <v/>
          </cell>
          <cell r="X1911" t="str">
            <v/>
          </cell>
          <cell r="Y1911" t="str">
            <v/>
          </cell>
          <cell r="Z1911" t="str">
            <v/>
          </cell>
          <cell r="AA1911" t="str">
            <v/>
          </cell>
          <cell r="AB1911" t="str">
            <v>PA_1254821-DD.6001-4P.1</v>
          </cell>
          <cell r="AC1911">
            <v>5</v>
          </cell>
          <cell r="AD1911" t="str">
            <v/>
          </cell>
          <cell r="AE1911">
            <v>0</v>
          </cell>
          <cell r="AF1911" t="str">
            <v/>
          </cell>
          <cell r="AG1911" t="str">
            <v>5368772</v>
          </cell>
          <cell r="AH1911">
            <v>44973.836770833332</v>
          </cell>
          <cell r="AI1911" t="str">
            <v>N52</v>
          </cell>
          <cell r="AJ1911" t="str">
            <v>F</v>
          </cell>
          <cell r="AK1911" t="str">
            <v>A</v>
          </cell>
        </row>
        <row r="1912">
          <cell r="A1912" t="str">
            <v>0693544831008</v>
          </cell>
          <cell r="B1912">
            <v>0</v>
          </cell>
          <cell r="C1912" t="e">
            <v>#N/A</v>
          </cell>
          <cell r="D1912" t="str">
            <v>EK65</v>
          </cell>
          <cell r="E1912" t="str">
            <v>709862</v>
          </cell>
          <cell r="F1912" t="str">
            <v>E</v>
          </cell>
          <cell r="G1912" t="str">
            <v>0693544</v>
          </cell>
          <cell r="H1912" t="str">
            <v>Halter</v>
          </cell>
          <cell r="I1912">
            <v>1</v>
          </cell>
          <cell r="J1912" t="str">
            <v>Stk</v>
          </cell>
          <cell r="K1912">
            <v>44973</v>
          </cell>
          <cell r="L1912" t="str">
            <v>831008</v>
          </cell>
          <cell r="M1912" t="str">
            <v/>
          </cell>
          <cell r="N1912" t="str">
            <v/>
          </cell>
          <cell r="O1912" t="str">
            <v/>
          </cell>
          <cell r="P1912" t="str">
            <v/>
          </cell>
          <cell r="Q1912" t="str">
            <v/>
          </cell>
          <cell r="R1912" t="str">
            <v/>
          </cell>
          <cell r="S1912" t="str">
            <v/>
          </cell>
          <cell r="T1912" t="str">
            <v/>
          </cell>
          <cell r="U1912" t="str">
            <v/>
          </cell>
          <cell r="V1912" t="str">
            <v>N52</v>
          </cell>
          <cell r="W1912" t="str">
            <v/>
          </cell>
          <cell r="X1912" t="str">
            <v/>
          </cell>
          <cell r="Y1912" t="str">
            <v/>
          </cell>
          <cell r="Z1912" t="str">
            <v/>
          </cell>
          <cell r="AA1912" t="str">
            <v/>
          </cell>
          <cell r="AB1912" t="str">
            <v>PA_2212239-UA.7500-3</v>
          </cell>
          <cell r="AC1912">
            <v>1</v>
          </cell>
          <cell r="AD1912" t="str">
            <v/>
          </cell>
          <cell r="AE1912">
            <v>0</v>
          </cell>
          <cell r="AF1912" t="str">
            <v/>
          </cell>
          <cell r="AG1912" t="str">
            <v>0693544</v>
          </cell>
          <cell r="AH1912">
            <v>44973.866307870368</v>
          </cell>
          <cell r="AI1912" t="str">
            <v>N52</v>
          </cell>
          <cell r="AJ1912" t="str">
            <v>F</v>
          </cell>
          <cell r="AK1912" t="str">
            <v>A</v>
          </cell>
        </row>
        <row r="1913">
          <cell r="A1913" t="str">
            <v>0874594831008</v>
          </cell>
          <cell r="B1913">
            <v>0</v>
          </cell>
          <cell r="C1913" t="e">
            <v>#N/A</v>
          </cell>
          <cell r="D1913" t="str">
            <v>EK65</v>
          </cell>
          <cell r="E1913" t="str">
            <v>709864</v>
          </cell>
          <cell r="F1913" t="str">
            <v>E</v>
          </cell>
          <cell r="G1913" t="str">
            <v>0874594</v>
          </cell>
          <cell r="H1913" t="str">
            <v>Z-Blech</v>
          </cell>
          <cell r="I1913">
            <v>1</v>
          </cell>
          <cell r="J1913" t="str">
            <v>Stk</v>
          </cell>
          <cell r="K1913">
            <v>44973</v>
          </cell>
          <cell r="L1913" t="str">
            <v>831008</v>
          </cell>
          <cell r="M1913" t="str">
            <v/>
          </cell>
          <cell r="N1913" t="str">
            <v/>
          </cell>
          <cell r="O1913" t="str">
            <v/>
          </cell>
          <cell r="P1913" t="str">
            <v/>
          </cell>
          <cell r="Q1913" t="str">
            <v/>
          </cell>
          <cell r="R1913" t="str">
            <v/>
          </cell>
          <cell r="S1913" t="str">
            <v/>
          </cell>
          <cell r="T1913" t="str">
            <v/>
          </cell>
          <cell r="U1913" t="str">
            <v/>
          </cell>
          <cell r="V1913" t="str">
            <v>N52</v>
          </cell>
          <cell r="W1913" t="str">
            <v/>
          </cell>
          <cell r="X1913" t="str">
            <v/>
          </cell>
          <cell r="Y1913" t="str">
            <v/>
          </cell>
          <cell r="Z1913" t="str">
            <v/>
          </cell>
          <cell r="AA1913" t="str">
            <v/>
          </cell>
          <cell r="AB1913" t="str">
            <v>PA_2228752-UF.7500-3</v>
          </cell>
          <cell r="AC1913">
            <v>1</v>
          </cell>
          <cell r="AD1913" t="str">
            <v/>
          </cell>
          <cell r="AE1913">
            <v>0</v>
          </cell>
          <cell r="AF1913" t="str">
            <v/>
          </cell>
          <cell r="AG1913" t="str">
            <v>0874594</v>
          </cell>
          <cell r="AH1913">
            <v>44973.867129629631</v>
          </cell>
          <cell r="AI1913" t="str">
            <v>N52</v>
          </cell>
          <cell r="AJ1913" t="str">
            <v>F</v>
          </cell>
          <cell r="AK1913" t="str">
            <v/>
          </cell>
        </row>
        <row r="1914">
          <cell r="A1914" t="str">
            <v>1204167831008</v>
          </cell>
          <cell r="B1914">
            <v>0</v>
          </cell>
          <cell r="C1914" t="e">
            <v>#N/A</v>
          </cell>
          <cell r="D1914" t="str">
            <v>EK65</v>
          </cell>
          <cell r="E1914" t="str">
            <v>709903</v>
          </cell>
          <cell r="F1914" t="str">
            <v>E</v>
          </cell>
          <cell r="G1914" t="str">
            <v>1204167</v>
          </cell>
          <cell r="H1914" t="str">
            <v>Befestigungswinkel Absperrhahn</v>
          </cell>
          <cell r="I1914">
            <v>2</v>
          </cell>
          <cell r="J1914" t="str">
            <v>Stk</v>
          </cell>
          <cell r="K1914">
            <v>44973</v>
          </cell>
          <cell r="L1914" t="str">
            <v>831008</v>
          </cell>
          <cell r="M1914" t="str">
            <v/>
          </cell>
          <cell r="N1914" t="str">
            <v/>
          </cell>
          <cell r="O1914" t="str">
            <v/>
          </cell>
          <cell r="P1914" t="str">
            <v/>
          </cell>
          <cell r="Q1914" t="str">
            <v/>
          </cell>
          <cell r="R1914" t="str">
            <v/>
          </cell>
          <cell r="S1914" t="str">
            <v/>
          </cell>
          <cell r="T1914" t="str">
            <v/>
          </cell>
          <cell r="U1914" t="str">
            <v/>
          </cell>
          <cell r="V1914" t="str">
            <v>N52</v>
          </cell>
          <cell r="W1914" t="str">
            <v/>
          </cell>
          <cell r="X1914" t="str">
            <v/>
          </cell>
          <cell r="Y1914" t="str">
            <v/>
          </cell>
          <cell r="Z1914" t="str">
            <v/>
          </cell>
          <cell r="AA1914" t="str">
            <v/>
          </cell>
          <cell r="AB1914" t="str">
            <v>PA_2300119-JG.7500-4</v>
          </cell>
          <cell r="AC1914">
            <v>1</v>
          </cell>
          <cell r="AD1914" t="str">
            <v/>
          </cell>
          <cell r="AE1914">
            <v>0</v>
          </cell>
          <cell r="AF1914" t="str">
            <v/>
          </cell>
          <cell r="AG1914" t="str">
            <v>1204167</v>
          </cell>
          <cell r="AH1914">
            <v>44973.871562499997</v>
          </cell>
          <cell r="AI1914" t="str">
            <v>N52</v>
          </cell>
          <cell r="AJ1914" t="str">
            <v>F</v>
          </cell>
          <cell r="AK1914" t="str">
            <v/>
          </cell>
        </row>
        <row r="1915">
          <cell r="A1915" t="str">
            <v>12527665829053</v>
          </cell>
          <cell r="B1915">
            <v>0</v>
          </cell>
          <cell r="C1915">
            <v>14</v>
          </cell>
          <cell r="D1915" t="str">
            <v>EK65</v>
          </cell>
          <cell r="E1915" t="str">
            <v>709908</v>
          </cell>
          <cell r="F1915" t="str">
            <v>E</v>
          </cell>
          <cell r="G1915" t="str">
            <v>12527665</v>
          </cell>
          <cell r="H1915" t="str">
            <v>Halter</v>
          </cell>
          <cell r="I1915">
            <v>51</v>
          </cell>
          <cell r="J1915" t="str">
            <v>Stk</v>
          </cell>
          <cell r="K1915">
            <v>45212</v>
          </cell>
          <cell r="L1915" t="str">
            <v>829053</v>
          </cell>
          <cell r="M1915" t="str">
            <v/>
          </cell>
          <cell r="N1915" t="str">
            <v/>
          </cell>
          <cell r="O1915" t="str">
            <v/>
          </cell>
          <cell r="P1915" t="str">
            <v/>
          </cell>
          <cell r="Q1915" t="str">
            <v/>
          </cell>
          <cell r="R1915" t="str">
            <v/>
          </cell>
          <cell r="S1915" t="str">
            <v/>
          </cell>
          <cell r="T1915" t="str">
            <v/>
          </cell>
          <cell r="U1915" t="str">
            <v/>
          </cell>
          <cell r="V1915" t="str">
            <v>N52</v>
          </cell>
          <cell r="W1915" t="str">
            <v/>
          </cell>
          <cell r="X1915" t="str">
            <v/>
          </cell>
          <cell r="Y1915" t="str">
            <v/>
          </cell>
          <cell r="Z1915" t="str">
            <v/>
          </cell>
          <cell r="AA1915" t="str">
            <v/>
          </cell>
          <cell r="AB1915" t="str">
            <v>BU_4048696-CF.7005-3</v>
          </cell>
          <cell r="AC1915">
            <v>1</v>
          </cell>
          <cell r="AD1915" t="str">
            <v/>
          </cell>
          <cell r="AE1915">
            <v>0</v>
          </cell>
          <cell r="AF1915" t="str">
            <v/>
          </cell>
          <cell r="AG1915" t="str">
            <v>12527665</v>
          </cell>
          <cell r="AH1915">
            <v>44973.878530092596</v>
          </cell>
          <cell r="AI1915" t="str">
            <v>N52</v>
          </cell>
          <cell r="AJ1915" t="str">
            <v>F</v>
          </cell>
          <cell r="AK1915" t="str">
            <v>A</v>
          </cell>
        </row>
        <row r="1916">
          <cell r="A1916" t="str">
            <v>12527665829051</v>
          </cell>
          <cell r="B1916" t="str">
            <v>Übergabe Task Force</v>
          </cell>
          <cell r="C1916">
            <v>14</v>
          </cell>
          <cell r="D1916" t="str">
            <v>EK65</v>
          </cell>
          <cell r="E1916" t="str">
            <v>709909</v>
          </cell>
          <cell r="F1916" t="str">
            <v>E</v>
          </cell>
          <cell r="G1916" t="str">
            <v>12527665</v>
          </cell>
          <cell r="H1916" t="str">
            <v>Halter</v>
          </cell>
          <cell r="I1916">
            <v>90</v>
          </cell>
          <cell r="J1916" t="str">
            <v>Stk</v>
          </cell>
          <cell r="K1916">
            <v>45330</v>
          </cell>
          <cell r="L1916" t="str">
            <v>829051</v>
          </cell>
          <cell r="M1916" t="str">
            <v/>
          </cell>
          <cell r="N1916" t="str">
            <v/>
          </cell>
          <cell r="O1916" t="str">
            <v/>
          </cell>
          <cell r="P1916" t="str">
            <v/>
          </cell>
          <cell r="Q1916" t="str">
            <v/>
          </cell>
          <cell r="R1916" t="str">
            <v/>
          </cell>
          <cell r="S1916" t="str">
            <v/>
          </cell>
          <cell r="T1916" t="str">
            <v/>
          </cell>
          <cell r="U1916" t="str">
            <v/>
          </cell>
          <cell r="V1916" t="str">
            <v>N52</v>
          </cell>
          <cell r="W1916" t="str">
            <v/>
          </cell>
          <cell r="X1916" t="str">
            <v/>
          </cell>
          <cell r="Y1916" t="str">
            <v/>
          </cell>
          <cell r="Z1916" t="str">
            <v/>
          </cell>
          <cell r="AA1916" t="str">
            <v/>
          </cell>
          <cell r="AB1916" t="str">
            <v>BU_4048696-CF.7005-3</v>
          </cell>
          <cell r="AC1916">
            <v>1</v>
          </cell>
          <cell r="AD1916" t="str">
            <v/>
          </cell>
          <cell r="AE1916">
            <v>0</v>
          </cell>
          <cell r="AF1916" t="str">
            <v/>
          </cell>
          <cell r="AG1916" t="str">
            <v>12527665</v>
          </cell>
          <cell r="AH1916">
            <v>44973.878530092596</v>
          </cell>
          <cell r="AI1916" t="str">
            <v>N52</v>
          </cell>
          <cell r="AJ1916" t="str">
            <v>F</v>
          </cell>
          <cell r="AK1916" t="str">
            <v>A</v>
          </cell>
        </row>
        <row r="1917">
          <cell r="A1917" t="str">
            <v>12551032</v>
          </cell>
          <cell r="B1917" t="str">
            <v>Übergabe Task Force</v>
          </cell>
          <cell r="C1917" t="e">
            <v>#N/A</v>
          </cell>
          <cell r="D1917" t="str">
            <v>EK65</v>
          </cell>
          <cell r="E1917" t="str">
            <v>709937</v>
          </cell>
          <cell r="F1917" t="str">
            <v>B</v>
          </cell>
          <cell r="G1917" t="str">
            <v>12551032</v>
          </cell>
          <cell r="H1917" t="str">
            <v>Distanzplatte 1mm</v>
          </cell>
          <cell r="I1917">
            <v>60</v>
          </cell>
          <cell r="J1917" t="str">
            <v>Stk</v>
          </cell>
          <cell r="K1917">
            <v>44974</v>
          </cell>
          <cell r="L1917" t="str">
            <v/>
          </cell>
          <cell r="M1917" t="str">
            <v/>
          </cell>
          <cell r="N1917" t="str">
            <v/>
          </cell>
          <cell r="O1917" t="str">
            <v/>
          </cell>
          <cell r="P1917" t="str">
            <v/>
          </cell>
          <cell r="Q1917" t="str">
            <v/>
          </cell>
          <cell r="R1917" t="str">
            <v/>
          </cell>
          <cell r="S1917" t="str">
            <v/>
          </cell>
          <cell r="T1917" t="str">
            <v/>
          </cell>
          <cell r="U1917" t="str">
            <v/>
          </cell>
          <cell r="V1917" t="str">
            <v>N52</v>
          </cell>
          <cell r="W1917" t="str">
            <v/>
          </cell>
          <cell r="X1917" t="str">
            <v/>
          </cell>
          <cell r="Y1917" t="str">
            <v/>
          </cell>
          <cell r="Z1917" t="str">
            <v/>
          </cell>
          <cell r="AA1917" t="str">
            <v/>
          </cell>
          <cell r="AB1917" t="str">
            <v>PA_4519663-DC.7004-4</v>
          </cell>
          <cell r="AC1917">
            <v>1</v>
          </cell>
          <cell r="AD1917" t="str">
            <v/>
          </cell>
          <cell r="AE1917">
            <v>0</v>
          </cell>
          <cell r="AF1917" t="str">
            <v/>
          </cell>
          <cell r="AG1917" t="str">
            <v>12551032</v>
          </cell>
          <cell r="AH1917">
            <v>44973.880902777775</v>
          </cell>
          <cell r="AI1917" t="str">
            <v>N52</v>
          </cell>
          <cell r="AJ1917" t="str">
            <v>F</v>
          </cell>
          <cell r="AK1917" t="str">
            <v/>
          </cell>
        </row>
        <row r="1918">
          <cell r="A1918" t="str">
            <v>2502740831008</v>
          </cell>
          <cell r="B1918">
            <v>0</v>
          </cell>
          <cell r="C1918" t="e">
            <v>#N/A</v>
          </cell>
          <cell r="D1918" t="str">
            <v>EK65</v>
          </cell>
          <cell r="E1918" t="str">
            <v>709982</v>
          </cell>
          <cell r="F1918" t="str">
            <v>E</v>
          </cell>
          <cell r="G1918" t="str">
            <v>2502740</v>
          </cell>
          <cell r="H1918" t="str">
            <v>Einzelstueck</v>
          </cell>
          <cell r="I1918">
            <v>1</v>
          </cell>
          <cell r="J1918" t="str">
            <v>Stk</v>
          </cell>
          <cell r="K1918">
            <v>44973</v>
          </cell>
          <cell r="L1918" t="str">
            <v>831008</v>
          </cell>
          <cell r="M1918" t="str">
            <v/>
          </cell>
          <cell r="N1918" t="str">
            <v/>
          </cell>
          <cell r="O1918" t="str">
            <v/>
          </cell>
          <cell r="P1918" t="str">
            <v/>
          </cell>
          <cell r="Q1918" t="str">
            <v/>
          </cell>
          <cell r="R1918" t="str">
            <v/>
          </cell>
          <cell r="S1918" t="str">
            <v/>
          </cell>
          <cell r="T1918" t="str">
            <v/>
          </cell>
          <cell r="U1918" t="str">
            <v/>
          </cell>
          <cell r="V1918" t="str">
            <v>N52</v>
          </cell>
          <cell r="W1918" t="str">
            <v/>
          </cell>
          <cell r="X1918" t="str">
            <v/>
          </cell>
          <cell r="Y1918" t="str">
            <v/>
          </cell>
          <cell r="Z1918" t="str">
            <v/>
          </cell>
          <cell r="AA1918" t="str">
            <v/>
          </cell>
          <cell r="AB1918" t="str">
            <v>PA_2200970-UA.7500-2</v>
          </cell>
          <cell r="AC1918">
            <v>1</v>
          </cell>
          <cell r="AD1918" t="str">
            <v/>
          </cell>
          <cell r="AE1918">
            <v>0</v>
          </cell>
          <cell r="AF1918" t="str">
            <v/>
          </cell>
          <cell r="AG1918" t="str">
            <v>2502740</v>
          </cell>
          <cell r="AH1918">
            <v>44973.889444444445</v>
          </cell>
          <cell r="AI1918" t="str">
            <v>N52</v>
          </cell>
          <cell r="AJ1918" t="str">
            <v>F</v>
          </cell>
          <cell r="AK1918" t="str">
            <v>A</v>
          </cell>
        </row>
        <row r="1919">
          <cell r="A1919" t="str">
            <v>12557256829051</v>
          </cell>
          <cell r="B1919" t="str">
            <v>Übergabe Task Force</v>
          </cell>
          <cell r="C1919" t="e">
            <v>#N/A</v>
          </cell>
          <cell r="D1919" t="str">
            <v>EK65</v>
          </cell>
          <cell r="E1919" t="str">
            <v>710219</v>
          </cell>
          <cell r="F1919" t="str">
            <v>E</v>
          </cell>
          <cell r="G1919" t="str">
            <v>12557256</v>
          </cell>
          <cell r="H1919" t="str">
            <v>Halter vollst.</v>
          </cell>
          <cell r="I1919">
            <v>45</v>
          </cell>
          <cell r="J1919" t="str">
            <v>Stk</v>
          </cell>
          <cell r="K1919">
            <v>45328</v>
          </cell>
          <cell r="L1919" t="str">
            <v>829051</v>
          </cell>
          <cell r="M1919" t="str">
            <v/>
          </cell>
          <cell r="N1919" t="str">
            <v/>
          </cell>
          <cell r="O1919" t="str">
            <v/>
          </cell>
          <cell r="P1919" t="str">
            <v/>
          </cell>
          <cell r="Q1919" t="str">
            <v/>
          </cell>
          <cell r="R1919" t="str">
            <v/>
          </cell>
          <cell r="S1919" t="str">
            <v/>
          </cell>
          <cell r="T1919" t="str">
            <v/>
          </cell>
          <cell r="U1919" t="str">
            <v/>
          </cell>
          <cell r="V1919" t="str">
            <v>N38</v>
          </cell>
          <cell r="W1919" t="str">
            <v/>
          </cell>
          <cell r="X1919" t="str">
            <v/>
          </cell>
          <cell r="Y1919" t="str">
            <v/>
          </cell>
          <cell r="Z1919" t="str">
            <v/>
          </cell>
          <cell r="AA1919" t="str">
            <v/>
          </cell>
          <cell r="AB1919" t="str">
            <v>PA_4607173-UA.7004-3</v>
          </cell>
          <cell r="AC1919">
            <v>1</v>
          </cell>
          <cell r="AD1919" t="str">
            <v/>
          </cell>
          <cell r="AE1919">
            <v>0</v>
          </cell>
          <cell r="AF1919" t="str">
            <v/>
          </cell>
          <cell r="AG1919" t="str">
            <v>12557256</v>
          </cell>
          <cell r="AH1919">
            <v>44974.538124999999</v>
          </cell>
          <cell r="AI1919" t="str">
            <v>N38</v>
          </cell>
          <cell r="AJ1919" t="str">
            <v>F</v>
          </cell>
          <cell r="AK1919" t="str">
            <v/>
          </cell>
        </row>
        <row r="1920">
          <cell r="A1920" t="str">
            <v>12546468829051</v>
          </cell>
          <cell r="B1920" t="str">
            <v>BL20230413-2</v>
          </cell>
          <cell r="C1920" t="e">
            <v>#N/A</v>
          </cell>
          <cell r="D1920" t="str">
            <v>EK65</v>
          </cell>
          <cell r="E1920" t="str">
            <v>710220</v>
          </cell>
          <cell r="F1920" t="str">
            <v>E</v>
          </cell>
          <cell r="G1920" t="str">
            <v>12546468</v>
          </cell>
          <cell r="H1920" t="str">
            <v>LBG FGR Befestigung</v>
          </cell>
          <cell r="I1920">
            <v>1223</v>
          </cell>
          <cell r="J1920" t="str">
            <v>Stk</v>
          </cell>
          <cell r="K1920">
            <v>45343</v>
          </cell>
          <cell r="L1920" t="str">
            <v>829051</v>
          </cell>
          <cell r="M1920" t="str">
            <v/>
          </cell>
          <cell r="N1920" t="str">
            <v/>
          </cell>
          <cell r="O1920" t="str">
            <v/>
          </cell>
          <cell r="P1920" t="str">
            <v/>
          </cell>
          <cell r="Q1920" t="str">
            <v/>
          </cell>
          <cell r="R1920" t="str">
            <v/>
          </cell>
          <cell r="S1920" t="str">
            <v/>
          </cell>
          <cell r="T1920" t="str">
            <v/>
          </cell>
          <cell r="U1920" t="str">
            <v/>
          </cell>
          <cell r="V1920" t="str">
            <v>N38</v>
          </cell>
          <cell r="W1920" t="str">
            <v/>
          </cell>
          <cell r="X1920" t="str">
            <v/>
          </cell>
          <cell r="Y1920" t="str">
            <v/>
          </cell>
          <cell r="Z1920" t="str">
            <v/>
          </cell>
          <cell r="AA1920" t="str">
            <v/>
          </cell>
          <cell r="AB1920" t="str">
            <v>PA_2333193-LA.7004-3</v>
          </cell>
          <cell r="AC1920">
            <v>1</v>
          </cell>
          <cell r="AD1920" t="str">
            <v/>
          </cell>
          <cell r="AE1920">
            <v>0</v>
          </cell>
          <cell r="AF1920" t="str">
            <v/>
          </cell>
          <cell r="AG1920" t="str">
            <v>12546468</v>
          </cell>
          <cell r="AH1920">
            <v>44974.540856481479</v>
          </cell>
          <cell r="AI1920" t="str">
            <v>N38</v>
          </cell>
          <cell r="AJ1920" t="str">
            <v>F</v>
          </cell>
          <cell r="AK1920" t="str">
            <v/>
          </cell>
        </row>
        <row r="1921">
          <cell r="A1921" t="str">
            <v>12546468829052</v>
          </cell>
          <cell r="B1921" t="str">
            <v>Übergabe Task Force</v>
          </cell>
          <cell r="C1921" t="e">
            <v>#N/A</v>
          </cell>
          <cell r="D1921" t="str">
            <v>EK65</v>
          </cell>
          <cell r="E1921" t="str">
            <v>710222</v>
          </cell>
          <cell r="F1921" t="str">
            <v>E</v>
          </cell>
          <cell r="G1921" t="str">
            <v>12546468</v>
          </cell>
          <cell r="H1921" t="str">
            <v>LBG FGR Befestigung</v>
          </cell>
          <cell r="I1921">
            <v>436</v>
          </cell>
          <cell r="J1921" t="str">
            <v>Stk</v>
          </cell>
          <cell r="K1921">
            <v>45356</v>
          </cell>
          <cell r="L1921" t="str">
            <v>829052</v>
          </cell>
          <cell r="M1921" t="str">
            <v/>
          </cell>
          <cell r="N1921" t="str">
            <v/>
          </cell>
          <cell r="O1921" t="str">
            <v/>
          </cell>
          <cell r="P1921" t="str">
            <v/>
          </cell>
          <cell r="Q1921" t="str">
            <v/>
          </cell>
          <cell r="R1921" t="str">
            <v/>
          </cell>
          <cell r="S1921" t="str">
            <v/>
          </cell>
          <cell r="T1921" t="str">
            <v/>
          </cell>
          <cell r="U1921" t="str">
            <v/>
          </cell>
          <cell r="V1921" t="str">
            <v>N38</v>
          </cell>
          <cell r="W1921" t="str">
            <v/>
          </cell>
          <cell r="X1921" t="str">
            <v/>
          </cell>
          <cell r="Y1921" t="str">
            <v/>
          </cell>
          <cell r="Z1921" t="str">
            <v/>
          </cell>
          <cell r="AA1921" t="str">
            <v/>
          </cell>
          <cell r="AB1921" t="str">
            <v>PA_2333193-LA.7004-3</v>
          </cell>
          <cell r="AC1921">
            <v>1</v>
          </cell>
          <cell r="AD1921" t="str">
            <v/>
          </cell>
          <cell r="AE1921">
            <v>0</v>
          </cell>
          <cell r="AF1921" t="str">
            <v/>
          </cell>
          <cell r="AG1921" t="str">
            <v>12546468</v>
          </cell>
          <cell r="AH1921">
            <v>44974.541979166665</v>
          </cell>
          <cell r="AI1921" t="str">
            <v>N38</v>
          </cell>
          <cell r="AJ1921" t="str">
            <v>F</v>
          </cell>
          <cell r="AK1921" t="str">
            <v/>
          </cell>
        </row>
        <row r="1922">
          <cell r="A1922" t="str">
            <v>1319789</v>
          </cell>
          <cell r="B1922" t="str">
            <v>BL20230413-2</v>
          </cell>
          <cell r="C1922" t="e">
            <v>#N/A</v>
          </cell>
          <cell r="D1922" t="str">
            <v>EK65</v>
          </cell>
          <cell r="E1922" t="str">
            <v>710235</v>
          </cell>
          <cell r="F1922" t="str">
            <v>B</v>
          </cell>
          <cell r="G1922" t="str">
            <v>1319789</v>
          </cell>
          <cell r="H1922" t="str">
            <v>Beilage 2 mm</v>
          </cell>
          <cell r="I1922">
            <v>202</v>
          </cell>
          <cell r="J1922" t="str">
            <v>Stk</v>
          </cell>
          <cell r="K1922">
            <v>44976</v>
          </cell>
          <cell r="L1922" t="str">
            <v/>
          </cell>
          <cell r="M1922" t="str">
            <v/>
          </cell>
          <cell r="N1922" t="str">
            <v/>
          </cell>
          <cell r="O1922" t="str">
            <v/>
          </cell>
          <cell r="P1922" t="str">
            <v/>
          </cell>
          <cell r="Q1922" t="str">
            <v/>
          </cell>
          <cell r="R1922" t="str">
            <v/>
          </cell>
          <cell r="S1922" t="str">
            <v/>
          </cell>
          <cell r="T1922" t="str">
            <v/>
          </cell>
          <cell r="U1922" t="str">
            <v/>
          </cell>
          <cell r="V1922" t="str">
            <v>N52</v>
          </cell>
          <cell r="W1922" t="str">
            <v/>
          </cell>
          <cell r="X1922" t="str">
            <v/>
          </cell>
          <cell r="Y1922" t="str">
            <v/>
          </cell>
          <cell r="Z1922" t="str">
            <v/>
          </cell>
          <cell r="AA1922" t="str">
            <v/>
          </cell>
          <cell r="AB1922" t="str">
            <v>PA_2195538-UA.7500-4</v>
          </cell>
          <cell r="AC1922">
            <v>4</v>
          </cell>
          <cell r="AD1922" t="str">
            <v/>
          </cell>
          <cell r="AE1922">
            <v>0</v>
          </cell>
          <cell r="AF1922" t="str">
            <v/>
          </cell>
          <cell r="AG1922" t="str">
            <v>1319789</v>
          </cell>
          <cell r="AH1922">
            <v>44974.835231481484</v>
          </cell>
          <cell r="AI1922" t="str">
            <v>N52</v>
          </cell>
          <cell r="AJ1922" t="str">
            <v>F</v>
          </cell>
          <cell r="AK1922" t="str">
            <v/>
          </cell>
        </row>
        <row r="1923">
          <cell r="A1923" t="str">
            <v>12527629829053</v>
          </cell>
          <cell r="B1923">
            <v>0</v>
          </cell>
          <cell r="C1923">
            <v>6</v>
          </cell>
          <cell r="D1923" t="str">
            <v>EK65</v>
          </cell>
          <cell r="E1923" t="str">
            <v>710270</v>
          </cell>
          <cell r="F1923" t="str">
            <v>E</v>
          </cell>
          <cell r="G1923" t="str">
            <v>12527629</v>
          </cell>
          <cell r="H1923" t="str">
            <v>Halter</v>
          </cell>
          <cell r="I1923">
            <v>51</v>
          </cell>
          <cell r="J1923" t="str">
            <v>Stk</v>
          </cell>
          <cell r="K1923">
            <v>45212</v>
          </cell>
          <cell r="L1923" t="str">
            <v>829053</v>
          </cell>
          <cell r="M1923" t="str">
            <v/>
          </cell>
          <cell r="N1923" t="str">
            <v/>
          </cell>
          <cell r="O1923" t="str">
            <v/>
          </cell>
          <cell r="P1923" t="str">
            <v/>
          </cell>
          <cell r="Q1923" t="str">
            <v/>
          </cell>
          <cell r="R1923" t="str">
            <v/>
          </cell>
          <cell r="S1923" t="str">
            <v/>
          </cell>
          <cell r="T1923" t="str">
            <v/>
          </cell>
          <cell r="U1923" t="str">
            <v/>
          </cell>
          <cell r="V1923" t="str">
            <v>N52</v>
          </cell>
          <cell r="W1923" t="str">
            <v/>
          </cell>
          <cell r="X1923" t="str">
            <v/>
          </cell>
          <cell r="Y1923" t="str">
            <v/>
          </cell>
          <cell r="Z1923" t="str">
            <v/>
          </cell>
          <cell r="AA1923" t="str">
            <v/>
          </cell>
          <cell r="AB1923" t="str">
            <v>PA_4332080-CF.7005-3</v>
          </cell>
          <cell r="AC1923">
            <v>1</v>
          </cell>
          <cell r="AD1923" t="str">
            <v/>
          </cell>
          <cell r="AE1923">
            <v>0</v>
          </cell>
          <cell r="AF1923" t="str">
            <v/>
          </cell>
          <cell r="AG1923" t="str">
            <v>12527629</v>
          </cell>
          <cell r="AH1923">
            <v>44974.871400462966</v>
          </cell>
          <cell r="AI1923" t="str">
            <v>N52</v>
          </cell>
          <cell r="AJ1923" t="str">
            <v>F</v>
          </cell>
          <cell r="AK1923" t="str">
            <v>A</v>
          </cell>
        </row>
        <row r="1924">
          <cell r="A1924" t="str">
            <v>12527891829053</v>
          </cell>
          <cell r="B1924">
            <v>0</v>
          </cell>
          <cell r="C1924">
            <v>6</v>
          </cell>
          <cell r="D1924" t="str">
            <v>EK65</v>
          </cell>
          <cell r="E1924" t="str">
            <v>710271</v>
          </cell>
          <cell r="F1924" t="str">
            <v>E</v>
          </cell>
          <cell r="G1924" t="str">
            <v>12527891</v>
          </cell>
          <cell r="H1924" t="str">
            <v>Halter</v>
          </cell>
          <cell r="I1924">
            <v>51</v>
          </cell>
          <cell r="J1924" t="str">
            <v>Stk</v>
          </cell>
          <cell r="K1924">
            <v>45212</v>
          </cell>
          <cell r="L1924" t="str">
            <v>829053</v>
          </cell>
          <cell r="M1924" t="str">
            <v/>
          </cell>
          <cell r="N1924" t="str">
            <v/>
          </cell>
          <cell r="O1924" t="str">
            <v/>
          </cell>
          <cell r="P1924" t="str">
            <v/>
          </cell>
          <cell r="Q1924" t="str">
            <v/>
          </cell>
          <cell r="R1924" t="str">
            <v/>
          </cell>
          <cell r="S1924" t="str">
            <v/>
          </cell>
          <cell r="T1924" t="str">
            <v/>
          </cell>
          <cell r="U1924" t="str">
            <v/>
          </cell>
          <cell r="V1924" t="str">
            <v>N52</v>
          </cell>
          <cell r="W1924" t="str">
            <v/>
          </cell>
          <cell r="X1924" t="str">
            <v/>
          </cell>
          <cell r="Y1924" t="str">
            <v/>
          </cell>
          <cell r="Z1924" t="str">
            <v/>
          </cell>
          <cell r="AA1924" t="str">
            <v/>
          </cell>
          <cell r="AB1924" t="str">
            <v>BU_4150728-CF.7005-3</v>
          </cell>
          <cell r="AC1924">
            <v>1</v>
          </cell>
          <cell r="AD1924" t="str">
            <v/>
          </cell>
          <cell r="AE1924">
            <v>0</v>
          </cell>
          <cell r="AF1924" t="str">
            <v/>
          </cell>
          <cell r="AG1924" t="str">
            <v>12527891</v>
          </cell>
          <cell r="AH1924">
            <v>44974.871435185189</v>
          </cell>
          <cell r="AI1924" t="str">
            <v>N52</v>
          </cell>
          <cell r="AJ1924" t="str">
            <v>F</v>
          </cell>
          <cell r="AK1924" t="str">
            <v>A</v>
          </cell>
        </row>
        <row r="1925">
          <cell r="A1925" t="str">
            <v>12528086829053</v>
          </cell>
          <cell r="B1925">
            <v>0</v>
          </cell>
          <cell r="C1925">
            <v>7</v>
          </cell>
          <cell r="D1925" t="str">
            <v>EK65</v>
          </cell>
          <cell r="E1925" t="str">
            <v>710272</v>
          </cell>
          <cell r="F1925" t="str">
            <v>E</v>
          </cell>
          <cell r="G1925" t="str">
            <v>12528086</v>
          </cell>
          <cell r="H1925" t="str">
            <v>Halter komplett</v>
          </cell>
          <cell r="I1925">
            <v>51</v>
          </cell>
          <cell r="J1925" t="str">
            <v>Stk</v>
          </cell>
          <cell r="K1925">
            <v>45212</v>
          </cell>
          <cell r="L1925" t="str">
            <v>829053</v>
          </cell>
          <cell r="M1925" t="str">
            <v/>
          </cell>
          <cell r="N1925" t="str">
            <v/>
          </cell>
          <cell r="O1925" t="str">
            <v/>
          </cell>
          <cell r="P1925" t="str">
            <v/>
          </cell>
          <cell r="Q1925" t="str">
            <v/>
          </cell>
          <cell r="R1925" t="str">
            <v/>
          </cell>
          <cell r="S1925" t="str">
            <v/>
          </cell>
          <cell r="T1925" t="str">
            <v/>
          </cell>
          <cell r="U1925" t="str">
            <v/>
          </cell>
          <cell r="V1925" t="str">
            <v>N52</v>
          </cell>
          <cell r="W1925" t="str">
            <v/>
          </cell>
          <cell r="X1925" t="str">
            <v/>
          </cell>
          <cell r="Y1925" t="str">
            <v/>
          </cell>
          <cell r="Z1925" t="str">
            <v/>
          </cell>
          <cell r="AA1925" t="str">
            <v/>
          </cell>
          <cell r="AB1925" t="str">
            <v>BU_4167870-CF.7005-3</v>
          </cell>
          <cell r="AC1925">
            <v>1</v>
          </cell>
          <cell r="AD1925" t="str">
            <v/>
          </cell>
          <cell r="AE1925">
            <v>0</v>
          </cell>
          <cell r="AF1925" t="str">
            <v/>
          </cell>
          <cell r="AG1925" t="str">
            <v>12528086</v>
          </cell>
          <cell r="AH1925">
            <v>44974.871631944443</v>
          </cell>
          <cell r="AI1925" t="str">
            <v>N52</v>
          </cell>
          <cell r="AJ1925" t="str">
            <v>F</v>
          </cell>
          <cell r="AK1925" t="str">
            <v>B</v>
          </cell>
        </row>
        <row r="1926">
          <cell r="A1926" t="str">
            <v>0657348820541</v>
          </cell>
          <cell r="B1926" t="str">
            <v>Übergabe Task Force</v>
          </cell>
          <cell r="C1926" t="e">
            <v>#N/A</v>
          </cell>
          <cell r="D1926" t="str">
            <v>EK65</v>
          </cell>
          <cell r="E1926" t="str">
            <v>710410</v>
          </cell>
          <cell r="F1926" t="str">
            <v>E</v>
          </cell>
          <cell r="G1926" t="str">
            <v>0657348</v>
          </cell>
          <cell r="H1926" t="str">
            <v>Halteblech</v>
          </cell>
          <cell r="I1926">
            <v>176</v>
          </cell>
          <cell r="J1926" t="str">
            <v>Stk</v>
          </cell>
          <cell r="K1926">
            <v>45147</v>
          </cell>
          <cell r="L1926" t="str">
            <v>820541</v>
          </cell>
          <cell r="M1926" t="str">
            <v/>
          </cell>
          <cell r="N1926" t="str">
            <v/>
          </cell>
          <cell r="O1926" t="str">
            <v/>
          </cell>
          <cell r="P1926" t="str">
            <v/>
          </cell>
          <cell r="Q1926" t="str">
            <v/>
          </cell>
          <cell r="R1926" t="str">
            <v/>
          </cell>
          <cell r="S1926" t="str">
            <v/>
          </cell>
          <cell r="T1926" t="str">
            <v/>
          </cell>
          <cell r="U1926" t="str">
            <v/>
          </cell>
          <cell r="V1926" t="str">
            <v>N52</v>
          </cell>
          <cell r="W1926" t="str">
            <v/>
          </cell>
          <cell r="X1926" t="str">
            <v/>
          </cell>
          <cell r="Y1926" t="str">
            <v/>
          </cell>
          <cell r="Z1926" t="str">
            <v/>
          </cell>
          <cell r="AA1926" t="str">
            <v/>
          </cell>
          <cell r="AB1926" t="str">
            <v>PA_2197864-UA.3034-3</v>
          </cell>
          <cell r="AC1926">
            <v>1</v>
          </cell>
          <cell r="AD1926" t="str">
            <v/>
          </cell>
          <cell r="AE1926">
            <v>0</v>
          </cell>
          <cell r="AF1926" t="str">
            <v/>
          </cell>
          <cell r="AG1926" t="str">
            <v>0657348</v>
          </cell>
          <cell r="AH1926">
            <v>44974.895624999997</v>
          </cell>
          <cell r="AI1926" t="str">
            <v>N52</v>
          </cell>
          <cell r="AJ1926" t="str">
            <v>F</v>
          </cell>
          <cell r="AK1926" t="str">
            <v/>
          </cell>
        </row>
        <row r="1927">
          <cell r="A1927" t="str">
            <v>0438834</v>
          </cell>
          <cell r="B1927" t="e">
            <v>#N/A</v>
          </cell>
          <cell r="C1927" t="e">
            <v>#N/A</v>
          </cell>
          <cell r="D1927" t="str">
            <v>EK65</v>
          </cell>
          <cell r="E1927" t="str">
            <v>710448</v>
          </cell>
          <cell r="F1927" t="str">
            <v>B</v>
          </cell>
          <cell r="G1927" t="str">
            <v>0438834</v>
          </cell>
          <cell r="H1927" t="str">
            <v>Unterlegscheibe</v>
          </cell>
          <cell r="I1927">
            <v>150</v>
          </cell>
          <cell r="J1927" t="str">
            <v>Stk</v>
          </cell>
          <cell r="K1927">
            <v>44979</v>
          </cell>
          <cell r="L1927" t="str">
            <v/>
          </cell>
          <cell r="M1927" t="str">
            <v/>
          </cell>
          <cell r="N1927" t="str">
            <v/>
          </cell>
          <cell r="O1927" t="str">
            <v/>
          </cell>
          <cell r="P1927" t="str">
            <v/>
          </cell>
          <cell r="Q1927" t="str">
            <v/>
          </cell>
          <cell r="R1927" t="str">
            <v/>
          </cell>
          <cell r="S1927" t="str">
            <v/>
          </cell>
          <cell r="T1927" t="str">
            <v/>
          </cell>
          <cell r="U1927" t="str">
            <v/>
          </cell>
          <cell r="V1927" t="str">
            <v>N52</v>
          </cell>
          <cell r="W1927" t="str">
            <v/>
          </cell>
          <cell r="X1927" t="str">
            <v/>
          </cell>
          <cell r="Y1927" t="str">
            <v/>
          </cell>
          <cell r="Z1927" t="str">
            <v/>
          </cell>
          <cell r="AA1927" t="str">
            <v/>
          </cell>
          <cell r="AB1927" t="str">
            <v>PA_2224762-CD.7500-4</v>
          </cell>
          <cell r="AC1927">
            <v>4</v>
          </cell>
          <cell r="AD1927" t="str">
            <v/>
          </cell>
          <cell r="AE1927">
            <v>0</v>
          </cell>
          <cell r="AF1927" t="str">
            <v/>
          </cell>
          <cell r="AG1927" t="str">
            <v>0438834</v>
          </cell>
          <cell r="AH1927">
            <v>44977.834004629629</v>
          </cell>
          <cell r="AI1927" t="str">
            <v>N52</v>
          </cell>
          <cell r="AJ1927" t="str">
            <v>F</v>
          </cell>
          <cell r="AK1927" t="str">
            <v/>
          </cell>
        </row>
        <row r="1928">
          <cell r="A1928" t="str">
            <v>1313554</v>
          </cell>
          <cell r="B1928" t="str">
            <v>Übergabe Task Force</v>
          </cell>
          <cell r="C1928" t="e">
            <v>#N/A</v>
          </cell>
          <cell r="D1928" t="str">
            <v>EK65</v>
          </cell>
          <cell r="E1928" t="str">
            <v>710452</v>
          </cell>
          <cell r="F1928" t="str">
            <v>B</v>
          </cell>
          <cell r="G1928" t="str">
            <v>1313554</v>
          </cell>
          <cell r="H1928" t="str">
            <v>Dehnhuelse M16 / 40mm</v>
          </cell>
          <cell r="I1928">
            <v>31</v>
          </cell>
          <cell r="J1928" t="str">
            <v>Stk</v>
          </cell>
          <cell r="K1928">
            <v>44979</v>
          </cell>
          <cell r="L1928" t="str">
            <v/>
          </cell>
          <cell r="M1928" t="str">
            <v/>
          </cell>
          <cell r="N1928" t="str">
            <v/>
          </cell>
          <cell r="O1928" t="str">
            <v/>
          </cell>
          <cell r="P1928" t="str">
            <v/>
          </cell>
          <cell r="Q1928" t="str">
            <v/>
          </cell>
          <cell r="R1928" t="str">
            <v/>
          </cell>
          <cell r="S1928" t="str">
            <v/>
          </cell>
          <cell r="T1928" t="str">
            <v/>
          </cell>
          <cell r="U1928" t="str">
            <v/>
          </cell>
          <cell r="V1928" t="str">
            <v>N52</v>
          </cell>
          <cell r="W1928" t="str">
            <v/>
          </cell>
          <cell r="X1928" t="str">
            <v/>
          </cell>
          <cell r="Y1928" t="str">
            <v/>
          </cell>
          <cell r="Z1928" t="str">
            <v/>
          </cell>
          <cell r="AA1928" t="str">
            <v/>
          </cell>
          <cell r="AB1928" t="str">
            <v>PA_2172048-UA.7500-4</v>
          </cell>
          <cell r="AC1928">
            <v>4</v>
          </cell>
          <cell r="AD1928" t="str">
            <v/>
          </cell>
          <cell r="AE1928">
            <v>0</v>
          </cell>
          <cell r="AF1928" t="str">
            <v/>
          </cell>
          <cell r="AG1928" t="str">
            <v>1313554</v>
          </cell>
          <cell r="AH1928">
            <v>44977.835150462961</v>
          </cell>
          <cell r="AI1928" t="str">
            <v>N52</v>
          </cell>
          <cell r="AJ1928" t="str">
            <v>F</v>
          </cell>
          <cell r="AK1928" t="str">
            <v/>
          </cell>
        </row>
        <row r="1929">
          <cell r="A1929" t="str">
            <v>3310620820531</v>
          </cell>
          <cell r="B1929" t="str">
            <v>Übergabe Task Force</v>
          </cell>
          <cell r="C1929" t="e">
            <v>#N/A</v>
          </cell>
          <cell r="D1929" t="str">
            <v>EK65</v>
          </cell>
          <cell r="E1929" t="str">
            <v>710543</v>
          </cell>
          <cell r="F1929" t="str">
            <v>E</v>
          </cell>
          <cell r="G1929" t="str">
            <v>3310620</v>
          </cell>
          <cell r="H1929" t="str">
            <v>Kupferschiene 3 vollst.</v>
          </cell>
          <cell r="I1929">
            <v>2</v>
          </cell>
          <cell r="J1929" t="str">
            <v>Stk</v>
          </cell>
          <cell r="K1929">
            <v>45183</v>
          </cell>
          <cell r="L1929" t="str">
            <v>820531</v>
          </cell>
          <cell r="M1929" t="str">
            <v/>
          </cell>
          <cell r="N1929" t="str">
            <v/>
          </cell>
          <cell r="O1929" t="str">
            <v/>
          </cell>
          <cell r="P1929" t="str">
            <v/>
          </cell>
          <cell r="Q1929" t="str">
            <v/>
          </cell>
          <cell r="R1929" t="str">
            <v/>
          </cell>
          <cell r="S1929" t="str">
            <v/>
          </cell>
          <cell r="T1929" t="str">
            <v/>
          </cell>
          <cell r="U1929" t="str">
            <v/>
          </cell>
          <cell r="V1929" t="str">
            <v>N38</v>
          </cell>
          <cell r="W1929" t="str">
            <v/>
          </cell>
          <cell r="X1929" t="str">
            <v/>
          </cell>
          <cell r="Y1929" t="str">
            <v/>
          </cell>
          <cell r="Z1929" t="str">
            <v/>
          </cell>
          <cell r="AA1929" t="str">
            <v/>
          </cell>
          <cell r="AB1929" t="str">
            <v>PA_2312291-UA.3046-3</v>
          </cell>
          <cell r="AC1929">
            <v>1</v>
          </cell>
          <cell r="AD1929" t="str">
            <v/>
          </cell>
          <cell r="AE1929">
            <v>0</v>
          </cell>
          <cell r="AF1929" t="str">
            <v/>
          </cell>
          <cell r="AG1929" t="str">
            <v>3310620</v>
          </cell>
          <cell r="AH1929">
            <v>44977.885115740741</v>
          </cell>
          <cell r="AI1929" t="str">
            <v>N38</v>
          </cell>
          <cell r="AJ1929" t="str">
            <v>F</v>
          </cell>
          <cell r="AK1929" t="str">
            <v>A</v>
          </cell>
        </row>
        <row r="1930">
          <cell r="A1930" t="str">
            <v>12520031829053</v>
          </cell>
          <cell r="B1930">
            <v>0</v>
          </cell>
          <cell r="C1930" t="e">
            <v>#N/A</v>
          </cell>
          <cell r="D1930" t="str">
            <v>EK65</v>
          </cell>
          <cell r="E1930" t="str">
            <v>710602</v>
          </cell>
          <cell r="F1930" t="str">
            <v>E</v>
          </cell>
          <cell r="G1930" t="str">
            <v>12520031</v>
          </cell>
          <cell r="H1930" t="str">
            <v>Halter vollst.</v>
          </cell>
          <cell r="I1930">
            <v>102</v>
          </cell>
          <cell r="J1930" t="str">
            <v>Stk</v>
          </cell>
          <cell r="K1930">
            <v>45217</v>
          </cell>
          <cell r="L1930" t="str">
            <v>829053</v>
          </cell>
          <cell r="M1930" t="str">
            <v/>
          </cell>
          <cell r="N1930" t="str">
            <v/>
          </cell>
          <cell r="O1930" t="str">
            <v/>
          </cell>
          <cell r="P1930" t="str">
            <v/>
          </cell>
          <cell r="Q1930" t="str">
            <v/>
          </cell>
          <cell r="R1930" t="str">
            <v/>
          </cell>
          <cell r="S1930" t="str">
            <v/>
          </cell>
          <cell r="T1930" t="str">
            <v/>
          </cell>
          <cell r="U1930" t="str">
            <v/>
          </cell>
          <cell r="V1930" t="str">
            <v>N38</v>
          </cell>
          <cell r="W1930" t="str">
            <v/>
          </cell>
          <cell r="X1930" t="str">
            <v/>
          </cell>
          <cell r="Y1930" t="str">
            <v/>
          </cell>
          <cell r="Z1930" t="str">
            <v/>
          </cell>
          <cell r="AA1930" t="str">
            <v/>
          </cell>
          <cell r="AB1930" t="str">
            <v>PA_4571347-JC.7005-4</v>
          </cell>
          <cell r="AC1930">
            <v>1</v>
          </cell>
          <cell r="AD1930" t="str">
            <v/>
          </cell>
          <cell r="AE1930">
            <v>0</v>
          </cell>
          <cell r="AF1930" t="str">
            <v/>
          </cell>
          <cell r="AG1930" t="str">
            <v>12520031</v>
          </cell>
          <cell r="AH1930">
            <v>44977.899502314816</v>
          </cell>
          <cell r="AI1930" t="str">
            <v>N38</v>
          </cell>
          <cell r="AJ1930" t="str">
            <v>F</v>
          </cell>
          <cell r="AK1930" t="str">
            <v/>
          </cell>
        </row>
        <row r="1931">
          <cell r="A1931" t="str">
            <v>12520089829053</v>
          </cell>
          <cell r="B1931">
            <v>0</v>
          </cell>
          <cell r="C1931">
            <v>5</v>
          </cell>
          <cell r="D1931" t="str">
            <v>EK65</v>
          </cell>
          <cell r="E1931" t="str">
            <v>710604</v>
          </cell>
          <cell r="F1931" t="str">
            <v>E</v>
          </cell>
          <cell r="G1931" t="str">
            <v>12520089</v>
          </cell>
          <cell r="H1931" t="str">
            <v>Distanzscheibe</v>
          </cell>
          <cell r="I1931">
            <v>51</v>
          </cell>
          <cell r="J1931" t="str">
            <v>Stk</v>
          </cell>
          <cell r="K1931">
            <v>45217</v>
          </cell>
          <cell r="L1931" t="str">
            <v>829053</v>
          </cell>
          <cell r="M1931" t="str">
            <v/>
          </cell>
          <cell r="N1931" t="str">
            <v/>
          </cell>
          <cell r="O1931" t="str">
            <v/>
          </cell>
          <cell r="P1931" t="str">
            <v/>
          </cell>
          <cell r="Q1931" t="str">
            <v/>
          </cell>
          <cell r="R1931" t="str">
            <v/>
          </cell>
          <cell r="S1931" t="str">
            <v/>
          </cell>
          <cell r="T1931" t="str">
            <v/>
          </cell>
          <cell r="U1931" t="str">
            <v/>
          </cell>
          <cell r="V1931" t="str">
            <v>N52</v>
          </cell>
          <cell r="W1931" t="str">
            <v/>
          </cell>
          <cell r="X1931" t="str">
            <v/>
          </cell>
          <cell r="Y1931" t="str">
            <v/>
          </cell>
          <cell r="Z1931" t="str">
            <v/>
          </cell>
          <cell r="AA1931" t="str">
            <v/>
          </cell>
          <cell r="AB1931" t="str">
            <v>PA_4565718-JC.7005-4</v>
          </cell>
          <cell r="AC1931">
            <v>1</v>
          </cell>
          <cell r="AD1931" t="str">
            <v/>
          </cell>
          <cell r="AE1931">
            <v>0</v>
          </cell>
          <cell r="AF1931" t="str">
            <v/>
          </cell>
          <cell r="AG1931" t="str">
            <v>12520089</v>
          </cell>
          <cell r="AH1931">
            <v>44977.899537037039</v>
          </cell>
          <cell r="AI1931" t="str">
            <v>N52</v>
          </cell>
          <cell r="AJ1931" t="str">
            <v>F</v>
          </cell>
          <cell r="AK1931" t="str">
            <v/>
          </cell>
        </row>
        <row r="1932">
          <cell r="A1932" t="str">
            <v>0418105</v>
          </cell>
          <cell r="B1932" t="str">
            <v>BL20230412-1</v>
          </cell>
          <cell r="C1932" t="e">
            <v>#N/A</v>
          </cell>
          <cell r="D1932" t="str">
            <v>EK65</v>
          </cell>
          <cell r="E1932" t="str">
            <v>710745</v>
          </cell>
          <cell r="F1932" t="str">
            <v>B</v>
          </cell>
          <cell r="G1932" t="str">
            <v>0418105</v>
          </cell>
          <cell r="H1932" t="str">
            <v>Ausgleichsplatte</v>
          </cell>
          <cell r="I1932">
            <v>7</v>
          </cell>
          <cell r="J1932" t="str">
            <v>Stk</v>
          </cell>
          <cell r="K1932">
            <v>44980</v>
          </cell>
          <cell r="L1932" t="str">
            <v/>
          </cell>
          <cell r="M1932" t="str">
            <v/>
          </cell>
          <cell r="N1932" t="str">
            <v/>
          </cell>
          <cell r="O1932" t="str">
            <v/>
          </cell>
          <cell r="P1932" t="str">
            <v/>
          </cell>
          <cell r="Q1932" t="str">
            <v/>
          </cell>
          <cell r="R1932" t="str">
            <v/>
          </cell>
          <cell r="S1932" t="str">
            <v/>
          </cell>
          <cell r="T1932" t="str">
            <v/>
          </cell>
          <cell r="U1932" t="str">
            <v/>
          </cell>
          <cell r="V1932" t="str">
            <v>N32</v>
          </cell>
          <cell r="W1932" t="str">
            <v/>
          </cell>
          <cell r="X1932" t="str">
            <v/>
          </cell>
          <cell r="Y1932" t="str">
            <v/>
          </cell>
          <cell r="Z1932" t="str">
            <v/>
          </cell>
          <cell r="AA1932" t="str">
            <v/>
          </cell>
          <cell r="AB1932" t="str">
            <v>PA_2186430-BG.7500-3P.3</v>
          </cell>
          <cell r="AC1932">
            <v>4</v>
          </cell>
          <cell r="AD1932" t="str">
            <v/>
          </cell>
          <cell r="AE1932">
            <v>0</v>
          </cell>
          <cell r="AF1932" t="str">
            <v/>
          </cell>
          <cell r="AG1932" t="str">
            <v>0418105</v>
          </cell>
          <cell r="AH1932">
            <v>44978.834039351852</v>
          </cell>
          <cell r="AI1932" t="str">
            <v>N32</v>
          </cell>
          <cell r="AJ1932" t="str">
            <v>F</v>
          </cell>
          <cell r="AK1932" t="str">
            <v>B</v>
          </cell>
        </row>
        <row r="1933">
          <cell r="A1933" t="str">
            <v>0509596</v>
          </cell>
          <cell r="B1933" t="e">
            <v>#N/A</v>
          </cell>
          <cell r="C1933" t="e">
            <v>#N/A</v>
          </cell>
          <cell r="D1933" t="str">
            <v>EK65</v>
          </cell>
          <cell r="E1933" t="str">
            <v>710797</v>
          </cell>
          <cell r="F1933" t="str">
            <v>B</v>
          </cell>
          <cell r="G1933" t="str">
            <v>0509596</v>
          </cell>
          <cell r="H1933" t="str">
            <v>Distanzstueck</v>
          </cell>
          <cell r="I1933">
            <v>135</v>
          </cell>
          <cell r="J1933" t="str">
            <v>Stk</v>
          </cell>
          <cell r="K1933">
            <v>45005</v>
          </cell>
          <cell r="L1933" t="str">
            <v/>
          </cell>
          <cell r="M1933" t="str">
            <v/>
          </cell>
          <cell r="N1933" t="str">
            <v/>
          </cell>
          <cell r="O1933" t="str">
            <v/>
          </cell>
          <cell r="P1933" t="str">
            <v/>
          </cell>
          <cell r="Q1933" t="str">
            <v/>
          </cell>
          <cell r="R1933" t="str">
            <v/>
          </cell>
          <cell r="S1933" t="str">
            <v/>
          </cell>
          <cell r="T1933" t="str">
            <v/>
          </cell>
          <cell r="U1933" t="str">
            <v/>
          </cell>
          <cell r="V1933" t="str">
            <v>N52</v>
          </cell>
          <cell r="W1933" t="str">
            <v/>
          </cell>
          <cell r="X1933" t="str">
            <v/>
          </cell>
          <cell r="Y1933" t="str">
            <v/>
          </cell>
          <cell r="Z1933" t="str">
            <v/>
          </cell>
          <cell r="AA1933" t="str">
            <v/>
          </cell>
          <cell r="AB1933" t="str">
            <v>PA_2115843-CA.6900-4P.1</v>
          </cell>
          <cell r="AC1933">
            <v>1</v>
          </cell>
          <cell r="AD1933" t="str">
            <v/>
          </cell>
          <cell r="AE1933">
            <v>0</v>
          </cell>
          <cell r="AF1933" t="str">
            <v/>
          </cell>
          <cell r="AG1933" t="str">
            <v>0509596</v>
          </cell>
          <cell r="AH1933">
            <v>44978.858287037037</v>
          </cell>
          <cell r="AI1933" t="str">
            <v>N52</v>
          </cell>
          <cell r="AJ1933" t="str">
            <v>F</v>
          </cell>
          <cell r="AK1933" t="str">
            <v/>
          </cell>
        </row>
        <row r="1934">
          <cell r="A1934" t="str">
            <v>0736061</v>
          </cell>
          <cell r="B1934" t="e">
            <v>#N/A</v>
          </cell>
          <cell r="C1934" t="e">
            <v>#N/A</v>
          </cell>
          <cell r="D1934" t="str">
            <v>EK65</v>
          </cell>
          <cell r="E1934" t="str">
            <v>710903</v>
          </cell>
          <cell r="F1934" t="str">
            <v>B</v>
          </cell>
          <cell r="G1934" t="str">
            <v>0736061</v>
          </cell>
          <cell r="H1934" t="str">
            <v>Dehnhuelse M20 79mm</v>
          </cell>
          <cell r="I1934">
            <v>18</v>
          </cell>
          <cell r="J1934" t="str">
            <v>Stk</v>
          </cell>
          <cell r="K1934">
            <v>44981</v>
          </cell>
          <cell r="L1934" t="str">
            <v/>
          </cell>
          <cell r="M1934" t="str">
            <v/>
          </cell>
          <cell r="N1934" t="str">
            <v/>
          </cell>
          <cell r="O1934" t="str">
            <v/>
          </cell>
          <cell r="P1934" t="str">
            <v/>
          </cell>
          <cell r="Q1934" t="str">
            <v/>
          </cell>
          <cell r="R1934" t="str">
            <v/>
          </cell>
          <cell r="S1934" t="str">
            <v/>
          </cell>
          <cell r="T1934" t="str">
            <v/>
          </cell>
          <cell r="U1934" t="str">
            <v/>
          </cell>
          <cell r="V1934" t="str">
            <v>N52</v>
          </cell>
          <cell r="W1934" t="str">
            <v/>
          </cell>
          <cell r="X1934" t="str">
            <v/>
          </cell>
          <cell r="Y1934" t="str">
            <v/>
          </cell>
          <cell r="Z1934" t="str">
            <v/>
          </cell>
          <cell r="AA1934" t="str">
            <v/>
          </cell>
          <cell r="AB1934" t="str">
            <v>PA_2189149-UA.7500-4</v>
          </cell>
          <cell r="AC1934">
            <v>4</v>
          </cell>
          <cell r="AD1934" t="str">
            <v/>
          </cell>
          <cell r="AE1934">
            <v>0</v>
          </cell>
          <cell r="AF1934" t="str">
            <v/>
          </cell>
          <cell r="AG1934" t="str">
            <v>0736061</v>
          </cell>
          <cell r="AH1934">
            <v>44979.834606481483</v>
          </cell>
          <cell r="AI1934" t="str">
            <v>N52</v>
          </cell>
          <cell r="AJ1934" t="str">
            <v>F</v>
          </cell>
          <cell r="AK1934" t="str">
            <v/>
          </cell>
        </row>
        <row r="1935">
          <cell r="A1935" t="str">
            <v>12519740829052</v>
          </cell>
          <cell r="B1935" t="e">
            <v>#N/A</v>
          </cell>
          <cell r="C1935">
            <v>18</v>
          </cell>
          <cell r="D1935" t="str">
            <v>EK65</v>
          </cell>
          <cell r="E1935" t="str">
            <v>711086</v>
          </cell>
          <cell r="F1935" t="str">
            <v>E</v>
          </cell>
          <cell r="G1935" t="str">
            <v>12519740</v>
          </cell>
          <cell r="H1935" t="str">
            <v>Schirmblech E10Mod</v>
          </cell>
          <cell r="I1935">
            <v>288</v>
          </cell>
          <cell r="J1935" t="str">
            <v>Stk</v>
          </cell>
          <cell r="K1935">
            <v>45240</v>
          </cell>
          <cell r="L1935" t="str">
            <v>829052</v>
          </cell>
          <cell r="M1935" t="str">
            <v/>
          </cell>
          <cell r="N1935" t="str">
            <v/>
          </cell>
          <cell r="O1935" t="str">
            <v/>
          </cell>
          <cell r="P1935" t="str">
            <v/>
          </cell>
          <cell r="Q1935" t="str">
            <v/>
          </cell>
          <cell r="R1935" t="str">
            <v/>
          </cell>
          <cell r="S1935" t="str">
            <v/>
          </cell>
          <cell r="T1935" t="str">
            <v/>
          </cell>
          <cell r="U1935" t="str">
            <v/>
          </cell>
          <cell r="V1935" t="str">
            <v>N52</v>
          </cell>
          <cell r="W1935" t="str">
            <v/>
          </cell>
          <cell r="X1935" t="str">
            <v/>
          </cell>
          <cell r="Y1935" t="str">
            <v/>
          </cell>
          <cell r="Z1935" t="str">
            <v/>
          </cell>
          <cell r="AA1935" t="str">
            <v/>
          </cell>
          <cell r="AB1935" t="str">
            <v>PA_4571316-UA.7005-2</v>
          </cell>
          <cell r="AC1935">
            <v>1</v>
          </cell>
          <cell r="AD1935" t="str">
            <v/>
          </cell>
          <cell r="AE1935">
            <v>0</v>
          </cell>
          <cell r="AF1935" t="str">
            <v/>
          </cell>
          <cell r="AG1935" t="str">
            <v>12519740</v>
          </cell>
          <cell r="AH1935">
            <v>44979.915775462963</v>
          </cell>
          <cell r="AI1935" t="str">
            <v>N52</v>
          </cell>
          <cell r="AJ1935" t="str">
            <v>F</v>
          </cell>
          <cell r="AK1935" t="str">
            <v/>
          </cell>
        </row>
        <row r="1936">
          <cell r="A1936" t="str">
            <v>12539100829053</v>
          </cell>
          <cell r="B1936" t="e">
            <v>#N/A</v>
          </cell>
          <cell r="C1936" t="e">
            <v>#N/A</v>
          </cell>
          <cell r="D1936" t="str">
            <v>EK65</v>
          </cell>
          <cell r="E1936" t="str">
            <v>711087</v>
          </cell>
          <cell r="F1936" t="str">
            <v>E</v>
          </cell>
          <cell r="G1936" t="str">
            <v>12539100</v>
          </cell>
          <cell r="H1936" t="str">
            <v>Halter Automatenabdeckung vollst.</v>
          </cell>
          <cell r="I1936">
            <v>547</v>
          </cell>
          <cell r="J1936" t="str">
            <v>Stk</v>
          </cell>
          <cell r="K1936">
            <v>45142</v>
          </cell>
          <cell r="L1936" t="str">
            <v>829053</v>
          </cell>
          <cell r="M1936" t="str">
            <v/>
          </cell>
          <cell r="N1936" t="str">
            <v/>
          </cell>
          <cell r="O1936" t="str">
            <v/>
          </cell>
          <cell r="P1936" t="str">
            <v/>
          </cell>
          <cell r="Q1936" t="str">
            <v/>
          </cell>
          <cell r="R1936" t="str">
            <v/>
          </cell>
          <cell r="S1936" t="str">
            <v/>
          </cell>
          <cell r="T1936" t="str">
            <v/>
          </cell>
          <cell r="U1936" t="str">
            <v/>
          </cell>
          <cell r="V1936" t="str">
            <v>N38</v>
          </cell>
          <cell r="W1936" t="str">
            <v/>
          </cell>
          <cell r="X1936" t="str">
            <v/>
          </cell>
          <cell r="Y1936" t="str">
            <v/>
          </cell>
          <cell r="Z1936" t="str">
            <v/>
          </cell>
          <cell r="AA1936" t="str">
            <v/>
          </cell>
          <cell r="AB1936" t="str">
            <v>PA_4644750-UA.7005-4</v>
          </cell>
          <cell r="AC1936">
            <v>1</v>
          </cell>
          <cell r="AD1936" t="str">
            <v/>
          </cell>
          <cell r="AE1936">
            <v>0</v>
          </cell>
          <cell r="AF1936" t="str">
            <v/>
          </cell>
          <cell r="AG1936" t="str">
            <v>12539100</v>
          </cell>
          <cell r="AH1936">
            <v>44979.91741898148</v>
          </cell>
          <cell r="AI1936" t="str">
            <v>N38</v>
          </cell>
          <cell r="AJ1936" t="str">
            <v>F</v>
          </cell>
          <cell r="AK1936" t="str">
            <v/>
          </cell>
        </row>
        <row r="1937">
          <cell r="A1937" t="str">
            <v>12539100829054</v>
          </cell>
          <cell r="B1937" t="e">
            <v>#N/A</v>
          </cell>
          <cell r="C1937" t="e">
            <v>#N/A</v>
          </cell>
          <cell r="D1937" t="str">
            <v>EK65</v>
          </cell>
          <cell r="E1937" t="str">
            <v>711088</v>
          </cell>
          <cell r="F1937" t="str">
            <v>E</v>
          </cell>
          <cell r="G1937" t="str">
            <v>12539100</v>
          </cell>
          <cell r="H1937" t="str">
            <v>Halter Automatenabdeckung vollst.</v>
          </cell>
          <cell r="I1937">
            <v>193</v>
          </cell>
          <cell r="J1937" t="str">
            <v>Stk</v>
          </cell>
          <cell r="K1937">
            <v>45156</v>
          </cell>
          <cell r="L1937" t="str">
            <v>829054</v>
          </cell>
          <cell r="M1937" t="str">
            <v/>
          </cell>
          <cell r="N1937" t="str">
            <v/>
          </cell>
          <cell r="O1937" t="str">
            <v/>
          </cell>
          <cell r="P1937" t="str">
            <v/>
          </cell>
          <cell r="Q1937" t="str">
            <v/>
          </cell>
          <cell r="R1937" t="str">
            <v/>
          </cell>
          <cell r="S1937" t="str">
            <v/>
          </cell>
          <cell r="T1937" t="str">
            <v/>
          </cell>
          <cell r="U1937" t="str">
            <v/>
          </cell>
          <cell r="V1937" t="str">
            <v>N38</v>
          </cell>
          <cell r="W1937" t="str">
            <v/>
          </cell>
          <cell r="X1937" t="str">
            <v/>
          </cell>
          <cell r="Y1937" t="str">
            <v/>
          </cell>
          <cell r="Z1937" t="str">
            <v/>
          </cell>
          <cell r="AA1937" t="str">
            <v/>
          </cell>
          <cell r="AB1937" t="str">
            <v>PA_4644750-UA.7005-4</v>
          </cell>
          <cell r="AC1937">
            <v>1</v>
          </cell>
          <cell r="AD1937" t="str">
            <v/>
          </cell>
          <cell r="AE1937">
            <v>0</v>
          </cell>
          <cell r="AF1937" t="str">
            <v/>
          </cell>
          <cell r="AG1937" t="str">
            <v>12539100</v>
          </cell>
          <cell r="AH1937">
            <v>44979.91741898148</v>
          </cell>
          <cell r="AI1937" t="str">
            <v>N38</v>
          </cell>
          <cell r="AJ1937" t="str">
            <v>F</v>
          </cell>
          <cell r="AK1937" t="str">
            <v/>
          </cell>
        </row>
        <row r="1938">
          <cell r="A1938" t="str">
            <v>1700994820531</v>
          </cell>
          <cell r="B1938" t="e">
            <v>#N/A</v>
          </cell>
          <cell r="C1938" t="e">
            <v>#N/A</v>
          </cell>
          <cell r="D1938" t="str">
            <v>EK65</v>
          </cell>
          <cell r="E1938" t="str">
            <v>711352</v>
          </cell>
          <cell r="F1938" t="str">
            <v>E</v>
          </cell>
          <cell r="G1938" t="str">
            <v>1700994</v>
          </cell>
          <cell r="H1938" t="str">
            <v>Dehnhuelse H45/Da48/Di21</v>
          </cell>
          <cell r="I1938">
            <v>48</v>
          </cell>
          <cell r="J1938" t="str">
            <v>Stk</v>
          </cell>
          <cell r="K1938">
            <v>45218</v>
          </cell>
          <cell r="L1938" t="str">
            <v>820531</v>
          </cell>
          <cell r="M1938" t="str">
            <v/>
          </cell>
          <cell r="N1938" t="str">
            <v/>
          </cell>
          <cell r="O1938" t="str">
            <v/>
          </cell>
          <cell r="P1938" t="str">
            <v/>
          </cell>
          <cell r="Q1938" t="str">
            <v/>
          </cell>
          <cell r="R1938" t="str">
            <v/>
          </cell>
          <cell r="S1938" t="str">
            <v/>
          </cell>
          <cell r="T1938" t="str">
            <v/>
          </cell>
          <cell r="U1938" t="str">
            <v/>
          </cell>
          <cell r="V1938" t="str">
            <v>N52</v>
          </cell>
          <cell r="W1938" t="str">
            <v/>
          </cell>
          <cell r="X1938" t="str">
            <v/>
          </cell>
          <cell r="Y1938" t="str">
            <v/>
          </cell>
          <cell r="Z1938" t="str">
            <v/>
          </cell>
          <cell r="AA1938" t="str">
            <v/>
          </cell>
          <cell r="AB1938" t="str">
            <v>PA_2294833-CF.3046-4</v>
          </cell>
          <cell r="AC1938">
            <v>1</v>
          </cell>
          <cell r="AD1938" t="str">
            <v/>
          </cell>
          <cell r="AE1938">
            <v>0</v>
          </cell>
          <cell r="AF1938" t="str">
            <v/>
          </cell>
          <cell r="AG1938" t="str">
            <v>1700994</v>
          </cell>
          <cell r="AH1938">
            <v>44980.524537037039</v>
          </cell>
          <cell r="AI1938" t="str">
            <v>N52</v>
          </cell>
          <cell r="AJ1938" t="str">
            <v>F</v>
          </cell>
          <cell r="AK1938" t="str">
            <v/>
          </cell>
        </row>
        <row r="1939">
          <cell r="A1939" t="str">
            <v>12496567829053</v>
          </cell>
          <cell r="B1939" t="e">
            <v>#N/A</v>
          </cell>
          <cell r="C1939" t="e">
            <v>#N/A</v>
          </cell>
          <cell r="D1939" t="str">
            <v>EK65</v>
          </cell>
          <cell r="E1939" t="str">
            <v>711457</v>
          </cell>
          <cell r="F1939" t="str">
            <v>E</v>
          </cell>
          <cell r="G1939" t="str">
            <v>12496567</v>
          </cell>
          <cell r="H1939" t="str">
            <v>JK Dichtrahmenaufnahme rechts kpl.</v>
          </cell>
          <cell r="I1939">
            <v>210</v>
          </cell>
          <cell r="J1939" t="str">
            <v>Stk</v>
          </cell>
          <cell r="K1939">
            <v>45195</v>
          </cell>
          <cell r="L1939" t="str">
            <v>829053</v>
          </cell>
          <cell r="M1939" t="str">
            <v/>
          </cell>
          <cell r="N1939" t="str">
            <v/>
          </cell>
          <cell r="O1939" t="str">
            <v/>
          </cell>
          <cell r="P1939" t="str">
            <v/>
          </cell>
          <cell r="Q1939" t="str">
            <v/>
          </cell>
          <cell r="R1939" t="str">
            <v/>
          </cell>
          <cell r="S1939" t="str">
            <v/>
          </cell>
          <cell r="T1939" t="str">
            <v/>
          </cell>
          <cell r="U1939" t="str">
            <v/>
          </cell>
          <cell r="V1939" t="str">
            <v>N38</v>
          </cell>
          <cell r="W1939" t="str">
            <v/>
          </cell>
          <cell r="X1939" t="str">
            <v/>
          </cell>
          <cell r="Y1939" t="str">
            <v/>
          </cell>
          <cell r="Z1939" t="str">
            <v/>
          </cell>
          <cell r="AA1939" t="str">
            <v/>
          </cell>
          <cell r="AB1939" t="str">
            <v>PA_2336415-NB.7005-2</v>
          </cell>
          <cell r="AC1939">
            <v>1</v>
          </cell>
          <cell r="AD1939" t="str">
            <v/>
          </cell>
          <cell r="AE1939">
            <v>0</v>
          </cell>
          <cell r="AF1939" t="str">
            <v/>
          </cell>
          <cell r="AG1939" t="str">
            <v>12496567</v>
          </cell>
          <cell r="AH1939">
            <v>44980.871400462966</v>
          </cell>
          <cell r="AI1939" t="str">
            <v>N38</v>
          </cell>
          <cell r="AJ1939" t="str">
            <v>F</v>
          </cell>
          <cell r="AK1939" t="str">
            <v>A</v>
          </cell>
        </row>
        <row r="1940">
          <cell r="A1940" t="str">
            <v>12496567829054</v>
          </cell>
          <cell r="B1940" t="e">
            <v>#N/A</v>
          </cell>
          <cell r="C1940" t="e">
            <v>#N/A</v>
          </cell>
          <cell r="D1940" t="str">
            <v>EK65</v>
          </cell>
          <cell r="E1940" t="str">
            <v>711458</v>
          </cell>
          <cell r="F1940" t="str">
            <v>E</v>
          </cell>
          <cell r="G1940" t="str">
            <v>12496567</v>
          </cell>
          <cell r="H1940" t="str">
            <v>JK Dichtrahmenaufnahme rechts kpl.</v>
          </cell>
          <cell r="I1940">
            <v>60</v>
          </cell>
          <cell r="J1940" t="str">
            <v>Stk</v>
          </cell>
          <cell r="K1940">
            <v>45230</v>
          </cell>
          <cell r="L1940" t="str">
            <v>829054</v>
          </cell>
          <cell r="M1940" t="str">
            <v/>
          </cell>
          <cell r="N1940" t="str">
            <v/>
          </cell>
          <cell r="O1940" t="str">
            <v/>
          </cell>
          <cell r="P1940" t="str">
            <v/>
          </cell>
          <cell r="Q1940" t="str">
            <v/>
          </cell>
          <cell r="R1940" t="str">
            <v/>
          </cell>
          <cell r="S1940" t="str">
            <v/>
          </cell>
          <cell r="T1940" t="str">
            <v/>
          </cell>
          <cell r="U1940" t="str">
            <v/>
          </cell>
          <cell r="V1940" t="str">
            <v>N38</v>
          </cell>
          <cell r="W1940" t="str">
            <v/>
          </cell>
          <cell r="X1940" t="str">
            <v/>
          </cell>
          <cell r="Y1940" t="str">
            <v/>
          </cell>
          <cell r="Z1940" t="str">
            <v/>
          </cell>
          <cell r="AA1940" t="str">
            <v/>
          </cell>
          <cell r="AB1940" t="str">
            <v>PA_2336415-NB.7005-2</v>
          </cell>
          <cell r="AC1940">
            <v>1</v>
          </cell>
          <cell r="AD1940" t="str">
            <v/>
          </cell>
          <cell r="AE1940">
            <v>0</v>
          </cell>
          <cell r="AF1940" t="str">
            <v/>
          </cell>
          <cell r="AG1940" t="str">
            <v>12496567</v>
          </cell>
          <cell r="AH1940">
            <v>44980.871400462966</v>
          </cell>
          <cell r="AI1940" t="str">
            <v>N38</v>
          </cell>
          <cell r="AJ1940" t="str">
            <v>F</v>
          </cell>
          <cell r="AK1940" t="str">
            <v>A</v>
          </cell>
        </row>
        <row r="1941">
          <cell r="A1941" t="str">
            <v>12496571829053</v>
          </cell>
          <cell r="B1941" t="e">
            <v>#N/A</v>
          </cell>
          <cell r="C1941" t="e">
            <v>#N/A</v>
          </cell>
          <cell r="D1941" t="str">
            <v>EK65</v>
          </cell>
          <cell r="E1941" t="str">
            <v>711459</v>
          </cell>
          <cell r="F1941" t="str">
            <v>E</v>
          </cell>
          <cell r="G1941" t="str">
            <v>12496571</v>
          </cell>
          <cell r="H1941" t="str">
            <v>JK Dichtrahmenaufnahme links kpl.</v>
          </cell>
          <cell r="I1941">
            <v>210</v>
          </cell>
          <cell r="J1941" t="str">
            <v>Stk</v>
          </cell>
          <cell r="K1941">
            <v>45195</v>
          </cell>
          <cell r="L1941" t="str">
            <v>829053</v>
          </cell>
          <cell r="M1941" t="str">
            <v/>
          </cell>
          <cell r="N1941" t="str">
            <v/>
          </cell>
          <cell r="O1941" t="str">
            <v/>
          </cell>
          <cell r="P1941" t="str">
            <v/>
          </cell>
          <cell r="Q1941" t="str">
            <v/>
          </cell>
          <cell r="R1941" t="str">
            <v/>
          </cell>
          <cell r="S1941" t="str">
            <v/>
          </cell>
          <cell r="T1941" t="str">
            <v/>
          </cell>
          <cell r="U1941" t="str">
            <v/>
          </cell>
          <cell r="V1941" t="str">
            <v>N38</v>
          </cell>
          <cell r="W1941" t="str">
            <v/>
          </cell>
          <cell r="X1941" t="str">
            <v/>
          </cell>
          <cell r="Y1941" t="str">
            <v/>
          </cell>
          <cell r="Z1941" t="str">
            <v/>
          </cell>
          <cell r="AA1941" t="str">
            <v/>
          </cell>
          <cell r="AB1941" t="str">
            <v>PA_4259775-NB.7005-2</v>
          </cell>
          <cell r="AC1941">
            <v>1</v>
          </cell>
          <cell r="AD1941" t="str">
            <v/>
          </cell>
          <cell r="AE1941">
            <v>0</v>
          </cell>
          <cell r="AF1941" t="str">
            <v/>
          </cell>
          <cell r="AG1941" t="str">
            <v>12496571</v>
          </cell>
          <cell r="AH1941">
            <v>44980.871423611112</v>
          </cell>
          <cell r="AI1941" t="str">
            <v>N38</v>
          </cell>
          <cell r="AJ1941" t="str">
            <v>F</v>
          </cell>
          <cell r="AK1941" t="str">
            <v>A</v>
          </cell>
        </row>
        <row r="1942">
          <cell r="A1942" t="str">
            <v>12496571829054</v>
          </cell>
          <cell r="B1942" t="e">
            <v>#N/A</v>
          </cell>
          <cell r="C1942" t="e">
            <v>#N/A</v>
          </cell>
          <cell r="D1942" t="str">
            <v>EK65</v>
          </cell>
          <cell r="E1942" t="str">
            <v>711460</v>
          </cell>
          <cell r="F1942" t="str">
            <v>E</v>
          </cell>
          <cell r="G1942" t="str">
            <v>12496571</v>
          </cell>
          <cell r="H1942" t="str">
            <v>JK Dichtrahmenaufnahme links kpl.</v>
          </cell>
          <cell r="I1942">
            <v>60</v>
          </cell>
          <cell r="J1942" t="str">
            <v>Stk</v>
          </cell>
          <cell r="K1942">
            <v>45230</v>
          </cell>
          <cell r="L1942" t="str">
            <v>829054</v>
          </cell>
          <cell r="M1942" t="str">
            <v/>
          </cell>
          <cell r="N1942" t="str">
            <v/>
          </cell>
          <cell r="O1942" t="str">
            <v/>
          </cell>
          <cell r="P1942" t="str">
            <v/>
          </cell>
          <cell r="Q1942" t="str">
            <v/>
          </cell>
          <cell r="R1942" t="str">
            <v/>
          </cell>
          <cell r="S1942" t="str">
            <v/>
          </cell>
          <cell r="T1942" t="str">
            <v/>
          </cell>
          <cell r="U1942" t="str">
            <v/>
          </cell>
          <cell r="V1942" t="str">
            <v>N38</v>
          </cell>
          <cell r="W1942" t="str">
            <v/>
          </cell>
          <cell r="X1942" t="str">
            <v/>
          </cell>
          <cell r="Y1942" t="str">
            <v/>
          </cell>
          <cell r="Z1942" t="str">
            <v/>
          </cell>
          <cell r="AA1942" t="str">
            <v/>
          </cell>
          <cell r="AB1942" t="str">
            <v>PA_4259775-NB.7005-2</v>
          </cell>
          <cell r="AC1942">
            <v>1</v>
          </cell>
          <cell r="AD1942" t="str">
            <v/>
          </cell>
          <cell r="AE1942">
            <v>0</v>
          </cell>
          <cell r="AF1942" t="str">
            <v/>
          </cell>
          <cell r="AG1942" t="str">
            <v>12496571</v>
          </cell>
          <cell r="AH1942">
            <v>44980.871423611112</v>
          </cell>
          <cell r="AI1942" t="str">
            <v>N38</v>
          </cell>
          <cell r="AJ1942" t="str">
            <v>F</v>
          </cell>
          <cell r="AK1942" t="str">
            <v>A</v>
          </cell>
        </row>
        <row r="1943">
          <cell r="A1943" t="str">
            <v>12639683820541</v>
          </cell>
          <cell r="B1943" t="e">
            <v>#N/A</v>
          </cell>
          <cell r="C1943" t="e">
            <v>#N/A</v>
          </cell>
          <cell r="D1943" t="str">
            <v>EK65</v>
          </cell>
          <cell r="E1943" t="str">
            <v>711590</v>
          </cell>
          <cell r="F1943" t="str">
            <v>E</v>
          </cell>
          <cell r="G1943" t="str">
            <v>12639683</v>
          </cell>
          <cell r="H1943" t="str">
            <v>Halter kompakt</v>
          </cell>
          <cell r="I1943">
            <v>88</v>
          </cell>
          <cell r="J1943" t="str">
            <v>Stk</v>
          </cell>
          <cell r="K1943">
            <v>45138</v>
          </cell>
          <cell r="L1943" t="str">
            <v>820541</v>
          </cell>
          <cell r="M1943" t="str">
            <v/>
          </cell>
          <cell r="N1943" t="str">
            <v/>
          </cell>
          <cell r="O1943" t="str">
            <v/>
          </cell>
          <cell r="P1943" t="str">
            <v/>
          </cell>
          <cell r="Q1943" t="str">
            <v/>
          </cell>
          <cell r="R1943" t="str">
            <v/>
          </cell>
          <cell r="S1943" t="str">
            <v/>
          </cell>
          <cell r="T1943" t="str">
            <v/>
          </cell>
          <cell r="U1943" t="str">
            <v/>
          </cell>
          <cell r="V1943" t="str">
            <v>N52</v>
          </cell>
          <cell r="W1943" t="str">
            <v/>
          </cell>
          <cell r="X1943" t="str">
            <v/>
          </cell>
          <cell r="Y1943" t="str">
            <v/>
          </cell>
          <cell r="Z1943" t="str">
            <v/>
          </cell>
          <cell r="AA1943" t="str">
            <v/>
          </cell>
          <cell r="AB1943" t="str">
            <v>PA_5096014-TB.3048-2</v>
          </cell>
          <cell r="AC1943">
            <v>1</v>
          </cell>
          <cell r="AD1943" t="str">
            <v/>
          </cell>
          <cell r="AE1943">
            <v>0</v>
          </cell>
          <cell r="AF1943" t="str">
            <v/>
          </cell>
          <cell r="AG1943" t="str">
            <v>12639683</v>
          </cell>
          <cell r="AH1943">
            <v>44980.901666666665</v>
          </cell>
          <cell r="AI1943" t="str">
            <v>N52</v>
          </cell>
          <cell r="AJ1943" t="str">
            <v>F</v>
          </cell>
          <cell r="AK1943" t="str">
            <v/>
          </cell>
        </row>
        <row r="1944">
          <cell r="A1944" t="str">
            <v>12639685820541</v>
          </cell>
          <cell r="B1944" t="e">
            <v>#N/A</v>
          </cell>
          <cell r="C1944" t="e">
            <v>#N/A</v>
          </cell>
          <cell r="D1944" t="str">
            <v>EK65</v>
          </cell>
          <cell r="E1944" t="str">
            <v>711591</v>
          </cell>
          <cell r="F1944" t="str">
            <v>E</v>
          </cell>
          <cell r="G1944" t="str">
            <v>12639685</v>
          </cell>
          <cell r="H1944" t="str">
            <v>Deckel oben</v>
          </cell>
          <cell r="I1944">
            <v>44</v>
          </cell>
          <cell r="J1944" t="str">
            <v>Stk</v>
          </cell>
          <cell r="K1944">
            <v>45138</v>
          </cell>
          <cell r="L1944" t="str">
            <v>820541</v>
          </cell>
          <cell r="M1944" t="str">
            <v/>
          </cell>
          <cell r="N1944" t="str">
            <v/>
          </cell>
          <cell r="O1944" t="str">
            <v/>
          </cell>
          <cell r="P1944" t="str">
            <v/>
          </cell>
          <cell r="Q1944" t="str">
            <v/>
          </cell>
          <cell r="R1944" t="str">
            <v/>
          </cell>
          <cell r="S1944" t="str">
            <v/>
          </cell>
          <cell r="T1944" t="str">
            <v/>
          </cell>
          <cell r="U1944" t="str">
            <v/>
          </cell>
          <cell r="V1944" t="str">
            <v>N52</v>
          </cell>
          <cell r="W1944" t="str">
            <v/>
          </cell>
          <cell r="X1944" t="str">
            <v/>
          </cell>
          <cell r="Y1944" t="str">
            <v/>
          </cell>
          <cell r="Z1944" t="str">
            <v/>
          </cell>
          <cell r="AA1944" t="str">
            <v/>
          </cell>
          <cell r="AB1944" t="str">
            <v>PA_5095699-TB.3048-3</v>
          </cell>
          <cell r="AC1944">
            <v>1</v>
          </cell>
          <cell r="AD1944" t="str">
            <v/>
          </cell>
          <cell r="AE1944">
            <v>0</v>
          </cell>
          <cell r="AF1944" t="str">
            <v/>
          </cell>
          <cell r="AG1944" t="str">
            <v>12639685</v>
          </cell>
          <cell r="AH1944">
            <v>44980.901678240742</v>
          </cell>
          <cell r="AI1944" t="str">
            <v>N52</v>
          </cell>
          <cell r="AJ1944" t="str">
            <v>F</v>
          </cell>
          <cell r="AK1944" t="str">
            <v/>
          </cell>
        </row>
        <row r="1945">
          <cell r="A1945" t="str">
            <v>12639690820541</v>
          </cell>
          <cell r="B1945" t="e">
            <v>#N/A</v>
          </cell>
          <cell r="C1945" t="e">
            <v>#N/A</v>
          </cell>
          <cell r="D1945" t="str">
            <v>EK65</v>
          </cell>
          <cell r="E1945" t="str">
            <v>711592</v>
          </cell>
          <cell r="F1945" t="str">
            <v>E</v>
          </cell>
          <cell r="G1945" t="str">
            <v>12639690</v>
          </cell>
          <cell r="H1945" t="str">
            <v>Halteblech</v>
          </cell>
          <cell r="I1945">
            <v>44</v>
          </cell>
          <cell r="J1945" t="str">
            <v>Stk</v>
          </cell>
          <cell r="K1945">
            <v>45138</v>
          </cell>
          <cell r="L1945" t="str">
            <v>820541</v>
          </cell>
          <cell r="M1945" t="str">
            <v/>
          </cell>
          <cell r="N1945" t="str">
            <v/>
          </cell>
          <cell r="O1945" t="str">
            <v/>
          </cell>
          <cell r="P1945" t="str">
            <v/>
          </cell>
          <cell r="Q1945" t="str">
            <v/>
          </cell>
          <cell r="R1945" t="str">
            <v/>
          </cell>
          <cell r="S1945" t="str">
            <v/>
          </cell>
          <cell r="T1945" t="str">
            <v/>
          </cell>
          <cell r="U1945" t="str">
            <v/>
          </cell>
          <cell r="V1945" t="str">
            <v>N52</v>
          </cell>
          <cell r="W1945" t="str">
            <v/>
          </cell>
          <cell r="X1945" t="str">
            <v/>
          </cell>
          <cell r="Y1945" t="str">
            <v/>
          </cell>
          <cell r="Z1945" t="str">
            <v/>
          </cell>
          <cell r="AA1945" t="str">
            <v/>
          </cell>
          <cell r="AB1945" t="str">
            <v>PA_5007262-TB.3048-2</v>
          </cell>
          <cell r="AC1945">
            <v>1</v>
          </cell>
          <cell r="AD1945" t="str">
            <v/>
          </cell>
          <cell r="AE1945">
            <v>0</v>
          </cell>
          <cell r="AF1945" t="str">
            <v/>
          </cell>
          <cell r="AG1945" t="str">
            <v>12639690</v>
          </cell>
          <cell r="AH1945">
            <v>44980.901678240742</v>
          </cell>
          <cell r="AI1945" t="str">
            <v>N52</v>
          </cell>
          <cell r="AJ1945" t="str">
            <v>F</v>
          </cell>
          <cell r="AK1945" t="str">
            <v/>
          </cell>
        </row>
        <row r="1946">
          <cell r="A1946" t="str">
            <v>12640238820541</v>
          </cell>
          <cell r="B1946" t="e">
            <v>#N/A</v>
          </cell>
          <cell r="C1946" t="e">
            <v>#N/A</v>
          </cell>
          <cell r="D1946" t="str">
            <v>EK65</v>
          </cell>
          <cell r="E1946" t="str">
            <v>711593</v>
          </cell>
          <cell r="F1946" t="str">
            <v>E</v>
          </cell>
          <cell r="G1946" t="str">
            <v>12640238</v>
          </cell>
          <cell r="H1946" t="str">
            <v>Beilage</v>
          </cell>
          <cell r="I1946">
            <v>176</v>
          </cell>
          <cell r="J1946" t="str">
            <v>Stk</v>
          </cell>
          <cell r="K1946">
            <v>45175</v>
          </cell>
          <cell r="L1946" t="str">
            <v>820541</v>
          </cell>
          <cell r="M1946" t="str">
            <v/>
          </cell>
          <cell r="N1946" t="str">
            <v/>
          </cell>
          <cell r="O1946" t="str">
            <v/>
          </cell>
          <cell r="P1946" t="str">
            <v/>
          </cell>
          <cell r="Q1946" t="str">
            <v/>
          </cell>
          <cell r="R1946" t="str">
            <v/>
          </cell>
          <cell r="S1946" t="str">
            <v/>
          </cell>
          <cell r="T1946" t="str">
            <v/>
          </cell>
          <cell r="U1946" t="str">
            <v/>
          </cell>
          <cell r="V1946" t="str">
            <v>N52</v>
          </cell>
          <cell r="W1946" t="str">
            <v/>
          </cell>
          <cell r="X1946" t="str">
            <v/>
          </cell>
          <cell r="Y1946" t="str">
            <v/>
          </cell>
          <cell r="Z1946" t="str">
            <v/>
          </cell>
          <cell r="AA1946" t="str">
            <v/>
          </cell>
          <cell r="AB1946" t="str">
            <v>PA_5138051-ND.3048-3</v>
          </cell>
          <cell r="AC1946">
            <v>1</v>
          </cell>
          <cell r="AD1946" t="str">
            <v/>
          </cell>
          <cell r="AE1946">
            <v>0</v>
          </cell>
          <cell r="AF1946" t="str">
            <v/>
          </cell>
          <cell r="AG1946" t="str">
            <v>12640238</v>
          </cell>
          <cell r="AH1946">
            <v>44980.901701388888</v>
          </cell>
          <cell r="AI1946" t="str">
            <v>N52</v>
          </cell>
          <cell r="AJ1946" t="str">
            <v>F</v>
          </cell>
          <cell r="AK1946" t="str">
            <v/>
          </cell>
        </row>
        <row r="1947">
          <cell r="A1947" t="str">
            <v>12640242820541</v>
          </cell>
          <cell r="B1947" t="e">
            <v>#N/A</v>
          </cell>
          <cell r="C1947" t="e">
            <v>#N/A</v>
          </cell>
          <cell r="D1947" t="str">
            <v>EK65</v>
          </cell>
          <cell r="E1947" t="str">
            <v>711594</v>
          </cell>
          <cell r="F1947" t="str">
            <v>E</v>
          </cell>
          <cell r="G1947" t="str">
            <v>12640242</v>
          </cell>
          <cell r="H1947" t="str">
            <v>Beilage</v>
          </cell>
          <cell r="I1947">
            <v>176</v>
          </cell>
          <cell r="J1947" t="str">
            <v>Stk</v>
          </cell>
          <cell r="K1947">
            <v>45175</v>
          </cell>
          <cell r="L1947" t="str">
            <v>820541</v>
          </cell>
          <cell r="M1947" t="str">
            <v/>
          </cell>
          <cell r="N1947" t="str">
            <v/>
          </cell>
          <cell r="O1947" t="str">
            <v/>
          </cell>
          <cell r="P1947" t="str">
            <v/>
          </cell>
          <cell r="Q1947" t="str">
            <v/>
          </cell>
          <cell r="R1947" t="str">
            <v/>
          </cell>
          <cell r="S1947" t="str">
            <v/>
          </cell>
          <cell r="T1947" t="str">
            <v/>
          </cell>
          <cell r="U1947" t="str">
            <v/>
          </cell>
          <cell r="V1947" t="str">
            <v>N52</v>
          </cell>
          <cell r="W1947" t="str">
            <v/>
          </cell>
          <cell r="X1947" t="str">
            <v/>
          </cell>
          <cell r="Y1947" t="str">
            <v/>
          </cell>
          <cell r="Z1947" t="str">
            <v/>
          </cell>
          <cell r="AA1947" t="str">
            <v/>
          </cell>
          <cell r="AB1947" t="str">
            <v>PA_5138080-ND.3048-3</v>
          </cell>
          <cell r="AC1947">
            <v>1</v>
          </cell>
          <cell r="AD1947" t="str">
            <v/>
          </cell>
          <cell r="AE1947">
            <v>0</v>
          </cell>
          <cell r="AF1947" t="str">
            <v/>
          </cell>
          <cell r="AG1947" t="str">
            <v>12640242</v>
          </cell>
          <cell r="AH1947">
            <v>44980.901712962965</v>
          </cell>
          <cell r="AI1947" t="str">
            <v>N52</v>
          </cell>
          <cell r="AJ1947" t="str">
            <v>F</v>
          </cell>
          <cell r="AK1947" t="str">
            <v/>
          </cell>
        </row>
        <row r="1948">
          <cell r="A1948" t="str">
            <v>12641153820541</v>
          </cell>
          <cell r="B1948" t="e">
            <v>#N/A</v>
          </cell>
          <cell r="C1948" t="e">
            <v>#N/A</v>
          </cell>
          <cell r="D1948" t="str">
            <v>EK65</v>
          </cell>
          <cell r="E1948" t="str">
            <v>711595</v>
          </cell>
          <cell r="F1948" t="str">
            <v>E</v>
          </cell>
          <cell r="G1948" t="str">
            <v>12641153</v>
          </cell>
          <cell r="H1948" t="str">
            <v>Erdungslasche</v>
          </cell>
          <cell r="I1948">
            <v>88</v>
          </cell>
          <cell r="J1948" t="str">
            <v>Stk</v>
          </cell>
          <cell r="K1948">
            <v>45138</v>
          </cell>
          <cell r="L1948" t="str">
            <v>820541</v>
          </cell>
          <cell r="M1948" t="str">
            <v/>
          </cell>
          <cell r="N1948" t="str">
            <v/>
          </cell>
          <cell r="O1948" t="str">
            <v/>
          </cell>
          <cell r="P1948" t="str">
            <v/>
          </cell>
          <cell r="Q1948" t="str">
            <v/>
          </cell>
          <cell r="R1948" t="str">
            <v/>
          </cell>
          <cell r="S1948" t="str">
            <v/>
          </cell>
          <cell r="T1948" t="str">
            <v/>
          </cell>
          <cell r="U1948" t="str">
            <v/>
          </cell>
          <cell r="V1948" t="str">
            <v>N52</v>
          </cell>
          <cell r="W1948" t="str">
            <v/>
          </cell>
          <cell r="X1948" t="str">
            <v/>
          </cell>
          <cell r="Y1948" t="str">
            <v/>
          </cell>
          <cell r="Z1948" t="str">
            <v/>
          </cell>
          <cell r="AA1948" t="str">
            <v/>
          </cell>
          <cell r="AB1948" t="str">
            <v>PA_5143074-TB.3048-4</v>
          </cell>
          <cell r="AC1948">
            <v>1</v>
          </cell>
          <cell r="AD1948" t="str">
            <v/>
          </cell>
          <cell r="AE1948">
            <v>0</v>
          </cell>
          <cell r="AF1948" t="str">
            <v/>
          </cell>
          <cell r="AG1948" t="str">
            <v>12641153</v>
          </cell>
          <cell r="AH1948">
            <v>44980.901736111111</v>
          </cell>
          <cell r="AI1948" t="str">
            <v>N52</v>
          </cell>
          <cell r="AJ1948" t="str">
            <v>F</v>
          </cell>
          <cell r="AK1948" t="str">
            <v/>
          </cell>
        </row>
        <row r="1949">
          <cell r="A1949" t="str">
            <v>12642076820541</v>
          </cell>
          <cell r="B1949" t="e">
            <v>#N/A</v>
          </cell>
          <cell r="C1949" t="e">
            <v>#N/A</v>
          </cell>
          <cell r="D1949" t="str">
            <v>EK65</v>
          </cell>
          <cell r="E1949" t="str">
            <v>711596</v>
          </cell>
          <cell r="F1949" t="str">
            <v>E</v>
          </cell>
          <cell r="G1949" t="str">
            <v>12642076</v>
          </cell>
          <cell r="H1949" t="str">
            <v>Lochabdeckung</v>
          </cell>
          <cell r="I1949">
            <v>88</v>
          </cell>
          <cell r="J1949" t="str">
            <v>Stk</v>
          </cell>
          <cell r="K1949">
            <v>45175</v>
          </cell>
          <cell r="L1949" t="str">
            <v>820541</v>
          </cell>
          <cell r="M1949" t="str">
            <v/>
          </cell>
          <cell r="N1949" t="str">
            <v/>
          </cell>
          <cell r="O1949" t="str">
            <v/>
          </cell>
          <cell r="P1949" t="str">
            <v/>
          </cell>
          <cell r="Q1949" t="str">
            <v/>
          </cell>
          <cell r="R1949" t="str">
            <v/>
          </cell>
          <cell r="S1949" t="str">
            <v/>
          </cell>
          <cell r="T1949" t="str">
            <v/>
          </cell>
          <cell r="U1949" t="str">
            <v/>
          </cell>
          <cell r="V1949" t="str">
            <v>N52</v>
          </cell>
          <cell r="W1949" t="str">
            <v/>
          </cell>
          <cell r="X1949" t="str">
            <v/>
          </cell>
          <cell r="Y1949" t="str">
            <v/>
          </cell>
          <cell r="Z1949" t="str">
            <v/>
          </cell>
          <cell r="AA1949" t="str">
            <v/>
          </cell>
          <cell r="AB1949" t="str">
            <v>PA_5151898-ND.3048-4</v>
          </cell>
          <cell r="AC1949">
            <v>1</v>
          </cell>
          <cell r="AD1949" t="str">
            <v/>
          </cell>
          <cell r="AE1949">
            <v>0</v>
          </cell>
          <cell r="AF1949" t="str">
            <v/>
          </cell>
          <cell r="AG1949" t="str">
            <v>12642076</v>
          </cell>
          <cell r="AH1949">
            <v>44980.901747685188</v>
          </cell>
          <cell r="AI1949" t="str">
            <v>N52</v>
          </cell>
          <cell r="AJ1949" t="str">
            <v>F</v>
          </cell>
          <cell r="AK1949" t="str">
            <v/>
          </cell>
        </row>
        <row r="1950">
          <cell r="A1950" t="str">
            <v>1707393820531</v>
          </cell>
          <cell r="B1950" t="e">
            <v>#N/A</v>
          </cell>
          <cell r="C1950" t="e">
            <v>#N/A</v>
          </cell>
          <cell r="D1950" t="str">
            <v>EK65</v>
          </cell>
          <cell r="E1950" t="str">
            <v>711695</v>
          </cell>
          <cell r="F1950" t="str">
            <v>E</v>
          </cell>
          <cell r="G1950" t="str">
            <v>1707393</v>
          </cell>
          <cell r="H1950" t="str">
            <v>Verschlussblech</v>
          </cell>
          <cell r="I1950">
            <v>1</v>
          </cell>
          <cell r="J1950" t="str">
            <v>Stk</v>
          </cell>
          <cell r="K1950">
            <v>45208</v>
          </cell>
          <cell r="L1950" t="str">
            <v>820531</v>
          </cell>
          <cell r="M1950" t="str">
            <v/>
          </cell>
          <cell r="N1950" t="str">
            <v/>
          </cell>
          <cell r="O1950" t="str">
            <v/>
          </cell>
          <cell r="P1950" t="str">
            <v/>
          </cell>
          <cell r="Q1950" t="str">
            <v/>
          </cell>
          <cell r="R1950" t="str">
            <v/>
          </cell>
          <cell r="S1950" t="str">
            <v/>
          </cell>
          <cell r="T1950" t="str">
            <v/>
          </cell>
          <cell r="U1950" t="str">
            <v/>
          </cell>
          <cell r="V1950" t="str">
            <v>N38</v>
          </cell>
          <cell r="W1950" t="str">
            <v/>
          </cell>
          <cell r="X1950" t="str">
            <v/>
          </cell>
          <cell r="Y1950" t="str">
            <v/>
          </cell>
          <cell r="Z1950" t="str">
            <v/>
          </cell>
          <cell r="AA1950" t="str">
            <v/>
          </cell>
          <cell r="AB1950" t="str">
            <v>PA_2331917-HE.3046-4</v>
          </cell>
          <cell r="AC1950">
            <v>1</v>
          </cell>
          <cell r="AD1950" t="str">
            <v/>
          </cell>
          <cell r="AE1950">
            <v>0</v>
          </cell>
          <cell r="AF1950" t="str">
            <v/>
          </cell>
          <cell r="AG1950" t="str">
            <v>1707393</v>
          </cell>
          <cell r="AH1950">
            <v>44980.922835648147</v>
          </cell>
          <cell r="AI1950" t="str">
            <v>N38</v>
          </cell>
          <cell r="AJ1950" t="str">
            <v>F</v>
          </cell>
          <cell r="AK1950" t="str">
            <v>A</v>
          </cell>
        </row>
        <row r="1951">
          <cell r="A1951" t="str">
            <v>5513072</v>
          </cell>
          <cell r="B1951" t="e">
            <v>#N/A</v>
          </cell>
          <cell r="C1951" t="e">
            <v>#N/A</v>
          </cell>
          <cell r="D1951" t="str">
            <v>EK65</v>
          </cell>
          <cell r="E1951" t="str">
            <v>711923</v>
          </cell>
          <cell r="F1951" t="str">
            <v>B</v>
          </cell>
          <cell r="G1951" t="str">
            <v>5513072</v>
          </cell>
          <cell r="H1951" t="str">
            <v>AUSGLEICHSBLECH</v>
          </cell>
          <cell r="I1951">
            <v>20</v>
          </cell>
          <cell r="J1951" t="str">
            <v>Stk</v>
          </cell>
          <cell r="K1951">
            <v>44985</v>
          </cell>
          <cell r="L1951" t="str">
            <v/>
          </cell>
          <cell r="M1951" t="str">
            <v/>
          </cell>
          <cell r="N1951" t="str">
            <v/>
          </cell>
          <cell r="O1951" t="str">
            <v/>
          </cell>
          <cell r="P1951" t="str">
            <v/>
          </cell>
          <cell r="Q1951" t="str">
            <v/>
          </cell>
          <cell r="R1951" t="str">
            <v/>
          </cell>
          <cell r="S1951" t="str">
            <v/>
          </cell>
          <cell r="T1951" t="str">
            <v/>
          </cell>
          <cell r="U1951" t="str">
            <v/>
          </cell>
          <cell r="V1951" t="str">
            <v>N52</v>
          </cell>
          <cell r="W1951" t="str">
            <v/>
          </cell>
          <cell r="X1951" t="str">
            <v/>
          </cell>
          <cell r="Y1951" t="str">
            <v/>
          </cell>
          <cell r="Z1951" t="str">
            <v/>
          </cell>
          <cell r="AA1951" t="str">
            <v/>
          </cell>
          <cell r="AB1951" t="str">
            <v>PA_1251308-CD.4011-4</v>
          </cell>
          <cell r="AC1951">
            <v>4</v>
          </cell>
          <cell r="AD1951" t="str">
            <v/>
          </cell>
          <cell r="AE1951">
            <v>0</v>
          </cell>
          <cell r="AF1951" t="str">
            <v/>
          </cell>
          <cell r="AG1951" t="str">
            <v>5513072</v>
          </cell>
          <cell r="AH1951">
            <v>44981.837291666663</v>
          </cell>
          <cell r="AI1951" t="str">
            <v>N52</v>
          </cell>
          <cell r="AJ1951" t="str">
            <v>F</v>
          </cell>
          <cell r="AK1951" t="str">
            <v>A</v>
          </cell>
        </row>
        <row r="1952">
          <cell r="A1952" t="str">
            <v>0507578820531</v>
          </cell>
          <cell r="B1952" t="e">
            <v>#N/A</v>
          </cell>
          <cell r="C1952" t="e">
            <v>#N/A</v>
          </cell>
          <cell r="D1952" t="str">
            <v>EK65</v>
          </cell>
          <cell r="E1952" t="str">
            <v>712277</v>
          </cell>
          <cell r="F1952" t="str">
            <v>E</v>
          </cell>
          <cell r="G1952" t="str">
            <v>0507578</v>
          </cell>
          <cell r="H1952" t="str">
            <v>Klemmbuchse</v>
          </cell>
          <cell r="I1952">
            <v>2</v>
          </cell>
          <cell r="J1952" t="str">
            <v>Stk</v>
          </cell>
          <cell r="K1952">
            <v>45217</v>
          </cell>
          <cell r="L1952" t="str">
            <v>820531</v>
          </cell>
          <cell r="M1952" t="str">
            <v/>
          </cell>
          <cell r="N1952" t="str">
            <v/>
          </cell>
          <cell r="O1952" t="str">
            <v/>
          </cell>
          <cell r="P1952" t="str">
            <v/>
          </cell>
          <cell r="Q1952" t="str">
            <v/>
          </cell>
          <cell r="R1952" t="str">
            <v/>
          </cell>
          <cell r="S1952" t="str">
            <v/>
          </cell>
          <cell r="T1952" t="str">
            <v/>
          </cell>
          <cell r="U1952" t="str">
            <v/>
          </cell>
          <cell r="V1952" t="str">
            <v>N52</v>
          </cell>
          <cell r="W1952" t="str">
            <v/>
          </cell>
          <cell r="X1952" t="str">
            <v/>
          </cell>
          <cell r="Y1952" t="str">
            <v/>
          </cell>
          <cell r="Z1952" t="str">
            <v/>
          </cell>
          <cell r="AA1952" t="str">
            <v/>
          </cell>
          <cell r="AB1952" t="str">
            <v>PA_2150002-TB.6900-4</v>
          </cell>
          <cell r="AC1952">
            <v>1</v>
          </cell>
          <cell r="AD1952" t="str">
            <v/>
          </cell>
          <cell r="AE1952">
            <v>0</v>
          </cell>
          <cell r="AF1952" t="str">
            <v/>
          </cell>
          <cell r="AG1952" t="str">
            <v>0507578</v>
          </cell>
          <cell r="AH1952">
            <v>44984.499456018515</v>
          </cell>
          <cell r="AI1952" t="str">
            <v>N52</v>
          </cell>
          <cell r="AJ1952" t="str">
            <v>F</v>
          </cell>
          <cell r="AK1952" t="str">
            <v/>
          </cell>
        </row>
        <row r="1953">
          <cell r="A1953" t="str">
            <v>0438834</v>
          </cell>
          <cell r="B1953" t="e">
            <v>#N/A</v>
          </cell>
          <cell r="C1953" t="e">
            <v>#N/A</v>
          </cell>
          <cell r="D1953" t="str">
            <v>EK65</v>
          </cell>
          <cell r="E1953" t="str">
            <v>712286</v>
          </cell>
          <cell r="F1953" t="str">
            <v>B</v>
          </cell>
          <cell r="G1953" t="str">
            <v>0438834</v>
          </cell>
          <cell r="H1953" t="str">
            <v>Unterlegscheibe</v>
          </cell>
          <cell r="I1953">
            <v>150</v>
          </cell>
          <cell r="J1953" t="str">
            <v>Stk</v>
          </cell>
          <cell r="K1953">
            <v>44986</v>
          </cell>
          <cell r="L1953" t="str">
            <v/>
          </cell>
          <cell r="M1953" t="str">
            <v/>
          </cell>
          <cell r="N1953" t="str">
            <v/>
          </cell>
          <cell r="O1953" t="str">
            <v/>
          </cell>
          <cell r="P1953" t="str">
            <v/>
          </cell>
          <cell r="Q1953" t="str">
            <v/>
          </cell>
          <cell r="R1953" t="str">
            <v/>
          </cell>
          <cell r="S1953" t="str">
            <v/>
          </cell>
          <cell r="T1953" t="str">
            <v/>
          </cell>
          <cell r="U1953" t="str">
            <v/>
          </cell>
          <cell r="V1953" t="str">
            <v>N52</v>
          </cell>
          <cell r="W1953" t="str">
            <v/>
          </cell>
          <cell r="X1953" t="str">
            <v/>
          </cell>
          <cell r="Y1953" t="str">
            <v/>
          </cell>
          <cell r="Z1953" t="str">
            <v/>
          </cell>
          <cell r="AA1953" t="str">
            <v/>
          </cell>
          <cell r="AB1953" t="str">
            <v>PA_2224762-CD.7500-4</v>
          </cell>
          <cell r="AC1953">
            <v>4</v>
          </cell>
          <cell r="AD1953" t="str">
            <v/>
          </cell>
          <cell r="AE1953">
            <v>0</v>
          </cell>
          <cell r="AF1953" t="str">
            <v/>
          </cell>
          <cell r="AG1953" t="str">
            <v>0438834</v>
          </cell>
          <cell r="AH1953">
            <v>44984.834050925929</v>
          </cell>
          <cell r="AI1953" t="str">
            <v>N52</v>
          </cell>
          <cell r="AJ1953" t="str">
            <v>F</v>
          </cell>
          <cell r="AK1953" t="str">
            <v/>
          </cell>
        </row>
        <row r="1954">
          <cell r="A1954" t="str">
            <v>1100492</v>
          </cell>
          <cell r="B1954" t="e">
            <v>#N/A</v>
          </cell>
          <cell r="C1954" t="e">
            <v>#N/A</v>
          </cell>
          <cell r="D1954" t="str">
            <v>EK65</v>
          </cell>
          <cell r="E1954" t="str">
            <v>712289</v>
          </cell>
          <cell r="F1954" t="str">
            <v>B</v>
          </cell>
          <cell r="G1954" t="str">
            <v>1100492</v>
          </cell>
          <cell r="H1954" t="str">
            <v>Dehnhuelse</v>
          </cell>
          <cell r="I1954">
            <v>2</v>
          </cell>
          <cell r="J1954" t="str">
            <v>Stk</v>
          </cell>
          <cell r="K1954">
            <v>44986</v>
          </cell>
          <cell r="L1954" t="str">
            <v/>
          </cell>
          <cell r="M1954" t="str">
            <v/>
          </cell>
          <cell r="N1954" t="str">
            <v/>
          </cell>
          <cell r="O1954" t="str">
            <v/>
          </cell>
          <cell r="P1954" t="str">
            <v/>
          </cell>
          <cell r="Q1954" t="str">
            <v/>
          </cell>
          <cell r="R1954" t="str">
            <v/>
          </cell>
          <cell r="S1954" t="str">
            <v/>
          </cell>
          <cell r="T1954" t="str">
            <v/>
          </cell>
          <cell r="U1954" t="str">
            <v/>
          </cell>
          <cell r="V1954" t="str">
            <v>N52</v>
          </cell>
          <cell r="W1954" t="str">
            <v/>
          </cell>
          <cell r="X1954" t="str">
            <v/>
          </cell>
          <cell r="Y1954" t="str">
            <v/>
          </cell>
          <cell r="Z1954" t="str">
            <v/>
          </cell>
          <cell r="AA1954" t="str">
            <v/>
          </cell>
          <cell r="AB1954" t="str">
            <v>PA_2157927-MB.7500-3</v>
          </cell>
          <cell r="AC1954">
            <v>4</v>
          </cell>
          <cell r="AD1954" t="str">
            <v/>
          </cell>
          <cell r="AE1954">
            <v>0</v>
          </cell>
          <cell r="AF1954" t="str">
            <v/>
          </cell>
          <cell r="AG1954" t="str">
            <v>1100492</v>
          </cell>
          <cell r="AH1954">
            <v>44984.834976851853</v>
          </cell>
          <cell r="AI1954" t="str">
            <v>N52</v>
          </cell>
          <cell r="AJ1954" t="str">
            <v>F</v>
          </cell>
          <cell r="AK1954" t="str">
            <v/>
          </cell>
        </row>
        <row r="1955">
          <cell r="A1955" t="str">
            <v>1100505</v>
          </cell>
          <cell r="B1955" t="str">
            <v>BL20230412-1</v>
          </cell>
          <cell r="C1955" t="e">
            <v>#N/A</v>
          </cell>
          <cell r="D1955" t="str">
            <v>EK65</v>
          </cell>
          <cell r="E1955" t="str">
            <v>712290</v>
          </cell>
          <cell r="F1955" t="str">
            <v>B</v>
          </cell>
          <cell r="G1955" t="str">
            <v>1100505</v>
          </cell>
          <cell r="H1955" t="str">
            <v>Ueberwurfmutter M36x2</v>
          </cell>
          <cell r="I1955">
            <v>40</v>
          </cell>
          <cell r="J1955" t="str">
            <v>Stk</v>
          </cell>
          <cell r="K1955">
            <v>44986</v>
          </cell>
          <cell r="L1955" t="str">
            <v/>
          </cell>
          <cell r="M1955" t="str">
            <v/>
          </cell>
          <cell r="N1955" t="str">
            <v/>
          </cell>
          <cell r="O1955" t="str">
            <v/>
          </cell>
          <cell r="P1955" t="str">
            <v/>
          </cell>
          <cell r="Q1955" t="str">
            <v/>
          </cell>
          <cell r="R1955" t="str">
            <v/>
          </cell>
          <cell r="S1955" t="str">
            <v/>
          </cell>
          <cell r="T1955" t="str">
            <v/>
          </cell>
          <cell r="U1955" t="str">
            <v/>
          </cell>
          <cell r="V1955" t="str">
            <v>N52</v>
          </cell>
          <cell r="W1955" t="str">
            <v/>
          </cell>
          <cell r="X1955" t="str">
            <v/>
          </cell>
          <cell r="Y1955" t="str">
            <v/>
          </cell>
          <cell r="Z1955" t="str">
            <v/>
          </cell>
          <cell r="AA1955" t="str">
            <v/>
          </cell>
          <cell r="AB1955" t="str">
            <v>PA_2173889-MB.7500-4</v>
          </cell>
          <cell r="AC1955">
            <v>4</v>
          </cell>
          <cell r="AD1955" t="str">
            <v/>
          </cell>
          <cell r="AE1955">
            <v>0</v>
          </cell>
          <cell r="AF1955" t="str">
            <v/>
          </cell>
          <cell r="AG1955" t="str">
            <v>1100505</v>
          </cell>
          <cell r="AH1955">
            <v>44984.834976851853</v>
          </cell>
          <cell r="AI1955" t="str">
            <v>N52</v>
          </cell>
          <cell r="AJ1955" t="str">
            <v>F</v>
          </cell>
          <cell r="AK1955" t="str">
            <v>A</v>
          </cell>
        </row>
        <row r="1956">
          <cell r="A1956" t="str">
            <v>1319789</v>
          </cell>
          <cell r="B1956" t="str">
            <v>BL20230413-2</v>
          </cell>
          <cell r="C1956" t="e">
            <v>#N/A</v>
          </cell>
          <cell r="D1956" t="str">
            <v>EK65</v>
          </cell>
          <cell r="E1956" t="str">
            <v>712291</v>
          </cell>
          <cell r="F1956" t="str">
            <v>B</v>
          </cell>
          <cell r="G1956" t="str">
            <v>1319789</v>
          </cell>
          <cell r="H1956" t="str">
            <v>Beilage 2 mm</v>
          </cell>
          <cell r="I1956">
            <v>200</v>
          </cell>
          <cell r="J1956" t="str">
            <v>Stk</v>
          </cell>
          <cell r="K1956">
            <v>44986</v>
          </cell>
          <cell r="L1956" t="str">
            <v/>
          </cell>
          <cell r="M1956" t="str">
            <v/>
          </cell>
          <cell r="N1956" t="str">
            <v/>
          </cell>
          <cell r="O1956" t="str">
            <v/>
          </cell>
          <cell r="P1956" t="str">
            <v/>
          </cell>
          <cell r="Q1956" t="str">
            <v/>
          </cell>
          <cell r="R1956" t="str">
            <v/>
          </cell>
          <cell r="S1956" t="str">
            <v/>
          </cell>
          <cell r="T1956" t="str">
            <v/>
          </cell>
          <cell r="U1956" t="str">
            <v/>
          </cell>
          <cell r="V1956" t="str">
            <v>N52</v>
          </cell>
          <cell r="W1956" t="str">
            <v/>
          </cell>
          <cell r="X1956" t="str">
            <v/>
          </cell>
          <cell r="Y1956" t="str">
            <v/>
          </cell>
          <cell r="Z1956" t="str">
            <v/>
          </cell>
          <cell r="AA1956" t="str">
            <v/>
          </cell>
          <cell r="AB1956" t="str">
            <v>PA_2195538-UA.7500-4</v>
          </cell>
          <cell r="AC1956">
            <v>4</v>
          </cell>
          <cell r="AD1956" t="str">
            <v/>
          </cell>
          <cell r="AE1956">
            <v>0</v>
          </cell>
          <cell r="AF1956" t="str">
            <v/>
          </cell>
          <cell r="AG1956" t="str">
            <v>1319789</v>
          </cell>
          <cell r="AH1956">
            <v>44984.835393518515</v>
          </cell>
          <cell r="AI1956" t="str">
            <v>N52</v>
          </cell>
          <cell r="AJ1956" t="str">
            <v>F</v>
          </cell>
          <cell r="AK1956" t="str">
            <v/>
          </cell>
        </row>
        <row r="1957">
          <cell r="A1957" t="str">
            <v>12637599820541</v>
          </cell>
          <cell r="B1957" t="e">
            <v>#N/A</v>
          </cell>
          <cell r="C1957" t="e">
            <v>#N/A</v>
          </cell>
          <cell r="D1957" t="str">
            <v>EK65</v>
          </cell>
          <cell r="E1957" t="str">
            <v>712447</v>
          </cell>
          <cell r="F1957" t="str">
            <v>E</v>
          </cell>
          <cell r="G1957" t="str">
            <v>12637599</v>
          </cell>
          <cell r="H1957" t="str">
            <v>Halter B-Saeule</v>
          </cell>
          <cell r="I1957">
            <v>176</v>
          </cell>
          <cell r="J1957" t="str">
            <v>Stk</v>
          </cell>
          <cell r="K1957">
            <v>45180</v>
          </cell>
          <cell r="L1957" t="str">
            <v>820541</v>
          </cell>
          <cell r="M1957" t="str">
            <v/>
          </cell>
          <cell r="N1957" t="str">
            <v/>
          </cell>
          <cell r="O1957" t="str">
            <v/>
          </cell>
          <cell r="P1957" t="str">
            <v/>
          </cell>
          <cell r="Q1957" t="str">
            <v/>
          </cell>
          <cell r="R1957" t="str">
            <v/>
          </cell>
          <cell r="S1957" t="str">
            <v/>
          </cell>
          <cell r="T1957" t="str">
            <v/>
          </cell>
          <cell r="U1957" t="str">
            <v/>
          </cell>
          <cell r="V1957" t="str">
            <v>N52</v>
          </cell>
          <cell r="W1957" t="str">
            <v/>
          </cell>
          <cell r="X1957" t="str">
            <v/>
          </cell>
          <cell r="Y1957" t="str">
            <v/>
          </cell>
          <cell r="Z1957" t="str">
            <v/>
          </cell>
          <cell r="AA1957" t="str">
            <v/>
          </cell>
          <cell r="AB1957" t="str">
            <v>PA_5133262-CD.3048-3</v>
          </cell>
          <cell r="AC1957">
            <v>1</v>
          </cell>
          <cell r="AD1957" t="str">
            <v/>
          </cell>
          <cell r="AE1957">
            <v>0</v>
          </cell>
          <cell r="AF1957" t="str">
            <v/>
          </cell>
          <cell r="AG1957" t="str">
            <v>12637599</v>
          </cell>
          <cell r="AH1957">
            <v>44984.91265046296</v>
          </cell>
          <cell r="AI1957" t="str">
            <v>N52</v>
          </cell>
          <cell r="AJ1957" t="str">
            <v>F</v>
          </cell>
          <cell r="AK1957" t="str">
            <v/>
          </cell>
        </row>
        <row r="1958">
          <cell r="A1958" t="str">
            <v>12637624820541</v>
          </cell>
          <cell r="B1958" t="e">
            <v>#N/A</v>
          </cell>
          <cell r="C1958" t="e">
            <v>#N/A</v>
          </cell>
          <cell r="D1958" t="str">
            <v>EK65</v>
          </cell>
          <cell r="E1958" t="str">
            <v>712448</v>
          </cell>
          <cell r="F1958" t="str">
            <v>E</v>
          </cell>
          <cell r="G1958" t="str">
            <v>12637624</v>
          </cell>
          <cell r="H1958" t="str">
            <v>Halter B-Saeule</v>
          </cell>
          <cell r="I1958">
            <v>176</v>
          </cell>
          <cell r="J1958" t="str">
            <v>Stk</v>
          </cell>
          <cell r="K1958">
            <v>45180</v>
          </cell>
          <cell r="L1958" t="str">
            <v>820541</v>
          </cell>
          <cell r="M1958" t="str">
            <v/>
          </cell>
          <cell r="N1958" t="str">
            <v/>
          </cell>
          <cell r="O1958" t="str">
            <v/>
          </cell>
          <cell r="P1958" t="str">
            <v/>
          </cell>
          <cell r="Q1958" t="str">
            <v/>
          </cell>
          <cell r="R1958" t="str">
            <v/>
          </cell>
          <cell r="S1958" t="str">
            <v/>
          </cell>
          <cell r="T1958" t="str">
            <v/>
          </cell>
          <cell r="U1958" t="str">
            <v/>
          </cell>
          <cell r="V1958" t="str">
            <v>N52</v>
          </cell>
          <cell r="W1958" t="str">
            <v/>
          </cell>
          <cell r="X1958" t="str">
            <v/>
          </cell>
          <cell r="Y1958" t="str">
            <v/>
          </cell>
          <cell r="Z1958" t="str">
            <v/>
          </cell>
          <cell r="AA1958" t="str">
            <v/>
          </cell>
          <cell r="AB1958" t="str">
            <v>PA_5133281-CD.3048-3</v>
          </cell>
          <cell r="AC1958">
            <v>1</v>
          </cell>
          <cell r="AD1958" t="str">
            <v/>
          </cell>
          <cell r="AE1958">
            <v>0</v>
          </cell>
          <cell r="AF1958" t="str">
            <v/>
          </cell>
          <cell r="AG1958" t="str">
            <v>12637624</v>
          </cell>
          <cell r="AH1958">
            <v>44984.912662037037</v>
          </cell>
          <cell r="AI1958" t="str">
            <v>N52</v>
          </cell>
          <cell r="AJ1958" t="str">
            <v>F</v>
          </cell>
          <cell r="AK1958" t="str">
            <v/>
          </cell>
        </row>
        <row r="1959">
          <cell r="A1959" t="str">
            <v>12637709820541</v>
          </cell>
          <cell r="B1959" t="e">
            <v>#N/A</v>
          </cell>
          <cell r="C1959" t="e">
            <v>#N/A</v>
          </cell>
          <cell r="D1959" t="str">
            <v>EK65</v>
          </cell>
          <cell r="E1959" t="str">
            <v>712449</v>
          </cell>
          <cell r="F1959" t="str">
            <v>E</v>
          </cell>
          <cell r="G1959" t="str">
            <v>12637709</v>
          </cell>
          <cell r="H1959" t="str">
            <v>Halter B-Saeule rechts vollst.</v>
          </cell>
          <cell r="I1959">
            <v>88</v>
          </cell>
          <cell r="J1959" t="str">
            <v>Stk</v>
          </cell>
          <cell r="K1959">
            <v>45180</v>
          </cell>
          <cell r="L1959" t="str">
            <v>820541</v>
          </cell>
          <cell r="M1959" t="str">
            <v/>
          </cell>
          <cell r="N1959" t="str">
            <v/>
          </cell>
          <cell r="O1959" t="str">
            <v/>
          </cell>
          <cell r="P1959" t="str">
            <v/>
          </cell>
          <cell r="Q1959" t="str">
            <v/>
          </cell>
          <cell r="R1959" t="str">
            <v/>
          </cell>
          <cell r="S1959" t="str">
            <v/>
          </cell>
          <cell r="T1959" t="str">
            <v/>
          </cell>
          <cell r="U1959" t="str">
            <v/>
          </cell>
          <cell r="V1959" t="str">
            <v>N38</v>
          </cell>
          <cell r="W1959" t="str">
            <v/>
          </cell>
          <cell r="X1959" t="str">
            <v/>
          </cell>
          <cell r="Y1959" t="str">
            <v/>
          </cell>
          <cell r="Z1959" t="str">
            <v/>
          </cell>
          <cell r="AA1959" t="str">
            <v/>
          </cell>
          <cell r="AB1959" t="str">
            <v>PA_5133514-CD.3048-4</v>
          </cell>
          <cell r="AC1959">
            <v>1</v>
          </cell>
          <cell r="AD1959" t="str">
            <v/>
          </cell>
          <cell r="AE1959">
            <v>0</v>
          </cell>
          <cell r="AF1959" t="str">
            <v/>
          </cell>
          <cell r="AG1959" t="str">
            <v>12637709</v>
          </cell>
          <cell r="AH1959">
            <v>44984.912685185183</v>
          </cell>
          <cell r="AI1959" t="str">
            <v>N38</v>
          </cell>
          <cell r="AJ1959" t="str">
            <v>F</v>
          </cell>
          <cell r="AK1959" t="str">
            <v/>
          </cell>
        </row>
        <row r="1960">
          <cell r="A1960" t="str">
            <v>12637713820541</v>
          </cell>
          <cell r="B1960" t="e">
            <v>#N/A</v>
          </cell>
          <cell r="C1960" t="e">
            <v>#N/A</v>
          </cell>
          <cell r="D1960" t="str">
            <v>EK65</v>
          </cell>
          <cell r="E1960" t="str">
            <v>712450</v>
          </cell>
          <cell r="F1960" t="str">
            <v>E</v>
          </cell>
          <cell r="G1960" t="str">
            <v>12637713</v>
          </cell>
          <cell r="H1960" t="str">
            <v>Halter B-Saeule links vollst.</v>
          </cell>
          <cell r="I1960">
            <v>88</v>
          </cell>
          <cell r="J1960" t="str">
            <v>Stk</v>
          </cell>
          <cell r="K1960">
            <v>45180</v>
          </cell>
          <cell r="L1960" t="str">
            <v>820541</v>
          </cell>
          <cell r="M1960" t="str">
            <v/>
          </cell>
          <cell r="N1960" t="str">
            <v/>
          </cell>
          <cell r="O1960" t="str">
            <v/>
          </cell>
          <cell r="P1960" t="str">
            <v/>
          </cell>
          <cell r="Q1960" t="str">
            <v/>
          </cell>
          <cell r="R1960" t="str">
            <v/>
          </cell>
          <cell r="S1960" t="str">
            <v/>
          </cell>
          <cell r="T1960" t="str">
            <v/>
          </cell>
          <cell r="U1960" t="str">
            <v/>
          </cell>
          <cell r="V1960" t="str">
            <v>N38</v>
          </cell>
          <cell r="W1960" t="str">
            <v/>
          </cell>
          <cell r="X1960" t="str">
            <v/>
          </cell>
          <cell r="Y1960" t="str">
            <v/>
          </cell>
          <cell r="Z1960" t="str">
            <v/>
          </cell>
          <cell r="AA1960" t="str">
            <v/>
          </cell>
          <cell r="AB1960" t="str">
            <v>PA_5133504-CD.3048-4</v>
          </cell>
          <cell r="AC1960">
            <v>1</v>
          </cell>
          <cell r="AD1960" t="str">
            <v/>
          </cell>
          <cell r="AE1960">
            <v>0</v>
          </cell>
          <cell r="AF1960" t="str">
            <v/>
          </cell>
          <cell r="AG1960" t="str">
            <v>12637713</v>
          </cell>
          <cell r="AH1960">
            <v>44984.91269675926</v>
          </cell>
          <cell r="AI1960" t="str">
            <v>N38</v>
          </cell>
          <cell r="AJ1960" t="str">
            <v>F</v>
          </cell>
          <cell r="AK1960" t="str">
            <v/>
          </cell>
        </row>
        <row r="1961">
          <cell r="A1961" t="str">
            <v>12637844820541</v>
          </cell>
          <cell r="B1961" t="e">
            <v>#N/A</v>
          </cell>
          <cell r="C1961" t="e">
            <v>#N/A</v>
          </cell>
          <cell r="D1961" t="str">
            <v>EK65</v>
          </cell>
          <cell r="E1961" t="str">
            <v>712451</v>
          </cell>
          <cell r="F1961" t="str">
            <v>E</v>
          </cell>
          <cell r="G1961" t="str">
            <v>12637844</v>
          </cell>
          <cell r="H1961" t="str">
            <v>Halter B-Saeule rechts vollst.</v>
          </cell>
          <cell r="I1961">
            <v>88</v>
          </cell>
          <cell r="J1961" t="str">
            <v>Stk</v>
          </cell>
          <cell r="K1961">
            <v>45180</v>
          </cell>
          <cell r="L1961" t="str">
            <v>820541</v>
          </cell>
          <cell r="M1961" t="str">
            <v/>
          </cell>
          <cell r="N1961" t="str">
            <v/>
          </cell>
          <cell r="O1961" t="str">
            <v/>
          </cell>
          <cell r="P1961" t="str">
            <v/>
          </cell>
          <cell r="Q1961" t="str">
            <v/>
          </cell>
          <cell r="R1961" t="str">
            <v/>
          </cell>
          <cell r="S1961" t="str">
            <v/>
          </cell>
          <cell r="T1961" t="str">
            <v/>
          </cell>
          <cell r="U1961" t="str">
            <v/>
          </cell>
          <cell r="V1961" t="str">
            <v>N38</v>
          </cell>
          <cell r="W1961" t="str">
            <v/>
          </cell>
          <cell r="X1961" t="str">
            <v/>
          </cell>
          <cell r="Y1961" t="str">
            <v/>
          </cell>
          <cell r="Z1961" t="str">
            <v/>
          </cell>
          <cell r="AA1961" t="str">
            <v/>
          </cell>
          <cell r="AB1961" t="str">
            <v>PA_5133647-CD.3048-4</v>
          </cell>
          <cell r="AC1961">
            <v>1</v>
          </cell>
          <cell r="AD1961" t="str">
            <v/>
          </cell>
          <cell r="AE1961">
            <v>0</v>
          </cell>
          <cell r="AF1961" t="str">
            <v/>
          </cell>
          <cell r="AG1961" t="str">
            <v>12637844</v>
          </cell>
          <cell r="AH1961">
            <v>44984.912719907406</v>
          </cell>
          <cell r="AI1961" t="str">
            <v>N38</v>
          </cell>
          <cell r="AJ1961" t="str">
            <v>F</v>
          </cell>
          <cell r="AK1961" t="str">
            <v/>
          </cell>
        </row>
        <row r="1962">
          <cell r="A1962" t="str">
            <v>12637847820541</v>
          </cell>
          <cell r="B1962" t="e">
            <v>#N/A</v>
          </cell>
          <cell r="C1962" t="e">
            <v>#N/A</v>
          </cell>
          <cell r="D1962" t="str">
            <v>EK65</v>
          </cell>
          <cell r="E1962" t="str">
            <v>712452</v>
          </cell>
          <cell r="F1962" t="str">
            <v>E</v>
          </cell>
          <cell r="G1962" t="str">
            <v>12637847</v>
          </cell>
          <cell r="H1962" t="str">
            <v>Halter B-Saeule links vollst.</v>
          </cell>
          <cell r="I1962">
            <v>88</v>
          </cell>
          <cell r="J1962" t="str">
            <v>Stk</v>
          </cell>
          <cell r="K1962">
            <v>45180</v>
          </cell>
          <cell r="L1962" t="str">
            <v>820541</v>
          </cell>
          <cell r="M1962" t="str">
            <v/>
          </cell>
          <cell r="N1962" t="str">
            <v/>
          </cell>
          <cell r="O1962" t="str">
            <v/>
          </cell>
          <cell r="P1962" t="str">
            <v/>
          </cell>
          <cell r="Q1962" t="str">
            <v/>
          </cell>
          <cell r="R1962" t="str">
            <v/>
          </cell>
          <cell r="S1962" t="str">
            <v/>
          </cell>
          <cell r="T1962" t="str">
            <v/>
          </cell>
          <cell r="U1962" t="str">
            <v/>
          </cell>
          <cell r="V1962" t="str">
            <v>N38</v>
          </cell>
          <cell r="W1962" t="str">
            <v/>
          </cell>
          <cell r="X1962" t="str">
            <v/>
          </cell>
          <cell r="Y1962" t="str">
            <v/>
          </cell>
          <cell r="Z1962" t="str">
            <v/>
          </cell>
          <cell r="AA1962" t="str">
            <v/>
          </cell>
          <cell r="AB1962" t="str">
            <v>PA_5133652-CD.3048-4</v>
          </cell>
          <cell r="AC1962">
            <v>1</v>
          </cell>
          <cell r="AD1962" t="str">
            <v/>
          </cell>
          <cell r="AE1962">
            <v>0</v>
          </cell>
          <cell r="AF1962" t="str">
            <v/>
          </cell>
          <cell r="AG1962" t="str">
            <v>12637847</v>
          </cell>
          <cell r="AH1962">
            <v>44984.912731481483</v>
          </cell>
          <cell r="AI1962" t="str">
            <v>N38</v>
          </cell>
          <cell r="AJ1962" t="str">
            <v>F</v>
          </cell>
          <cell r="AK1962" t="str">
            <v/>
          </cell>
        </row>
        <row r="1963">
          <cell r="A1963" t="str">
            <v>12637984820541</v>
          </cell>
          <cell r="B1963" t="e">
            <v>#N/A</v>
          </cell>
          <cell r="C1963" t="e">
            <v>#N/A</v>
          </cell>
          <cell r="D1963" t="str">
            <v>EK65</v>
          </cell>
          <cell r="E1963" t="str">
            <v>712454</v>
          </cell>
          <cell r="F1963" t="str">
            <v>E</v>
          </cell>
          <cell r="G1963" t="str">
            <v>12637984</v>
          </cell>
          <cell r="H1963" t="str">
            <v>Halter Verkleidung</v>
          </cell>
          <cell r="I1963">
            <v>352</v>
          </cell>
          <cell r="J1963" t="str">
            <v>Stk</v>
          </cell>
          <cell r="K1963">
            <v>45180</v>
          </cell>
          <cell r="L1963" t="str">
            <v>820541</v>
          </cell>
          <cell r="M1963" t="str">
            <v/>
          </cell>
          <cell r="N1963" t="str">
            <v/>
          </cell>
          <cell r="O1963" t="str">
            <v/>
          </cell>
          <cell r="P1963" t="str">
            <v/>
          </cell>
          <cell r="Q1963" t="str">
            <v/>
          </cell>
          <cell r="R1963" t="str">
            <v/>
          </cell>
          <cell r="S1963" t="str">
            <v/>
          </cell>
          <cell r="T1963" t="str">
            <v/>
          </cell>
          <cell r="U1963" t="str">
            <v/>
          </cell>
          <cell r="V1963" t="str">
            <v>N52</v>
          </cell>
          <cell r="W1963" t="str">
            <v/>
          </cell>
          <cell r="X1963" t="str">
            <v/>
          </cell>
          <cell r="Y1963" t="str">
            <v/>
          </cell>
          <cell r="Z1963" t="str">
            <v/>
          </cell>
          <cell r="AA1963" t="str">
            <v/>
          </cell>
          <cell r="AB1963" t="str">
            <v>PA_5134900-CD.3048-4</v>
          </cell>
          <cell r="AC1963">
            <v>1</v>
          </cell>
          <cell r="AD1963" t="str">
            <v/>
          </cell>
          <cell r="AE1963">
            <v>0</v>
          </cell>
          <cell r="AF1963" t="str">
            <v/>
          </cell>
          <cell r="AG1963" t="str">
            <v>12637984</v>
          </cell>
          <cell r="AH1963">
            <v>44984.912789351853</v>
          </cell>
          <cell r="AI1963" t="str">
            <v>N52</v>
          </cell>
          <cell r="AJ1963" t="str">
            <v>F</v>
          </cell>
          <cell r="AK1963" t="str">
            <v/>
          </cell>
        </row>
        <row r="1964">
          <cell r="A1964" t="str">
            <v>12637991820541</v>
          </cell>
          <cell r="B1964" t="e">
            <v>#N/A</v>
          </cell>
          <cell r="C1964" t="e">
            <v>#N/A</v>
          </cell>
          <cell r="D1964" t="str">
            <v>EK65</v>
          </cell>
          <cell r="E1964" t="str">
            <v>712455</v>
          </cell>
          <cell r="F1964" t="str">
            <v>E</v>
          </cell>
          <cell r="G1964" t="str">
            <v>12637991</v>
          </cell>
          <cell r="H1964" t="str">
            <v>Halter Seitenwandverkleidung</v>
          </cell>
          <cell r="I1964">
            <v>80</v>
          </cell>
          <cell r="J1964" t="str">
            <v>Stk</v>
          </cell>
          <cell r="K1964">
            <v>45166</v>
          </cell>
          <cell r="L1964" t="str">
            <v>820541</v>
          </cell>
          <cell r="M1964" t="str">
            <v/>
          </cell>
          <cell r="N1964" t="str">
            <v/>
          </cell>
          <cell r="O1964" t="str">
            <v/>
          </cell>
          <cell r="P1964" t="str">
            <v/>
          </cell>
          <cell r="Q1964" t="str">
            <v/>
          </cell>
          <cell r="R1964" t="str">
            <v/>
          </cell>
          <cell r="S1964" t="str">
            <v/>
          </cell>
          <cell r="T1964" t="str">
            <v/>
          </cell>
          <cell r="U1964" t="str">
            <v/>
          </cell>
          <cell r="V1964" t="str">
            <v>N52</v>
          </cell>
          <cell r="W1964" t="str">
            <v/>
          </cell>
          <cell r="X1964" t="str">
            <v/>
          </cell>
          <cell r="Y1964" t="str">
            <v/>
          </cell>
          <cell r="Z1964" t="str">
            <v/>
          </cell>
          <cell r="AA1964" t="str">
            <v/>
          </cell>
          <cell r="AB1964" t="str">
            <v>PA_5134903-CD.3048-3</v>
          </cell>
          <cell r="AC1964">
            <v>1</v>
          </cell>
          <cell r="AD1964" t="str">
            <v/>
          </cell>
          <cell r="AE1964">
            <v>0</v>
          </cell>
          <cell r="AF1964" t="str">
            <v/>
          </cell>
          <cell r="AG1964" t="str">
            <v>12637991</v>
          </cell>
          <cell r="AH1964">
            <v>44984.912800925929</v>
          </cell>
          <cell r="AI1964" t="str">
            <v>N52</v>
          </cell>
          <cell r="AJ1964" t="str">
            <v>F</v>
          </cell>
          <cell r="AK1964" t="str">
            <v/>
          </cell>
        </row>
        <row r="1965">
          <cell r="A1965" t="str">
            <v>12637997820541</v>
          </cell>
          <cell r="B1965" t="e">
            <v>#N/A</v>
          </cell>
          <cell r="C1965" t="e">
            <v>#N/A</v>
          </cell>
          <cell r="D1965" t="str">
            <v>EK65</v>
          </cell>
          <cell r="E1965" t="str">
            <v>712456</v>
          </cell>
          <cell r="F1965" t="str">
            <v>E</v>
          </cell>
          <cell r="G1965" t="str">
            <v>12637997</v>
          </cell>
          <cell r="H1965" t="str">
            <v>Halter Seitenwandverkleidung</v>
          </cell>
          <cell r="I1965">
            <v>40</v>
          </cell>
          <cell r="J1965" t="str">
            <v>Stk</v>
          </cell>
          <cell r="K1965">
            <v>45166</v>
          </cell>
          <cell r="L1965" t="str">
            <v>820541</v>
          </cell>
          <cell r="M1965" t="str">
            <v/>
          </cell>
          <cell r="N1965" t="str">
            <v/>
          </cell>
          <cell r="O1965" t="str">
            <v/>
          </cell>
          <cell r="P1965" t="str">
            <v/>
          </cell>
          <cell r="Q1965" t="str">
            <v/>
          </cell>
          <cell r="R1965" t="str">
            <v/>
          </cell>
          <cell r="S1965" t="str">
            <v/>
          </cell>
          <cell r="T1965" t="str">
            <v/>
          </cell>
          <cell r="U1965" t="str">
            <v/>
          </cell>
          <cell r="V1965" t="str">
            <v>N52</v>
          </cell>
          <cell r="W1965" t="str">
            <v/>
          </cell>
          <cell r="X1965" t="str">
            <v/>
          </cell>
          <cell r="Y1965" t="str">
            <v/>
          </cell>
          <cell r="Z1965" t="str">
            <v/>
          </cell>
          <cell r="AA1965" t="str">
            <v/>
          </cell>
          <cell r="AB1965" t="str">
            <v>PA_5134916-CD.3048-3</v>
          </cell>
          <cell r="AC1965">
            <v>1</v>
          </cell>
          <cell r="AD1965" t="str">
            <v/>
          </cell>
          <cell r="AE1965">
            <v>0</v>
          </cell>
          <cell r="AF1965" t="str">
            <v/>
          </cell>
          <cell r="AG1965" t="str">
            <v>12637997</v>
          </cell>
          <cell r="AH1965">
            <v>44984.912824074076</v>
          </cell>
          <cell r="AI1965" t="str">
            <v>N52</v>
          </cell>
          <cell r="AJ1965" t="str">
            <v>F</v>
          </cell>
          <cell r="AK1965" t="str">
            <v/>
          </cell>
        </row>
        <row r="1966">
          <cell r="A1966" t="str">
            <v>12638039820541</v>
          </cell>
          <cell r="B1966" t="e">
            <v>#N/A</v>
          </cell>
          <cell r="C1966" t="e">
            <v>#N/A</v>
          </cell>
          <cell r="D1966" t="str">
            <v>EK65</v>
          </cell>
          <cell r="E1966" t="str">
            <v>712457</v>
          </cell>
          <cell r="F1966" t="str">
            <v>E</v>
          </cell>
          <cell r="G1966" t="str">
            <v>12638039</v>
          </cell>
          <cell r="H1966" t="str">
            <v>Halter Seitenwandverkleidung</v>
          </cell>
          <cell r="I1966">
            <v>40</v>
          </cell>
          <cell r="J1966" t="str">
            <v>Stk</v>
          </cell>
          <cell r="K1966">
            <v>45166</v>
          </cell>
          <cell r="L1966" t="str">
            <v>820541</v>
          </cell>
          <cell r="M1966" t="str">
            <v/>
          </cell>
          <cell r="N1966" t="str">
            <v/>
          </cell>
          <cell r="O1966" t="str">
            <v/>
          </cell>
          <cell r="P1966" t="str">
            <v/>
          </cell>
          <cell r="Q1966" t="str">
            <v/>
          </cell>
          <cell r="R1966" t="str">
            <v/>
          </cell>
          <cell r="S1966" t="str">
            <v/>
          </cell>
          <cell r="T1966" t="str">
            <v/>
          </cell>
          <cell r="U1966" t="str">
            <v/>
          </cell>
          <cell r="V1966" t="str">
            <v>N52</v>
          </cell>
          <cell r="W1966" t="str">
            <v/>
          </cell>
          <cell r="X1966" t="str">
            <v/>
          </cell>
          <cell r="Y1966" t="str">
            <v/>
          </cell>
          <cell r="Z1966" t="str">
            <v/>
          </cell>
          <cell r="AA1966" t="str">
            <v/>
          </cell>
          <cell r="AB1966" t="str">
            <v>PA_5135047-CD.3048-3</v>
          </cell>
          <cell r="AC1966">
            <v>1</v>
          </cell>
          <cell r="AD1966" t="str">
            <v/>
          </cell>
          <cell r="AE1966">
            <v>0</v>
          </cell>
          <cell r="AF1966" t="str">
            <v/>
          </cell>
          <cell r="AG1966" t="str">
            <v>12638039</v>
          </cell>
          <cell r="AH1966">
            <v>44984.912835648145</v>
          </cell>
          <cell r="AI1966" t="str">
            <v>N52</v>
          </cell>
          <cell r="AJ1966" t="str">
            <v>F</v>
          </cell>
          <cell r="AK1966" t="str">
            <v/>
          </cell>
        </row>
        <row r="1967">
          <cell r="A1967" t="str">
            <v>12638166820541</v>
          </cell>
          <cell r="B1967" t="e">
            <v>#N/A</v>
          </cell>
          <cell r="C1967" t="e">
            <v>#N/A</v>
          </cell>
          <cell r="D1967" t="str">
            <v>EK65</v>
          </cell>
          <cell r="E1967" t="str">
            <v>712460</v>
          </cell>
          <cell r="F1967" t="str">
            <v>E</v>
          </cell>
          <cell r="G1967" t="str">
            <v>12638166</v>
          </cell>
          <cell r="H1967" t="str">
            <v>Beilage 1mm</v>
          </cell>
          <cell r="I1967">
            <v>352</v>
          </cell>
          <cell r="J1967" t="str">
            <v>Stk</v>
          </cell>
          <cell r="K1967">
            <v>45180</v>
          </cell>
          <cell r="L1967" t="str">
            <v>820541</v>
          </cell>
          <cell r="M1967" t="str">
            <v/>
          </cell>
          <cell r="N1967" t="str">
            <v/>
          </cell>
          <cell r="O1967" t="str">
            <v/>
          </cell>
          <cell r="P1967" t="str">
            <v/>
          </cell>
          <cell r="Q1967" t="str">
            <v/>
          </cell>
          <cell r="R1967" t="str">
            <v/>
          </cell>
          <cell r="S1967" t="str">
            <v/>
          </cell>
          <cell r="T1967" t="str">
            <v/>
          </cell>
          <cell r="U1967" t="str">
            <v/>
          </cell>
          <cell r="V1967" t="str">
            <v>N52</v>
          </cell>
          <cell r="W1967" t="str">
            <v/>
          </cell>
          <cell r="X1967" t="str">
            <v/>
          </cell>
          <cell r="Y1967" t="str">
            <v/>
          </cell>
          <cell r="Z1967" t="str">
            <v/>
          </cell>
          <cell r="AA1967" t="str">
            <v/>
          </cell>
          <cell r="AB1967" t="str">
            <v>PA_5135402-CD.3048-4</v>
          </cell>
          <cell r="AC1967">
            <v>1</v>
          </cell>
          <cell r="AD1967" t="str">
            <v/>
          </cell>
          <cell r="AE1967">
            <v>0</v>
          </cell>
          <cell r="AF1967" t="str">
            <v/>
          </cell>
          <cell r="AG1967" t="str">
            <v>12638166</v>
          </cell>
          <cell r="AH1967">
            <v>44984.912939814814</v>
          </cell>
          <cell r="AI1967" t="str">
            <v>N52</v>
          </cell>
          <cell r="AJ1967" t="str">
            <v>F</v>
          </cell>
          <cell r="AK1967" t="str">
            <v/>
          </cell>
        </row>
        <row r="1968">
          <cell r="A1968" t="str">
            <v>12638170820541</v>
          </cell>
          <cell r="B1968" t="e">
            <v>#N/A</v>
          </cell>
          <cell r="C1968" t="e">
            <v>#N/A</v>
          </cell>
          <cell r="D1968" t="str">
            <v>EK65</v>
          </cell>
          <cell r="E1968" t="str">
            <v>712461</v>
          </cell>
          <cell r="F1968" t="str">
            <v>E</v>
          </cell>
          <cell r="G1968" t="str">
            <v>12638170</v>
          </cell>
          <cell r="H1968" t="str">
            <v>Beilage 2mm</v>
          </cell>
          <cell r="I1968">
            <v>352</v>
          </cell>
          <cell r="J1968" t="str">
            <v>Stk</v>
          </cell>
          <cell r="K1968">
            <v>45180</v>
          </cell>
          <cell r="L1968" t="str">
            <v>820541</v>
          </cell>
          <cell r="M1968" t="str">
            <v/>
          </cell>
          <cell r="N1968" t="str">
            <v/>
          </cell>
          <cell r="O1968" t="str">
            <v/>
          </cell>
          <cell r="P1968" t="str">
            <v/>
          </cell>
          <cell r="Q1968" t="str">
            <v/>
          </cell>
          <cell r="R1968" t="str">
            <v/>
          </cell>
          <cell r="S1968" t="str">
            <v/>
          </cell>
          <cell r="T1968" t="str">
            <v/>
          </cell>
          <cell r="U1968" t="str">
            <v/>
          </cell>
          <cell r="V1968" t="str">
            <v>N52</v>
          </cell>
          <cell r="W1968" t="str">
            <v/>
          </cell>
          <cell r="X1968" t="str">
            <v/>
          </cell>
          <cell r="Y1968" t="str">
            <v/>
          </cell>
          <cell r="Z1968" t="str">
            <v/>
          </cell>
          <cell r="AA1968" t="str">
            <v/>
          </cell>
          <cell r="AB1968" t="str">
            <v>PA_5135425-CD.3048-4</v>
          </cell>
          <cell r="AC1968">
            <v>1</v>
          </cell>
          <cell r="AD1968" t="str">
            <v/>
          </cell>
          <cell r="AE1968">
            <v>0</v>
          </cell>
          <cell r="AF1968" t="str">
            <v/>
          </cell>
          <cell r="AG1968" t="str">
            <v>12638170</v>
          </cell>
          <cell r="AH1968">
            <v>44984.912962962961</v>
          </cell>
          <cell r="AI1968" t="str">
            <v>N52</v>
          </cell>
          <cell r="AJ1968" t="str">
            <v>F</v>
          </cell>
          <cell r="AK1968" t="str">
            <v/>
          </cell>
        </row>
        <row r="1969">
          <cell r="A1969" t="str">
            <v>12638176820541</v>
          </cell>
          <cell r="B1969" t="e">
            <v>#N/A</v>
          </cell>
          <cell r="C1969" t="e">
            <v>#N/A</v>
          </cell>
          <cell r="D1969" t="str">
            <v>EK65</v>
          </cell>
          <cell r="E1969" t="str">
            <v>712462</v>
          </cell>
          <cell r="F1969" t="str">
            <v>E</v>
          </cell>
          <cell r="G1969" t="str">
            <v>12638176</v>
          </cell>
          <cell r="H1969" t="str">
            <v>Beilage 4mm</v>
          </cell>
          <cell r="I1969">
            <v>352</v>
          </cell>
          <cell r="J1969" t="str">
            <v>Stk</v>
          </cell>
          <cell r="K1969">
            <v>45180</v>
          </cell>
          <cell r="L1969" t="str">
            <v>820541</v>
          </cell>
          <cell r="M1969" t="str">
            <v/>
          </cell>
          <cell r="N1969" t="str">
            <v/>
          </cell>
          <cell r="O1969" t="str">
            <v/>
          </cell>
          <cell r="P1969" t="str">
            <v/>
          </cell>
          <cell r="Q1969" t="str">
            <v/>
          </cell>
          <cell r="R1969" t="str">
            <v/>
          </cell>
          <cell r="S1969" t="str">
            <v/>
          </cell>
          <cell r="T1969" t="str">
            <v/>
          </cell>
          <cell r="U1969" t="str">
            <v/>
          </cell>
          <cell r="V1969" t="str">
            <v>N52</v>
          </cell>
          <cell r="W1969" t="str">
            <v/>
          </cell>
          <cell r="X1969" t="str">
            <v/>
          </cell>
          <cell r="Y1969" t="str">
            <v/>
          </cell>
          <cell r="Z1969" t="str">
            <v/>
          </cell>
          <cell r="AA1969" t="str">
            <v/>
          </cell>
          <cell r="AB1969" t="str">
            <v>PA_5135439-CD.3048-4</v>
          </cell>
          <cell r="AC1969">
            <v>1</v>
          </cell>
          <cell r="AD1969" t="str">
            <v/>
          </cell>
          <cell r="AE1969">
            <v>0</v>
          </cell>
          <cell r="AF1969" t="str">
            <v/>
          </cell>
          <cell r="AG1969" t="str">
            <v>12638176</v>
          </cell>
          <cell r="AH1969">
            <v>44984.912974537037</v>
          </cell>
          <cell r="AI1969" t="str">
            <v>N52</v>
          </cell>
          <cell r="AJ1969" t="str">
            <v>F</v>
          </cell>
          <cell r="AK1969" t="str">
            <v/>
          </cell>
        </row>
        <row r="1970">
          <cell r="A1970" t="str">
            <v>12639278820541</v>
          </cell>
          <cell r="B1970" t="e">
            <v>#N/A</v>
          </cell>
          <cell r="C1970" t="e">
            <v>#N/A</v>
          </cell>
          <cell r="D1970" t="str">
            <v>EK65</v>
          </cell>
          <cell r="E1970" t="str">
            <v>712472</v>
          </cell>
          <cell r="F1970" t="str">
            <v>E</v>
          </cell>
          <cell r="G1970" t="str">
            <v>12639278</v>
          </cell>
          <cell r="H1970" t="str">
            <v>Beilage</v>
          </cell>
          <cell r="I1970">
            <v>880</v>
          </cell>
          <cell r="J1970" t="str">
            <v>Stk</v>
          </cell>
          <cell r="K1970">
            <v>45180</v>
          </cell>
          <cell r="L1970" t="str">
            <v>820541</v>
          </cell>
          <cell r="M1970" t="str">
            <v/>
          </cell>
          <cell r="N1970" t="str">
            <v/>
          </cell>
          <cell r="O1970" t="str">
            <v/>
          </cell>
          <cell r="P1970" t="str">
            <v/>
          </cell>
          <cell r="Q1970" t="str">
            <v/>
          </cell>
          <cell r="R1970" t="str">
            <v/>
          </cell>
          <cell r="S1970" t="str">
            <v/>
          </cell>
          <cell r="T1970" t="str">
            <v/>
          </cell>
          <cell r="U1970" t="str">
            <v/>
          </cell>
          <cell r="V1970" t="str">
            <v>N52</v>
          </cell>
          <cell r="W1970" t="str">
            <v/>
          </cell>
          <cell r="X1970" t="str">
            <v/>
          </cell>
          <cell r="Y1970" t="str">
            <v/>
          </cell>
          <cell r="Z1970" t="str">
            <v/>
          </cell>
          <cell r="AA1970" t="str">
            <v/>
          </cell>
          <cell r="AB1970" t="str">
            <v>PA_5138987-CD.3048-4</v>
          </cell>
          <cell r="AC1970">
            <v>1</v>
          </cell>
          <cell r="AD1970" t="str">
            <v/>
          </cell>
          <cell r="AE1970">
            <v>0</v>
          </cell>
          <cell r="AF1970" t="str">
            <v/>
          </cell>
          <cell r="AG1970" t="str">
            <v>12639278</v>
          </cell>
          <cell r="AH1970">
            <v>44984.913124999999</v>
          </cell>
          <cell r="AI1970" t="str">
            <v>N52</v>
          </cell>
          <cell r="AJ1970" t="str">
            <v>F</v>
          </cell>
          <cell r="AK1970" t="str">
            <v/>
          </cell>
        </row>
        <row r="1971">
          <cell r="A1971" t="str">
            <v>12645806820541</v>
          </cell>
          <cell r="B1971" t="e">
            <v>#N/A</v>
          </cell>
          <cell r="C1971" t="e">
            <v>#N/A</v>
          </cell>
          <cell r="D1971" t="str">
            <v>EK65</v>
          </cell>
          <cell r="E1971" t="str">
            <v>712474</v>
          </cell>
          <cell r="F1971" t="str">
            <v>E</v>
          </cell>
          <cell r="G1971" t="str">
            <v>12645806</v>
          </cell>
          <cell r="H1971" t="str">
            <v>Distanzplatte</v>
          </cell>
          <cell r="I1971">
            <v>528</v>
          </cell>
          <cell r="J1971" t="str">
            <v>Stk</v>
          </cell>
          <cell r="K1971">
            <v>45191</v>
          </cell>
          <cell r="L1971" t="str">
            <v>820541</v>
          </cell>
          <cell r="M1971" t="str">
            <v/>
          </cell>
          <cell r="N1971" t="str">
            <v/>
          </cell>
          <cell r="O1971" t="str">
            <v/>
          </cell>
          <cell r="P1971" t="str">
            <v/>
          </cell>
          <cell r="Q1971" t="str">
            <v/>
          </cell>
          <cell r="R1971" t="str">
            <v/>
          </cell>
          <cell r="S1971" t="str">
            <v/>
          </cell>
          <cell r="T1971" t="str">
            <v/>
          </cell>
          <cell r="U1971" t="str">
            <v/>
          </cell>
          <cell r="V1971" t="str">
            <v>N52</v>
          </cell>
          <cell r="W1971" t="str">
            <v/>
          </cell>
          <cell r="X1971" t="str">
            <v/>
          </cell>
          <cell r="Y1971" t="str">
            <v/>
          </cell>
          <cell r="Z1971" t="str">
            <v/>
          </cell>
          <cell r="AA1971" t="str">
            <v/>
          </cell>
          <cell r="AB1971" t="str">
            <v>PA_5023259-PB.3048-4</v>
          </cell>
          <cell r="AC1971">
            <v>1</v>
          </cell>
          <cell r="AD1971" t="str">
            <v/>
          </cell>
          <cell r="AE1971">
            <v>0</v>
          </cell>
          <cell r="AF1971" t="str">
            <v/>
          </cell>
          <cell r="AG1971" t="str">
            <v>12645806</v>
          </cell>
          <cell r="AH1971">
            <v>44984.913206018522</v>
          </cell>
          <cell r="AI1971" t="str">
            <v>N52</v>
          </cell>
          <cell r="AJ1971" t="str">
            <v>F</v>
          </cell>
          <cell r="AK1971" t="str">
            <v/>
          </cell>
        </row>
        <row r="1972">
          <cell r="A1972" t="str">
            <v>1841904829052</v>
          </cell>
          <cell r="B1972" t="e">
            <v>#N/A</v>
          </cell>
          <cell r="C1972">
            <v>12</v>
          </cell>
          <cell r="D1972" t="str">
            <v>EK65</v>
          </cell>
          <cell r="E1972" t="str">
            <v>712480</v>
          </cell>
          <cell r="F1972" t="str">
            <v>E</v>
          </cell>
          <cell r="G1972" t="str">
            <v>1841904</v>
          </cell>
          <cell r="H1972" t="str">
            <v>Griffblech E10</v>
          </cell>
          <cell r="I1972">
            <v>61</v>
          </cell>
          <cell r="J1972" t="str">
            <v>Stk</v>
          </cell>
          <cell r="K1972">
            <v>45197</v>
          </cell>
          <cell r="L1972" t="str">
            <v>829052</v>
          </cell>
          <cell r="M1972" t="str">
            <v/>
          </cell>
          <cell r="N1972" t="str">
            <v/>
          </cell>
          <cell r="O1972" t="str">
            <v/>
          </cell>
          <cell r="P1972" t="str">
            <v/>
          </cell>
          <cell r="Q1972" t="str">
            <v/>
          </cell>
          <cell r="R1972" t="str">
            <v/>
          </cell>
          <cell r="S1972" t="str">
            <v/>
          </cell>
          <cell r="T1972" t="str">
            <v/>
          </cell>
          <cell r="U1972" t="str">
            <v/>
          </cell>
          <cell r="V1972" t="str">
            <v>N38</v>
          </cell>
          <cell r="W1972" t="str">
            <v/>
          </cell>
          <cell r="X1972" t="str">
            <v/>
          </cell>
          <cell r="Y1972" t="str">
            <v/>
          </cell>
          <cell r="Z1972" t="str">
            <v/>
          </cell>
          <cell r="AA1972" t="str">
            <v/>
          </cell>
          <cell r="AB1972" t="str">
            <v>PA_2308221-UA.3046-1</v>
          </cell>
          <cell r="AC1972">
            <v>1</v>
          </cell>
          <cell r="AD1972" t="str">
            <v/>
          </cell>
          <cell r="AE1972">
            <v>0</v>
          </cell>
          <cell r="AF1972" t="str">
            <v/>
          </cell>
          <cell r="AG1972" t="str">
            <v>1841904</v>
          </cell>
          <cell r="AH1972">
            <v>44984.914143518516</v>
          </cell>
          <cell r="AI1972" t="str">
            <v>N38</v>
          </cell>
          <cell r="AJ1972" t="str">
            <v>F</v>
          </cell>
          <cell r="AK1972" t="str">
            <v/>
          </cell>
        </row>
        <row r="1973">
          <cell r="A1973" t="str">
            <v>12629993820541</v>
          </cell>
          <cell r="B1973" t="e">
            <v>#N/A</v>
          </cell>
          <cell r="C1973" t="e">
            <v>#N/A</v>
          </cell>
          <cell r="D1973" t="str">
            <v>EK65</v>
          </cell>
          <cell r="E1973" t="str">
            <v>712579</v>
          </cell>
          <cell r="F1973" t="str">
            <v>E</v>
          </cell>
          <cell r="G1973" t="str">
            <v>12629993</v>
          </cell>
          <cell r="H1973" t="str">
            <v>Halter HL-Modul</v>
          </cell>
          <cell r="I1973">
            <v>88</v>
          </cell>
          <cell r="J1973" t="str">
            <v>Stk</v>
          </cell>
          <cell r="K1973">
            <v>45142</v>
          </cell>
          <cell r="L1973" t="str">
            <v>820541</v>
          </cell>
          <cell r="M1973" t="str">
            <v/>
          </cell>
          <cell r="N1973" t="str">
            <v/>
          </cell>
          <cell r="O1973" t="str">
            <v/>
          </cell>
          <cell r="P1973" t="str">
            <v/>
          </cell>
          <cell r="Q1973" t="str">
            <v/>
          </cell>
          <cell r="R1973" t="str">
            <v/>
          </cell>
          <cell r="S1973" t="str">
            <v/>
          </cell>
          <cell r="T1973" t="str">
            <v/>
          </cell>
          <cell r="U1973" t="str">
            <v/>
          </cell>
          <cell r="V1973" t="str">
            <v>N52</v>
          </cell>
          <cell r="W1973" t="str">
            <v/>
          </cell>
          <cell r="X1973" t="str">
            <v/>
          </cell>
          <cell r="Y1973" t="str">
            <v/>
          </cell>
          <cell r="Z1973" t="str">
            <v/>
          </cell>
          <cell r="AA1973" t="str">
            <v/>
          </cell>
          <cell r="AB1973" t="str">
            <v>PA_5086408-QE.3048-3</v>
          </cell>
          <cell r="AC1973">
            <v>1</v>
          </cell>
          <cell r="AD1973" t="str">
            <v/>
          </cell>
          <cell r="AE1973">
            <v>0</v>
          </cell>
          <cell r="AF1973" t="str">
            <v/>
          </cell>
          <cell r="AG1973" t="str">
            <v>12629993</v>
          </cell>
          <cell r="AH1973">
            <v>44984.924363425926</v>
          </cell>
          <cell r="AI1973" t="str">
            <v>N52</v>
          </cell>
          <cell r="AJ1973" t="str">
            <v>F</v>
          </cell>
          <cell r="AK1973" t="str">
            <v/>
          </cell>
        </row>
        <row r="1974">
          <cell r="A1974" t="str">
            <v>12642073820541</v>
          </cell>
          <cell r="B1974" t="e">
            <v>#N/A</v>
          </cell>
          <cell r="C1974" t="e">
            <v>#N/A</v>
          </cell>
          <cell r="D1974" t="str">
            <v>EK65</v>
          </cell>
          <cell r="E1974" t="str">
            <v>712581</v>
          </cell>
          <cell r="F1974" t="str">
            <v>E</v>
          </cell>
          <cell r="G1974" t="str">
            <v>12642073</v>
          </cell>
          <cell r="H1974" t="str">
            <v>Befestigungswinkel</v>
          </cell>
          <cell r="I1974">
            <v>88</v>
          </cell>
          <cell r="J1974" t="str">
            <v>Stk</v>
          </cell>
          <cell r="K1974">
            <v>45142</v>
          </cell>
          <cell r="L1974" t="str">
            <v>820541</v>
          </cell>
          <cell r="M1974" t="str">
            <v/>
          </cell>
          <cell r="N1974" t="str">
            <v/>
          </cell>
          <cell r="O1974" t="str">
            <v/>
          </cell>
          <cell r="P1974" t="str">
            <v/>
          </cell>
          <cell r="Q1974" t="str">
            <v/>
          </cell>
          <cell r="R1974" t="str">
            <v/>
          </cell>
          <cell r="S1974" t="str">
            <v/>
          </cell>
          <cell r="T1974" t="str">
            <v/>
          </cell>
          <cell r="U1974" t="str">
            <v/>
          </cell>
          <cell r="V1974" t="str">
            <v>N52</v>
          </cell>
          <cell r="W1974" t="str">
            <v/>
          </cell>
          <cell r="X1974" t="str">
            <v/>
          </cell>
          <cell r="Y1974" t="str">
            <v/>
          </cell>
          <cell r="Z1974" t="str">
            <v/>
          </cell>
          <cell r="AA1974" t="str">
            <v/>
          </cell>
          <cell r="AB1974" t="str">
            <v>PA_5151661-QE.3048-3</v>
          </cell>
          <cell r="AC1974">
            <v>1</v>
          </cell>
          <cell r="AD1974" t="str">
            <v/>
          </cell>
          <cell r="AE1974">
            <v>0</v>
          </cell>
          <cell r="AF1974" t="str">
            <v/>
          </cell>
          <cell r="AG1974" t="str">
            <v>12642073</v>
          </cell>
          <cell r="AH1974">
            <v>44984.924664351849</v>
          </cell>
          <cell r="AI1974" t="str">
            <v>N52</v>
          </cell>
          <cell r="AJ1974" t="str">
            <v>F</v>
          </cell>
          <cell r="AK1974" t="str">
            <v/>
          </cell>
        </row>
        <row r="1975">
          <cell r="A1975" t="str">
            <v>12642075820541</v>
          </cell>
          <cell r="B1975" t="e">
            <v>#N/A</v>
          </cell>
          <cell r="C1975" t="e">
            <v>#N/A</v>
          </cell>
          <cell r="D1975" t="str">
            <v>EK65</v>
          </cell>
          <cell r="E1975" t="str">
            <v>712582</v>
          </cell>
          <cell r="F1975" t="str">
            <v>E</v>
          </cell>
          <cell r="G1975" t="str">
            <v>12642075</v>
          </cell>
          <cell r="H1975" t="str">
            <v>Schottblech</v>
          </cell>
          <cell r="I1975">
            <v>88</v>
          </cell>
          <cell r="J1975" t="str">
            <v>Stk</v>
          </cell>
          <cell r="K1975">
            <v>45142</v>
          </cell>
          <cell r="L1975" t="str">
            <v>820541</v>
          </cell>
          <cell r="M1975" t="str">
            <v/>
          </cell>
          <cell r="N1975" t="str">
            <v/>
          </cell>
          <cell r="O1975" t="str">
            <v/>
          </cell>
          <cell r="P1975" t="str">
            <v/>
          </cell>
          <cell r="Q1975" t="str">
            <v/>
          </cell>
          <cell r="R1975" t="str">
            <v/>
          </cell>
          <cell r="S1975" t="str">
            <v/>
          </cell>
          <cell r="T1975" t="str">
            <v/>
          </cell>
          <cell r="U1975" t="str">
            <v/>
          </cell>
          <cell r="V1975" t="str">
            <v>N52</v>
          </cell>
          <cell r="W1975" t="str">
            <v/>
          </cell>
          <cell r="X1975" t="str">
            <v/>
          </cell>
          <cell r="Y1975" t="str">
            <v/>
          </cell>
          <cell r="Z1975" t="str">
            <v/>
          </cell>
          <cell r="AA1975" t="str">
            <v/>
          </cell>
          <cell r="AB1975" t="str">
            <v>PA_5151545-QE.3048-3</v>
          </cell>
          <cell r="AC1975">
            <v>1</v>
          </cell>
          <cell r="AD1975" t="str">
            <v/>
          </cell>
          <cell r="AE1975">
            <v>0</v>
          </cell>
          <cell r="AF1975" t="str">
            <v/>
          </cell>
          <cell r="AG1975" t="str">
            <v>12642075</v>
          </cell>
          <cell r="AH1975">
            <v>44984.924675925926</v>
          </cell>
          <cell r="AI1975" t="str">
            <v>N52</v>
          </cell>
          <cell r="AJ1975" t="str">
            <v>F</v>
          </cell>
          <cell r="AK1975" t="str">
            <v/>
          </cell>
        </row>
        <row r="1976">
          <cell r="A1976" t="str">
            <v>12503069829051</v>
          </cell>
          <cell r="B1976" t="e">
            <v>#N/A</v>
          </cell>
          <cell r="C1976">
            <v>10</v>
          </cell>
          <cell r="D1976" t="str">
            <v>EK65</v>
          </cell>
          <cell r="E1976" t="str">
            <v>712690</v>
          </cell>
          <cell r="F1976" t="str">
            <v>E</v>
          </cell>
          <cell r="G1976" t="str">
            <v>12503069</v>
          </cell>
          <cell r="H1976" t="str">
            <v>Distanzrohr 10x1,5x36</v>
          </cell>
          <cell r="I1976">
            <v>517</v>
          </cell>
          <cell r="J1976" t="str">
            <v>Stk</v>
          </cell>
          <cell r="K1976">
            <v>45168</v>
          </cell>
          <cell r="L1976" t="str">
            <v>829051</v>
          </cell>
          <cell r="M1976" t="str">
            <v/>
          </cell>
          <cell r="N1976" t="str">
            <v/>
          </cell>
          <cell r="O1976" t="str">
            <v/>
          </cell>
          <cell r="P1976" t="str">
            <v/>
          </cell>
          <cell r="Q1976" t="str">
            <v/>
          </cell>
          <cell r="R1976" t="str">
            <v/>
          </cell>
          <cell r="S1976" t="str">
            <v/>
          </cell>
          <cell r="T1976" t="str">
            <v/>
          </cell>
          <cell r="U1976" t="str">
            <v/>
          </cell>
          <cell r="V1976" t="str">
            <v>N52</v>
          </cell>
          <cell r="W1976" t="str">
            <v/>
          </cell>
          <cell r="X1976" t="str">
            <v/>
          </cell>
          <cell r="Y1976" t="str">
            <v/>
          </cell>
          <cell r="Z1976" t="str">
            <v/>
          </cell>
          <cell r="AA1976" t="str">
            <v/>
          </cell>
          <cell r="AB1976" t="str">
            <v>PA_4310657-TB.7005-4</v>
          </cell>
          <cell r="AC1976">
            <v>1</v>
          </cell>
          <cell r="AD1976" t="str">
            <v/>
          </cell>
          <cell r="AE1976">
            <v>0</v>
          </cell>
          <cell r="AF1976" t="str">
            <v/>
          </cell>
          <cell r="AG1976" t="str">
            <v>12503069</v>
          </cell>
          <cell r="AH1976">
            <v>44985.525185185186</v>
          </cell>
          <cell r="AI1976" t="str">
            <v>N52</v>
          </cell>
          <cell r="AJ1976" t="str">
            <v>F</v>
          </cell>
          <cell r="AK1976" t="str">
            <v/>
          </cell>
        </row>
        <row r="1977">
          <cell r="A1977" t="str">
            <v>12503069829053</v>
          </cell>
          <cell r="B1977" t="e">
            <v>#N/A</v>
          </cell>
          <cell r="C1977">
            <v>10</v>
          </cell>
          <cell r="D1977" t="str">
            <v>EK65</v>
          </cell>
          <cell r="E1977" t="str">
            <v>712691</v>
          </cell>
          <cell r="F1977" t="str">
            <v>E</v>
          </cell>
          <cell r="G1977" t="str">
            <v>12503069</v>
          </cell>
          <cell r="H1977" t="str">
            <v>Distanzrohr 10x1,5x36</v>
          </cell>
          <cell r="I1977">
            <v>204</v>
          </cell>
          <cell r="J1977" t="str">
            <v>Stk</v>
          </cell>
          <cell r="K1977">
            <v>45212</v>
          </cell>
          <cell r="L1977" t="str">
            <v>829053</v>
          </cell>
          <cell r="M1977" t="str">
            <v/>
          </cell>
          <cell r="N1977" t="str">
            <v/>
          </cell>
          <cell r="O1977" t="str">
            <v/>
          </cell>
          <cell r="P1977" t="str">
            <v/>
          </cell>
          <cell r="Q1977" t="str">
            <v/>
          </cell>
          <cell r="R1977" t="str">
            <v/>
          </cell>
          <cell r="S1977" t="str">
            <v/>
          </cell>
          <cell r="T1977" t="str">
            <v/>
          </cell>
          <cell r="U1977" t="str">
            <v/>
          </cell>
          <cell r="V1977" t="str">
            <v>N52</v>
          </cell>
          <cell r="W1977" t="str">
            <v/>
          </cell>
          <cell r="X1977" t="str">
            <v/>
          </cell>
          <cell r="Y1977" t="str">
            <v/>
          </cell>
          <cell r="Z1977" t="str">
            <v/>
          </cell>
          <cell r="AA1977" t="str">
            <v/>
          </cell>
          <cell r="AB1977" t="str">
            <v>PA_4310657-TB.7005-4</v>
          </cell>
          <cell r="AC1977">
            <v>1</v>
          </cell>
          <cell r="AD1977" t="str">
            <v/>
          </cell>
          <cell r="AE1977">
            <v>0</v>
          </cell>
          <cell r="AF1977" t="str">
            <v/>
          </cell>
          <cell r="AG1977" t="str">
            <v>12503069</v>
          </cell>
          <cell r="AH1977">
            <v>44985.525196759256</v>
          </cell>
          <cell r="AI1977" t="str">
            <v>N52</v>
          </cell>
          <cell r="AJ1977" t="str">
            <v>F</v>
          </cell>
          <cell r="AK1977" t="str">
            <v/>
          </cell>
        </row>
        <row r="1978">
          <cell r="A1978" t="str">
            <v>0415242</v>
          </cell>
          <cell r="B1978" t="e">
            <v>#N/A</v>
          </cell>
          <cell r="C1978" t="e">
            <v>#N/A</v>
          </cell>
          <cell r="D1978" t="str">
            <v>EK65</v>
          </cell>
          <cell r="E1978" t="str">
            <v>712696</v>
          </cell>
          <cell r="F1978" t="str">
            <v>B</v>
          </cell>
          <cell r="G1978" t="str">
            <v>0415242</v>
          </cell>
          <cell r="H1978" t="str">
            <v>Beilage 1mm</v>
          </cell>
          <cell r="I1978">
            <v>70</v>
          </cell>
          <cell r="J1978" t="str">
            <v>Stk</v>
          </cell>
          <cell r="K1978">
            <v>44987</v>
          </cell>
          <cell r="L1978" t="str">
            <v/>
          </cell>
          <cell r="M1978" t="str">
            <v/>
          </cell>
          <cell r="N1978" t="str">
            <v/>
          </cell>
          <cell r="O1978" t="str">
            <v/>
          </cell>
          <cell r="P1978" t="str">
            <v/>
          </cell>
          <cell r="Q1978" t="str">
            <v/>
          </cell>
          <cell r="R1978" t="str">
            <v/>
          </cell>
          <cell r="S1978" t="str">
            <v/>
          </cell>
          <cell r="T1978" t="str">
            <v/>
          </cell>
          <cell r="U1978" t="str">
            <v/>
          </cell>
          <cell r="V1978" t="str">
            <v>N52</v>
          </cell>
          <cell r="W1978" t="str">
            <v/>
          </cell>
          <cell r="X1978" t="str">
            <v/>
          </cell>
          <cell r="Y1978" t="str">
            <v/>
          </cell>
          <cell r="Z1978" t="str">
            <v/>
          </cell>
          <cell r="AA1978" t="str">
            <v/>
          </cell>
          <cell r="AB1978" t="str">
            <v>PA_2153418-PB.7500-4</v>
          </cell>
          <cell r="AC1978">
            <v>4</v>
          </cell>
          <cell r="AD1978" t="str">
            <v/>
          </cell>
          <cell r="AE1978">
            <v>0</v>
          </cell>
          <cell r="AF1978" t="str">
            <v/>
          </cell>
          <cell r="AG1978" t="str">
            <v>0415242</v>
          </cell>
          <cell r="AH1978">
            <v>44985.834074074075</v>
          </cell>
          <cell r="AI1978" t="str">
            <v>N52</v>
          </cell>
          <cell r="AJ1978" t="str">
            <v>F</v>
          </cell>
          <cell r="AK1978" t="str">
            <v/>
          </cell>
        </row>
        <row r="1979">
          <cell r="A1979" t="str">
            <v>12502168829053</v>
          </cell>
          <cell r="B1979" t="e">
            <v>#N/A</v>
          </cell>
          <cell r="C1979">
            <v>8</v>
          </cell>
          <cell r="D1979" t="str">
            <v>EK65</v>
          </cell>
          <cell r="E1979" t="str">
            <v>713500</v>
          </cell>
          <cell r="F1979" t="str">
            <v>E</v>
          </cell>
          <cell r="G1979" t="str">
            <v>12502168</v>
          </cell>
          <cell r="H1979" t="str">
            <v>Ausdrehanschlag</v>
          </cell>
          <cell r="I1979">
            <v>100</v>
          </cell>
          <cell r="J1979" t="str">
            <v>Stk</v>
          </cell>
          <cell r="K1979">
            <v>45217</v>
          </cell>
          <cell r="L1979" t="str">
            <v>829053</v>
          </cell>
          <cell r="M1979" t="str">
            <v/>
          </cell>
          <cell r="N1979" t="str">
            <v/>
          </cell>
          <cell r="O1979" t="str">
            <v/>
          </cell>
          <cell r="P1979" t="str">
            <v/>
          </cell>
          <cell r="Q1979" t="str">
            <v/>
          </cell>
          <cell r="R1979" t="str">
            <v/>
          </cell>
          <cell r="S1979" t="str">
            <v/>
          </cell>
          <cell r="T1979" t="str">
            <v/>
          </cell>
          <cell r="U1979" t="str">
            <v/>
          </cell>
          <cell r="V1979" t="str">
            <v>N52</v>
          </cell>
          <cell r="W1979" t="str">
            <v/>
          </cell>
          <cell r="X1979" t="str">
            <v/>
          </cell>
          <cell r="Y1979" t="str">
            <v/>
          </cell>
          <cell r="Z1979" t="str">
            <v/>
          </cell>
          <cell r="AA1979" t="str">
            <v/>
          </cell>
          <cell r="AB1979" t="str">
            <v>PA_4339402-SB.7005-3</v>
          </cell>
          <cell r="AC1979">
            <v>1</v>
          </cell>
          <cell r="AD1979" t="str">
            <v/>
          </cell>
          <cell r="AE1979">
            <v>0</v>
          </cell>
          <cell r="AF1979" t="str">
            <v/>
          </cell>
          <cell r="AG1979" t="str">
            <v>12502168</v>
          </cell>
          <cell r="AH1979">
            <v>44986.932986111111</v>
          </cell>
          <cell r="AI1979" t="str">
            <v>N52</v>
          </cell>
          <cell r="AJ1979" t="str">
            <v>F</v>
          </cell>
          <cell r="AK1979" t="str">
            <v>A</v>
          </cell>
        </row>
        <row r="1980">
          <cell r="A1980" t="str">
            <v>12502168829051</v>
          </cell>
          <cell r="B1980" t="e">
            <v>#N/A</v>
          </cell>
          <cell r="C1980">
            <v>8</v>
          </cell>
          <cell r="D1980" t="str">
            <v>EK65</v>
          </cell>
          <cell r="E1980" t="str">
            <v>713501</v>
          </cell>
          <cell r="F1980" t="str">
            <v>E</v>
          </cell>
          <cell r="G1980" t="str">
            <v>12502168</v>
          </cell>
          <cell r="H1980" t="str">
            <v>Ausdrehanschlag</v>
          </cell>
          <cell r="I1980">
            <v>179</v>
          </cell>
          <cell r="J1980" t="str">
            <v>Stk</v>
          </cell>
          <cell r="K1980">
            <v>45328</v>
          </cell>
          <cell r="L1980" t="str">
            <v>829051</v>
          </cell>
          <cell r="M1980" t="str">
            <v/>
          </cell>
          <cell r="N1980" t="str">
            <v/>
          </cell>
          <cell r="O1980" t="str">
            <v/>
          </cell>
          <cell r="P1980" t="str">
            <v/>
          </cell>
          <cell r="Q1980" t="str">
            <v/>
          </cell>
          <cell r="R1980" t="str">
            <v/>
          </cell>
          <cell r="S1980" t="str">
            <v/>
          </cell>
          <cell r="T1980" t="str">
            <v/>
          </cell>
          <cell r="U1980" t="str">
            <v/>
          </cell>
          <cell r="V1980" t="str">
            <v>N52</v>
          </cell>
          <cell r="W1980" t="str">
            <v/>
          </cell>
          <cell r="X1980" t="str">
            <v/>
          </cell>
          <cell r="Y1980" t="str">
            <v/>
          </cell>
          <cell r="Z1980" t="str">
            <v/>
          </cell>
          <cell r="AA1980" t="str">
            <v/>
          </cell>
          <cell r="AB1980" t="str">
            <v>PA_4339402-SB.7005-3</v>
          </cell>
          <cell r="AC1980">
            <v>1</v>
          </cell>
          <cell r="AD1980" t="str">
            <v/>
          </cell>
          <cell r="AE1980">
            <v>0</v>
          </cell>
          <cell r="AF1980" t="str">
            <v/>
          </cell>
          <cell r="AG1980" t="str">
            <v>12502168</v>
          </cell>
          <cell r="AH1980">
            <v>44986.932986111111</v>
          </cell>
          <cell r="AI1980" t="str">
            <v>N52</v>
          </cell>
          <cell r="AJ1980" t="str">
            <v>F</v>
          </cell>
          <cell r="AK1980" t="str">
            <v>A</v>
          </cell>
        </row>
        <row r="1981">
          <cell r="A1981" t="str">
            <v>12506847829054</v>
          </cell>
          <cell r="B1981" t="e">
            <v>#N/A</v>
          </cell>
          <cell r="C1981" t="e">
            <v>#N/A</v>
          </cell>
          <cell r="D1981" t="str">
            <v>EK65</v>
          </cell>
          <cell r="E1981" t="str">
            <v>713502</v>
          </cell>
          <cell r="F1981" t="str">
            <v>E</v>
          </cell>
          <cell r="G1981" t="str">
            <v>12506847</v>
          </cell>
          <cell r="H1981" t="str">
            <v>Halter vollst.</v>
          </cell>
          <cell r="I1981">
            <v>17</v>
          </cell>
          <cell r="J1981" t="str">
            <v>Stk</v>
          </cell>
          <cell r="K1981">
            <v>45223</v>
          </cell>
          <cell r="L1981" t="str">
            <v>829054</v>
          </cell>
          <cell r="M1981" t="str">
            <v/>
          </cell>
          <cell r="N1981" t="str">
            <v/>
          </cell>
          <cell r="O1981" t="str">
            <v/>
          </cell>
          <cell r="P1981" t="str">
            <v/>
          </cell>
          <cell r="Q1981" t="str">
            <v/>
          </cell>
          <cell r="R1981" t="str">
            <v/>
          </cell>
          <cell r="S1981" t="str">
            <v/>
          </cell>
          <cell r="T1981" t="str">
            <v/>
          </cell>
          <cell r="U1981" t="str">
            <v/>
          </cell>
          <cell r="V1981" t="str">
            <v>N38</v>
          </cell>
          <cell r="W1981" t="str">
            <v/>
          </cell>
          <cell r="X1981" t="str">
            <v/>
          </cell>
          <cell r="Y1981" t="str">
            <v/>
          </cell>
          <cell r="Z1981" t="str">
            <v/>
          </cell>
          <cell r="AA1981" t="str">
            <v/>
          </cell>
          <cell r="AB1981" t="str">
            <v>PA_4431564-DC.7005-3</v>
          </cell>
          <cell r="AC1981">
            <v>1</v>
          </cell>
          <cell r="AD1981" t="str">
            <v/>
          </cell>
          <cell r="AE1981">
            <v>0</v>
          </cell>
          <cell r="AF1981" t="str">
            <v/>
          </cell>
          <cell r="AG1981" t="str">
            <v>12506847</v>
          </cell>
          <cell r="AH1981">
            <v>44986.936388888891</v>
          </cell>
          <cell r="AI1981" t="str">
            <v>N38</v>
          </cell>
          <cell r="AJ1981" t="str">
            <v>F</v>
          </cell>
          <cell r="AK1981" t="str">
            <v>A</v>
          </cell>
        </row>
        <row r="1982">
          <cell r="A1982" t="str">
            <v>12506852829054</v>
          </cell>
          <cell r="B1982" t="e">
            <v>#N/A</v>
          </cell>
          <cell r="C1982" t="e">
            <v>#N/A</v>
          </cell>
          <cell r="D1982" t="str">
            <v>EK65</v>
          </cell>
          <cell r="E1982" t="str">
            <v>713503</v>
          </cell>
          <cell r="F1982" t="str">
            <v>E</v>
          </cell>
          <cell r="G1982" t="str">
            <v>12506852</v>
          </cell>
          <cell r="H1982" t="str">
            <v>Halter vollst.</v>
          </cell>
          <cell r="I1982">
            <v>35</v>
          </cell>
          <cell r="J1982" t="str">
            <v>Stk</v>
          </cell>
          <cell r="K1982">
            <v>45220</v>
          </cell>
          <cell r="L1982" t="str">
            <v>829054</v>
          </cell>
          <cell r="M1982" t="str">
            <v/>
          </cell>
          <cell r="N1982" t="str">
            <v/>
          </cell>
          <cell r="O1982" t="str">
            <v/>
          </cell>
          <cell r="P1982" t="str">
            <v/>
          </cell>
          <cell r="Q1982" t="str">
            <v/>
          </cell>
          <cell r="R1982" t="str">
            <v/>
          </cell>
          <cell r="S1982" t="str">
            <v/>
          </cell>
          <cell r="T1982" t="str">
            <v/>
          </cell>
          <cell r="U1982" t="str">
            <v/>
          </cell>
          <cell r="V1982" t="str">
            <v>N38</v>
          </cell>
          <cell r="W1982" t="str">
            <v/>
          </cell>
          <cell r="X1982" t="str">
            <v/>
          </cell>
          <cell r="Y1982" t="str">
            <v/>
          </cell>
          <cell r="Z1982" t="str">
            <v/>
          </cell>
          <cell r="AA1982" t="str">
            <v/>
          </cell>
          <cell r="AB1982" t="str">
            <v>PA_4431566-DC.7005-3</v>
          </cell>
          <cell r="AC1982">
            <v>1</v>
          </cell>
          <cell r="AD1982" t="str">
            <v/>
          </cell>
          <cell r="AE1982">
            <v>0</v>
          </cell>
          <cell r="AF1982" t="str">
            <v/>
          </cell>
          <cell r="AG1982" t="str">
            <v>12506852</v>
          </cell>
          <cell r="AH1982">
            <v>44986.936388888891</v>
          </cell>
          <cell r="AI1982" t="str">
            <v>N38</v>
          </cell>
          <cell r="AJ1982" t="str">
            <v>F</v>
          </cell>
          <cell r="AK1982" t="str">
            <v>A</v>
          </cell>
        </row>
        <row r="1983">
          <cell r="A1983" t="str">
            <v>12506918829054</v>
          </cell>
          <cell r="B1983" t="e">
            <v>#N/A</v>
          </cell>
          <cell r="C1983" t="e">
            <v>#N/A</v>
          </cell>
          <cell r="D1983" t="str">
            <v>EK65</v>
          </cell>
          <cell r="E1983" t="str">
            <v>713504</v>
          </cell>
          <cell r="F1983" t="str">
            <v>E</v>
          </cell>
          <cell r="G1983" t="str">
            <v>12506918</v>
          </cell>
          <cell r="H1983" t="str">
            <v>Halter vollst.</v>
          </cell>
          <cell r="I1983">
            <v>17</v>
          </cell>
          <cell r="J1983" t="str">
            <v>Stk</v>
          </cell>
          <cell r="K1983">
            <v>45223</v>
          </cell>
          <cell r="L1983" t="str">
            <v>829054</v>
          </cell>
          <cell r="M1983" t="str">
            <v/>
          </cell>
          <cell r="N1983" t="str">
            <v/>
          </cell>
          <cell r="O1983" t="str">
            <v/>
          </cell>
          <cell r="P1983" t="str">
            <v/>
          </cell>
          <cell r="Q1983" t="str">
            <v/>
          </cell>
          <cell r="R1983" t="str">
            <v/>
          </cell>
          <cell r="S1983" t="str">
            <v/>
          </cell>
          <cell r="T1983" t="str">
            <v/>
          </cell>
          <cell r="U1983" t="str">
            <v/>
          </cell>
          <cell r="V1983" t="str">
            <v>N38</v>
          </cell>
          <cell r="W1983" t="str">
            <v/>
          </cell>
          <cell r="X1983" t="str">
            <v/>
          </cell>
          <cell r="Y1983" t="str">
            <v/>
          </cell>
          <cell r="Z1983" t="str">
            <v/>
          </cell>
          <cell r="AA1983" t="str">
            <v/>
          </cell>
          <cell r="AB1983" t="str">
            <v>PA_4459547-DC.7005-3</v>
          </cell>
          <cell r="AC1983">
            <v>1</v>
          </cell>
          <cell r="AD1983" t="str">
            <v/>
          </cell>
          <cell r="AE1983">
            <v>0</v>
          </cell>
          <cell r="AF1983" t="str">
            <v/>
          </cell>
          <cell r="AG1983" t="str">
            <v>12506918</v>
          </cell>
          <cell r="AH1983">
            <v>44986.936412037037</v>
          </cell>
          <cell r="AI1983" t="str">
            <v>N38</v>
          </cell>
          <cell r="AJ1983" t="str">
            <v>F</v>
          </cell>
          <cell r="AK1983" t="str">
            <v>A</v>
          </cell>
        </row>
        <row r="1984">
          <cell r="A1984" t="str">
            <v>12517066829053</v>
          </cell>
          <cell r="B1984" t="e">
            <v>#N/A</v>
          </cell>
          <cell r="C1984" t="e">
            <v>#N/A</v>
          </cell>
          <cell r="D1984" t="str">
            <v>EK65</v>
          </cell>
          <cell r="E1984" t="str">
            <v>713509</v>
          </cell>
          <cell r="F1984" t="str">
            <v>E</v>
          </cell>
          <cell r="G1984" t="str">
            <v>12517066</v>
          </cell>
          <cell r="H1984" t="str">
            <v>Wandhalter vollst.</v>
          </cell>
          <cell r="I1984">
            <v>51</v>
          </cell>
          <cell r="J1984" t="str">
            <v>Stk</v>
          </cell>
          <cell r="K1984">
            <v>45211</v>
          </cell>
          <cell r="L1984" t="str">
            <v>829053</v>
          </cell>
          <cell r="M1984" t="str">
            <v/>
          </cell>
          <cell r="N1984" t="str">
            <v/>
          </cell>
          <cell r="O1984" t="str">
            <v/>
          </cell>
          <cell r="P1984" t="str">
            <v/>
          </cell>
          <cell r="Q1984" t="str">
            <v/>
          </cell>
          <cell r="R1984" t="str">
            <v/>
          </cell>
          <cell r="S1984" t="str">
            <v/>
          </cell>
          <cell r="T1984" t="str">
            <v/>
          </cell>
          <cell r="U1984" t="str">
            <v/>
          </cell>
          <cell r="V1984" t="str">
            <v>N38</v>
          </cell>
          <cell r="W1984" t="str">
            <v/>
          </cell>
          <cell r="X1984" t="str">
            <v/>
          </cell>
          <cell r="Y1984" t="str">
            <v/>
          </cell>
          <cell r="Z1984" t="str">
            <v/>
          </cell>
          <cell r="AA1984" t="str">
            <v/>
          </cell>
          <cell r="AB1984" t="str">
            <v>PA_4368116-UA.7005-3</v>
          </cell>
          <cell r="AC1984">
            <v>1</v>
          </cell>
          <cell r="AD1984" t="str">
            <v/>
          </cell>
          <cell r="AE1984">
            <v>0</v>
          </cell>
          <cell r="AF1984" t="str">
            <v/>
          </cell>
          <cell r="AG1984" t="str">
            <v>12517066</v>
          </cell>
          <cell r="AH1984">
            <v>44986.942187499997</v>
          </cell>
          <cell r="AI1984" t="str">
            <v>N38</v>
          </cell>
          <cell r="AJ1984" t="str">
            <v>F</v>
          </cell>
          <cell r="AK1984" t="str">
            <v/>
          </cell>
        </row>
        <row r="1985">
          <cell r="A1985" t="str">
            <v>12517066829054</v>
          </cell>
          <cell r="B1985" t="e">
            <v>#N/A</v>
          </cell>
          <cell r="C1985" t="e">
            <v>#N/A</v>
          </cell>
          <cell r="D1985" t="str">
            <v>EK65</v>
          </cell>
          <cell r="E1985" t="str">
            <v>713510</v>
          </cell>
          <cell r="F1985" t="str">
            <v>E</v>
          </cell>
          <cell r="G1985" t="str">
            <v>12517066</v>
          </cell>
          <cell r="H1985" t="str">
            <v>Wandhalter vollst.</v>
          </cell>
          <cell r="I1985">
            <v>35</v>
          </cell>
          <cell r="J1985" t="str">
            <v>Stk</v>
          </cell>
          <cell r="K1985">
            <v>45213</v>
          </cell>
          <cell r="L1985" t="str">
            <v>829054</v>
          </cell>
          <cell r="M1985" t="str">
            <v/>
          </cell>
          <cell r="N1985" t="str">
            <v/>
          </cell>
          <cell r="O1985" t="str">
            <v/>
          </cell>
          <cell r="P1985" t="str">
            <v/>
          </cell>
          <cell r="Q1985" t="str">
            <v/>
          </cell>
          <cell r="R1985" t="str">
            <v/>
          </cell>
          <cell r="S1985" t="str">
            <v/>
          </cell>
          <cell r="T1985" t="str">
            <v/>
          </cell>
          <cell r="U1985" t="str">
            <v/>
          </cell>
          <cell r="V1985" t="str">
            <v>N38</v>
          </cell>
          <cell r="W1985" t="str">
            <v/>
          </cell>
          <cell r="X1985" t="str">
            <v/>
          </cell>
          <cell r="Y1985" t="str">
            <v/>
          </cell>
          <cell r="Z1985" t="str">
            <v/>
          </cell>
          <cell r="AA1985" t="str">
            <v/>
          </cell>
          <cell r="AB1985" t="str">
            <v>PA_4368116-UA.7005-3</v>
          </cell>
          <cell r="AC1985">
            <v>1</v>
          </cell>
          <cell r="AD1985" t="str">
            <v/>
          </cell>
          <cell r="AE1985">
            <v>0</v>
          </cell>
          <cell r="AF1985" t="str">
            <v/>
          </cell>
          <cell r="AG1985" t="str">
            <v>12517066</v>
          </cell>
          <cell r="AH1985">
            <v>44986.942187499997</v>
          </cell>
          <cell r="AI1985" t="str">
            <v>N38</v>
          </cell>
          <cell r="AJ1985" t="str">
            <v>F</v>
          </cell>
          <cell r="AK1985" t="str">
            <v/>
          </cell>
        </row>
        <row r="1986">
          <cell r="A1986" t="str">
            <v>12517066829051</v>
          </cell>
          <cell r="B1986" t="e">
            <v>#N/A</v>
          </cell>
          <cell r="C1986" t="e">
            <v>#N/A</v>
          </cell>
          <cell r="D1986" t="str">
            <v>EK65</v>
          </cell>
          <cell r="E1986" t="str">
            <v>713511</v>
          </cell>
          <cell r="F1986" t="str">
            <v>E</v>
          </cell>
          <cell r="G1986" t="str">
            <v>12517066</v>
          </cell>
          <cell r="H1986" t="str">
            <v>Wandhalter vollst.</v>
          </cell>
          <cell r="I1986">
            <v>90</v>
          </cell>
          <cell r="J1986" t="str">
            <v>Stk</v>
          </cell>
          <cell r="K1986">
            <v>45328</v>
          </cell>
          <cell r="L1986" t="str">
            <v>829051</v>
          </cell>
          <cell r="M1986" t="str">
            <v/>
          </cell>
          <cell r="N1986" t="str">
            <v/>
          </cell>
          <cell r="O1986" t="str">
            <v/>
          </cell>
          <cell r="P1986" t="str">
            <v/>
          </cell>
          <cell r="Q1986" t="str">
            <v/>
          </cell>
          <cell r="R1986" t="str">
            <v/>
          </cell>
          <cell r="S1986" t="str">
            <v/>
          </cell>
          <cell r="T1986" t="str">
            <v/>
          </cell>
          <cell r="U1986" t="str">
            <v/>
          </cell>
          <cell r="V1986" t="str">
            <v>N38</v>
          </cell>
          <cell r="W1986" t="str">
            <v/>
          </cell>
          <cell r="X1986" t="str">
            <v/>
          </cell>
          <cell r="Y1986" t="str">
            <v/>
          </cell>
          <cell r="Z1986" t="str">
            <v/>
          </cell>
          <cell r="AA1986" t="str">
            <v/>
          </cell>
          <cell r="AB1986" t="str">
            <v>PA_4368116-UA.7005-3</v>
          </cell>
          <cell r="AC1986">
            <v>1</v>
          </cell>
          <cell r="AD1986" t="str">
            <v/>
          </cell>
          <cell r="AE1986">
            <v>0</v>
          </cell>
          <cell r="AF1986" t="str">
            <v/>
          </cell>
          <cell r="AG1986" t="str">
            <v>12517066</v>
          </cell>
          <cell r="AH1986">
            <v>44986.942187499997</v>
          </cell>
          <cell r="AI1986" t="str">
            <v>N38</v>
          </cell>
          <cell r="AJ1986" t="str">
            <v>F</v>
          </cell>
          <cell r="AK1986" t="str">
            <v/>
          </cell>
        </row>
        <row r="1987">
          <cell r="A1987" t="str">
            <v>12517066829052</v>
          </cell>
          <cell r="B1987" t="e">
            <v>#N/A</v>
          </cell>
          <cell r="C1987" t="e">
            <v>#N/A</v>
          </cell>
          <cell r="D1987" t="str">
            <v>EK65</v>
          </cell>
          <cell r="E1987" t="str">
            <v>713512</v>
          </cell>
          <cell r="F1987" t="str">
            <v>E</v>
          </cell>
          <cell r="G1987" t="str">
            <v>12517066</v>
          </cell>
          <cell r="H1987" t="str">
            <v>Wandhalter vollst.</v>
          </cell>
          <cell r="I1987">
            <v>61</v>
          </cell>
          <cell r="J1987" t="str">
            <v>Stk</v>
          </cell>
          <cell r="K1987">
            <v>45351</v>
          </cell>
          <cell r="L1987" t="str">
            <v>829052</v>
          </cell>
          <cell r="M1987" t="str">
            <v/>
          </cell>
          <cell r="N1987" t="str">
            <v/>
          </cell>
          <cell r="O1987" t="str">
            <v/>
          </cell>
          <cell r="P1987" t="str">
            <v/>
          </cell>
          <cell r="Q1987" t="str">
            <v/>
          </cell>
          <cell r="R1987" t="str">
            <v/>
          </cell>
          <cell r="S1987" t="str">
            <v/>
          </cell>
          <cell r="T1987" t="str">
            <v/>
          </cell>
          <cell r="U1987" t="str">
            <v/>
          </cell>
          <cell r="V1987" t="str">
            <v>N38</v>
          </cell>
          <cell r="W1987" t="str">
            <v/>
          </cell>
          <cell r="X1987" t="str">
            <v/>
          </cell>
          <cell r="Y1987" t="str">
            <v/>
          </cell>
          <cell r="Z1987" t="str">
            <v/>
          </cell>
          <cell r="AA1987" t="str">
            <v/>
          </cell>
          <cell r="AB1987" t="str">
            <v>PA_4368116-UA.7005-3</v>
          </cell>
          <cell r="AC1987">
            <v>1</v>
          </cell>
          <cell r="AD1987" t="str">
            <v/>
          </cell>
          <cell r="AE1987">
            <v>0</v>
          </cell>
          <cell r="AF1987" t="str">
            <v/>
          </cell>
          <cell r="AG1987" t="str">
            <v>12517066</v>
          </cell>
          <cell r="AH1987">
            <v>44986.942187499997</v>
          </cell>
          <cell r="AI1987" t="str">
            <v>N38</v>
          </cell>
          <cell r="AJ1987" t="str">
            <v>F</v>
          </cell>
          <cell r="AK1987" t="str">
            <v/>
          </cell>
        </row>
        <row r="1988">
          <cell r="A1988" t="str">
            <v>12527594829053</v>
          </cell>
          <cell r="B1988" t="e">
            <v>#N/A</v>
          </cell>
          <cell r="C1988">
            <v>12</v>
          </cell>
          <cell r="D1988" t="str">
            <v>EK65</v>
          </cell>
          <cell r="E1988" t="str">
            <v>713513</v>
          </cell>
          <cell r="F1988" t="str">
            <v>E</v>
          </cell>
          <cell r="G1988" t="str">
            <v>12527594</v>
          </cell>
          <cell r="H1988" t="str">
            <v>Halter w.g.</v>
          </cell>
          <cell r="I1988">
            <v>25</v>
          </cell>
          <cell r="J1988" t="str">
            <v>Stk</v>
          </cell>
          <cell r="K1988">
            <v>45219</v>
          </cell>
          <cell r="L1988" t="str">
            <v>829053</v>
          </cell>
          <cell r="M1988" t="str">
            <v/>
          </cell>
          <cell r="N1988" t="str">
            <v/>
          </cell>
          <cell r="O1988" t="str">
            <v/>
          </cell>
          <cell r="P1988" t="str">
            <v/>
          </cell>
          <cell r="Q1988" t="str">
            <v/>
          </cell>
          <cell r="R1988" t="str">
            <v/>
          </cell>
          <cell r="S1988" t="str">
            <v/>
          </cell>
          <cell r="T1988" t="str">
            <v/>
          </cell>
          <cell r="U1988" t="str">
            <v/>
          </cell>
          <cell r="V1988" t="str">
            <v>N52</v>
          </cell>
          <cell r="W1988" t="str">
            <v/>
          </cell>
          <cell r="X1988" t="str">
            <v/>
          </cell>
          <cell r="Y1988" t="str">
            <v/>
          </cell>
          <cell r="Z1988" t="str">
            <v/>
          </cell>
          <cell r="AA1988" t="str">
            <v/>
          </cell>
          <cell r="AB1988" t="str">
            <v>BU_4167899-CF.7005-3</v>
          </cell>
          <cell r="AC1988">
            <v>1</v>
          </cell>
          <cell r="AD1988" t="str">
            <v/>
          </cell>
          <cell r="AE1988">
            <v>0</v>
          </cell>
          <cell r="AF1988" t="str">
            <v/>
          </cell>
          <cell r="AG1988" t="str">
            <v>12527594</v>
          </cell>
          <cell r="AH1988">
            <v>44986.946655092594</v>
          </cell>
          <cell r="AI1988" t="str">
            <v>N52</v>
          </cell>
          <cell r="AJ1988" t="str">
            <v>F</v>
          </cell>
          <cell r="AK1988" t="str">
            <v>A</v>
          </cell>
        </row>
        <row r="1989">
          <cell r="A1989" t="str">
            <v>12527594829051</v>
          </cell>
          <cell r="B1989" t="e">
            <v>#N/A</v>
          </cell>
          <cell r="C1989">
            <v>12</v>
          </cell>
          <cell r="D1989" t="str">
            <v>EK65</v>
          </cell>
          <cell r="E1989" t="str">
            <v>713514</v>
          </cell>
          <cell r="F1989" t="str">
            <v>E</v>
          </cell>
          <cell r="G1989" t="str">
            <v>12527594</v>
          </cell>
          <cell r="H1989" t="str">
            <v>Halter w.g.</v>
          </cell>
          <cell r="I1989">
            <v>45</v>
          </cell>
          <cell r="J1989" t="str">
            <v>Stk</v>
          </cell>
          <cell r="K1989">
            <v>45330</v>
          </cell>
          <cell r="L1989" t="str">
            <v>829051</v>
          </cell>
          <cell r="M1989" t="str">
            <v/>
          </cell>
          <cell r="N1989" t="str">
            <v/>
          </cell>
          <cell r="O1989" t="str">
            <v/>
          </cell>
          <cell r="P1989" t="str">
            <v/>
          </cell>
          <cell r="Q1989" t="str">
            <v/>
          </cell>
          <cell r="R1989" t="str">
            <v/>
          </cell>
          <cell r="S1989" t="str">
            <v/>
          </cell>
          <cell r="T1989" t="str">
            <v/>
          </cell>
          <cell r="U1989" t="str">
            <v/>
          </cell>
          <cell r="V1989" t="str">
            <v>N52</v>
          </cell>
          <cell r="W1989" t="str">
            <v/>
          </cell>
          <cell r="X1989" t="str">
            <v/>
          </cell>
          <cell r="Y1989" t="str">
            <v/>
          </cell>
          <cell r="Z1989" t="str">
            <v/>
          </cell>
          <cell r="AA1989" t="str">
            <v/>
          </cell>
          <cell r="AB1989" t="str">
            <v>BU_4167899-CF.7005-3</v>
          </cell>
          <cell r="AC1989">
            <v>1</v>
          </cell>
          <cell r="AD1989" t="str">
            <v/>
          </cell>
          <cell r="AE1989">
            <v>0</v>
          </cell>
          <cell r="AF1989" t="str">
            <v/>
          </cell>
          <cell r="AG1989" t="str">
            <v>12527594</v>
          </cell>
          <cell r="AH1989">
            <v>44986.946655092594</v>
          </cell>
          <cell r="AI1989" t="str">
            <v>N52</v>
          </cell>
          <cell r="AJ1989" t="str">
            <v>F</v>
          </cell>
          <cell r="AK1989" t="str">
            <v>A</v>
          </cell>
        </row>
        <row r="1990">
          <cell r="A1990" t="str">
            <v>12530968829053</v>
          </cell>
          <cell r="B1990" t="e">
            <v>#N/A</v>
          </cell>
          <cell r="C1990">
            <v>10</v>
          </cell>
          <cell r="D1990" t="str">
            <v>EK65</v>
          </cell>
          <cell r="E1990" t="str">
            <v>713521</v>
          </cell>
          <cell r="F1990" t="str">
            <v>E</v>
          </cell>
          <cell r="G1990" t="str">
            <v>12530968</v>
          </cell>
          <cell r="H1990" t="str">
            <v>Halter sp.g.</v>
          </cell>
          <cell r="I1990">
            <v>25</v>
          </cell>
          <cell r="J1990" t="str">
            <v>Stk</v>
          </cell>
          <cell r="K1990">
            <v>45224</v>
          </cell>
          <cell r="L1990" t="str">
            <v>829053</v>
          </cell>
          <cell r="M1990" t="str">
            <v/>
          </cell>
          <cell r="N1990" t="str">
            <v/>
          </cell>
          <cell r="O1990" t="str">
            <v/>
          </cell>
          <cell r="P1990" t="str">
            <v/>
          </cell>
          <cell r="Q1990" t="str">
            <v/>
          </cell>
          <cell r="R1990" t="str">
            <v/>
          </cell>
          <cell r="S1990" t="str">
            <v/>
          </cell>
          <cell r="T1990" t="str">
            <v/>
          </cell>
          <cell r="U1990" t="str">
            <v/>
          </cell>
          <cell r="V1990" t="str">
            <v>N52</v>
          </cell>
          <cell r="W1990" t="str">
            <v/>
          </cell>
          <cell r="X1990" t="str">
            <v/>
          </cell>
          <cell r="Y1990" t="str">
            <v/>
          </cell>
          <cell r="Z1990" t="str">
            <v/>
          </cell>
          <cell r="AA1990" t="str">
            <v/>
          </cell>
          <cell r="AB1990" t="str">
            <v>BU_4167899-CF.7005-3</v>
          </cell>
          <cell r="AC1990">
            <v>1</v>
          </cell>
          <cell r="AD1990" t="str">
            <v/>
          </cell>
          <cell r="AE1990">
            <v>0</v>
          </cell>
          <cell r="AF1990" t="str">
            <v/>
          </cell>
          <cell r="AG1990" t="str">
            <v>12530968</v>
          </cell>
          <cell r="AH1990">
            <v>44986.949490740742</v>
          </cell>
          <cell r="AI1990" t="str">
            <v>N52</v>
          </cell>
          <cell r="AJ1990" t="str">
            <v>F</v>
          </cell>
          <cell r="AK1990" t="str">
            <v>A</v>
          </cell>
        </row>
        <row r="1991">
          <cell r="A1991" t="str">
            <v>12530968829051</v>
          </cell>
          <cell r="B1991" t="str">
            <v>BL20230413-2</v>
          </cell>
          <cell r="C1991">
            <v>10</v>
          </cell>
          <cell r="D1991" t="str">
            <v>EK65</v>
          </cell>
          <cell r="E1991" t="str">
            <v>713522</v>
          </cell>
          <cell r="F1991" t="str">
            <v>E</v>
          </cell>
          <cell r="G1991" t="str">
            <v>12530968</v>
          </cell>
          <cell r="H1991" t="str">
            <v>Halter sp.g.</v>
          </cell>
          <cell r="I1991">
            <v>45</v>
          </cell>
          <cell r="J1991" t="str">
            <v>Stk</v>
          </cell>
          <cell r="K1991">
            <v>45335</v>
          </cell>
          <cell r="L1991" t="str">
            <v>829051</v>
          </cell>
          <cell r="M1991" t="str">
            <v/>
          </cell>
          <cell r="N1991" t="str">
            <v/>
          </cell>
          <cell r="O1991" t="str">
            <v/>
          </cell>
          <cell r="P1991" t="str">
            <v/>
          </cell>
          <cell r="Q1991" t="str">
            <v/>
          </cell>
          <cell r="R1991" t="str">
            <v/>
          </cell>
          <cell r="S1991" t="str">
            <v/>
          </cell>
          <cell r="T1991" t="str">
            <v/>
          </cell>
          <cell r="U1991" t="str">
            <v/>
          </cell>
          <cell r="V1991" t="str">
            <v>N52</v>
          </cell>
          <cell r="W1991" t="str">
            <v/>
          </cell>
          <cell r="X1991" t="str">
            <v/>
          </cell>
          <cell r="Y1991" t="str">
            <v/>
          </cell>
          <cell r="Z1991" t="str">
            <v/>
          </cell>
          <cell r="AA1991" t="str">
            <v/>
          </cell>
          <cell r="AB1991" t="str">
            <v>BU_4167899-CF.7005-3</v>
          </cell>
          <cell r="AC1991">
            <v>1</v>
          </cell>
          <cell r="AD1991" t="str">
            <v/>
          </cell>
          <cell r="AE1991">
            <v>0</v>
          </cell>
          <cell r="AF1991" t="str">
            <v/>
          </cell>
          <cell r="AG1991" t="str">
            <v>12530968</v>
          </cell>
          <cell r="AH1991">
            <v>44986.949490740742</v>
          </cell>
          <cell r="AI1991" t="str">
            <v>N52</v>
          </cell>
          <cell r="AJ1991" t="str">
            <v>F</v>
          </cell>
          <cell r="AK1991" t="str">
            <v>A</v>
          </cell>
        </row>
        <row r="1992">
          <cell r="A1992" t="str">
            <v>12487093829053</v>
          </cell>
          <cell r="B1992" t="str">
            <v>Angefragt 27.02.2023</v>
          </cell>
          <cell r="C1992" t="e">
            <v>#N/A</v>
          </cell>
          <cell r="D1992" t="str">
            <v>EK65</v>
          </cell>
          <cell r="E1992" t="str">
            <v>713689</v>
          </cell>
          <cell r="F1992" t="str">
            <v>E</v>
          </cell>
          <cell r="G1992" t="str">
            <v>12487093</v>
          </cell>
          <cell r="H1992" t="str">
            <v>Halter EP2002 vollst.</v>
          </cell>
          <cell r="I1992">
            <v>71</v>
          </cell>
          <cell r="J1992" t="str">
            <v>Stk</v>
          </cell>
          <cell r="K1992">
            <v>45124</v>
          </cell>
          <cell r="L1992" t="str">
            <v>829053</v>
          </cell>
          <cell r="M1992" t="str">
            <v/>
          </cell>
          <cell r="N1992" t="str">
            <v/>
          </cell>
          <cell r="O1992" t="str">
            <v/>
          </cell>
          <cell r="P1992" t="str">
            <v/>
          </cell>
          <cell r="Q1992" t="str">
            <v/>
          </cell>
          <cell r="R1992" t="str">
            <v/>
          </cell>
          <cell r="S1992" t="str">
            <v/>
          </cell>
          <cell r="T1992" t="str">
            <v/>
          </cell>
          <cell r="U1992" t="str">
            <v/>
          </cell>
          <cell r="V1992" t="str">
            <v>N38</v>
          </cell>
          <cell r="W1992" t="str">
            <v/>
          </cell>
          <cell r="X1992" t="str">
            <v/>
          </cell>
          <cell r="Y1992" t="str">
            <v/>
          </cell>
          <cell r="Z1992" t="str">
            <v/>
          </cell>
          <cell r="AA1992" t="str">
            <v/>
          </cell>
          <cell r="AB1992" t="str">
            <v>PA_4418361-QE.7005-1</v>
          </cell>
          <cell r="AC1992">
            <v>1</v>
          </cell>
          <cell r="AD1992" t="str">
            <v/>
          </cell>
          <cell r="AE1992">
            <v>0</v>
          </cell>
          <cell r="AF1992" t="str">
            <v/>
          </cell>
          <cell r="AG1992" t="str">
            <v>12487093</v>
          </cell>
          <cell r="AH1992">
            <v>44986.994629629633</v>
          </cell>
          <cell r="AI1992" t="str">
            <v>N38</v>
          </cell>
          <cell r="AJ1992" t="str">
            <v>F</v>
          </cell>
          <cell r="AK1992" t="str">
            <v>B</v>
          </cell>
        </row>
        <row r="1993">
          <cell r="A1993" t="str">
            <v>12487093829051</v>
          </cell>
          <cell r="B1993" t="str">
            <v>Angefragt 27.02.2023</v>
          </cell>
          <cell r="C1993" t="e">
            <v>#N/A</v>
          </cell>
          <cell r="D1993" t="str">
            <v>EK65</v>
          </cell>
          <cell r="E1993" t="str">
            <v>713690</v>
          </cell>
          <cell r="F1993" t="str">
            <v>E</v>
          </cell>
          <cell r="G1993" t="str">
            <v>12487093</v>
          </cell>
          <cell r="H1993" t="str">
            <v>Halter EP2002 vollst.</v>
          </cell>
          <cell r="I1993">
            <v>108</v>
          </cell>
          <cell r="J1993" t="str">
            <v>Stk</v>
          </cell>
          <cell r="K1993">
            <v>45219</v>
          </cell>
          <cell r="L1993" t="str">
            <v>829051</v>
          </cell>
          <cell r="M1993" t="str">
            <v/>
          </cell>
          <cell r="N1993" t="str">
            <v/>
          </cell>
          <cell r="O1993" t="str">
            <v/>
          </cell>
          <cell r="P1993" t="str">
            <v/>
          </cell>
          <cell r="Q1993" t="str">
            <v/>
          </cell>
          <cell r="R1993" t="str">
            <v/>
          </cell>
          <cell r="S1993" t="str">
            <v/>
          </cell>
          <cell r="T1993" t="str">
            <v/>
          </cell>
          <cell r="U1993" t="str">
            <v/>
          </cell>
          <cell r="V1993" t="str">
            <v>N38</v>
          </cell>
          <cell r="W1993" t="str">
            <v/>
          </cell>
          <cell r="X1993" t="str">
            <v/>
          </cell>
          <cell r="Y1993" t="str">
            <v/>
          </cell>
          <cell r="Z1993" t="str">
            <v/>
          </cell>
          <cell r="AA1993" t="str">
            <v/>
          </cell>
          <cell r="AB1993" t="str">
            <v>PA_4418361-QE.7005-1</v>
          </cell>
          <cell r="AC1993">
            <v>1</v>
          </cell>
          <cell r="AD1993" t="str">
            <v/>
          </cell>
          <cell r="AE1993">
            <v>0</v>
          </cell>
          <cell r="AF1993" t="str">
            <v/>
          </cell>
          <cell r="AG1993" t="str">
            <v>12487093</v>
          </cell>
          <cell r="AH1993">
            <v>44986.994641203702</v>
          </cell>
          <cell r="AI1993" t="str">
            <v>N38</v>
          </cell>
          <cell r="AJ1993" t="str">
            <v>F</v>
          </cell>
          <cell r="AK1993" t="str">
            <v>B</v>
          </cell>
        </row>
        <row r="1994">
          <cell r="A1994" t="str">
            <v>12487093829052</v>
          </cell>
          <cell r="B1994" t="str">
            <v>Angefragt 27.02.2023</v>
          </cell>
          <cell r="C1994" t="e">
            <v>#N/A</v>
          </cell>
          <cell r="D1994" t="str">
            <v>EK65</v>
          </cell>
          <cell r="E1994" t="str">
            <v>713691</v>
          </cell>
          <cell r="F1994" t="str">
            <v>E</v>
          </cell>
          <cell r="G1994" t="str">
            <v>12487093</v>
          </cell>
          <cell r="H1994" t="str">
            <v>Halter EP2002 vollst.</v>
          </cell>
          <cell r="I1994">
            <v>38</v>
          </cell>
          <cell r="J1994" t="str">
            <v>Stk</v>
          </cell>
          <cell r="K1994">
            <v>45265</v>
          </cell>
          <cell r="L1994" t="str">
            <v>829052</v>
          </cell>
          <cell r="M1994" t="str">
            <v/>
          </cell>
          <cell r="N1994" t="str">
            <v/>
          </cell>
          <cell r="O1994" t="str">
            <v/>
          </cell>
          <cell r="P1994" t="str">
            <v/>
          </cell>
          <cell r="Q1994" t="str">
            <v/>
          </cell>
          <cell r="R1994" t="str">
            <v/>
          </cell>
          <cell r="S1994" t="str">
            <v/>
          </cell>
          <cell r="T1994" t="str">
            <v/>
          </cell>
          <cell r="U1994" t="str">
            <v/>
          </cell>
          <cell r="V1994" t="str">
            <v>N38</v>
          </cell>
          <cell r="W1994" t="str">
            <v/>
          </cell>
          <cell r="X1994" t="str">
            <v/>
          </cell>
          <cell r="Y1994" t="str">
            <v/>
          </cell>
          <cell r="Z1994" t="str">
            <v/>
          </cell>
          <cell r="AA1994" t="str">
            <v/>
          </cell>
          <cell r="AB1994" t="str">
            <v>PA_4418361-QE.7005-1</v>
          </cell>
          <cell r="AC1994">
            <v>1</v>
          </cell>
          <cell r="AD1994" t="str">
            <v/>
          </cell>
          <cell r="AE1994">
            <v>0</v>
          </cell>
          <cell r="AF1994" t="str">
            <v/>
          </cell>
          <cell r="AG1994" t="str">
            <v>12487093</v>
          </cell>
          <cell r="AH1994">
            <v>44986.994641203702</v>
          </cell>
          <cell r="AI1994" t="str">
            <v>N38</v>
          </cell>
          <cell r="AJ1994" t="str">
            <v>F</v>
          </cell>
          <cell r="AK1994" t="str">
            <v>B</v>
          </cell>
        </row>
        <row r="1995">
          <cell r="A1995" t="str">
            <v>12488623829053</v>
          </cell>
          <cell r="B1995" t="str">
            <v>Angefragt 27.02.2023</v>
          </cell>
          <cell r="C1995" t="e">
            <v>#N/A</v>
          </cell>
          <cell r="D1995" t="str">
            <v>EK65</v>
          </cell>
          <cell r="E1995" t="str">
            <v>713700</v>
          </cell>
          <cell r="F1995" t="str">
            <v>E</v>
          </cell>
          <cell r="G1995" t="str">
            <v>12488623</v>
          </cell>
          <cell r="H1995" t="str">
            <v>Halter EP2002 vollst.</v>
          </cell>
          <cell r="I1995">
            <v>69</v>
          </cell>
          <cell r="J1995" t="str">
            <v>Stk</v>
          </cell>
          <cell r="K1995">
            <v>45126</v>
          </cell>
          <cell r="L1995" t="str">
            <v>829053</v>
          </cell>
          <cell r="M1995" t="str">
            <v/>
          </cell>
          <cell r="N1995" t="str">
            <v/>
          </cell>
          <cell r="O1995" t="str">
            <v/>
          </cell>
          <cell r="P1995" t="str">
            <v/>
          </cell>
          <cell r="Q1995" t="str">
            <v/>
          </cell>
          <cell r="R1995" t="str">
            <v/>
          </cell>
          <cell r="S1995" t="str">
            <v/>
          </cell>
          <cell r="T1995" t="str">
            <v/>
          </cell>
          <cell r="U1995" t="str">
            <v/>
          </cell>
          <cell r="V1995" t="str">
            <v>N34</v>
          </cell>
          <cell r="W1995" t="str">
            <v/>
          </cell>
          <cell r="X1995" t="str">
            <v/>
          </cell>
          <cell r="Y1995" t="str">
            <v/>
          </cell>
          <cell r="Z1995" t="str">
            <v/>
          </cell>
          <cell r="AA1995" t="str">
            <v/>
          </cell>
          <cell r="AB1995" t="str">
            <v>PA_4395748-QE.7005-3</v>
          </cell>
          <cell r="AC1995">
            <v>1</v>
          </cell>
          <cell r="AD1995" t="str">
            <v/>
          </cell>
          <cell r="AE1995">
            <v>0</v>
          </cell>
          <cell r="AF1995" t="str">
            <v/>
          </cell>
          <cell r="AG1995" t="str">
            <v>12488623</v>
          </cell>
          <cell r="AH1995">
            <v>44986.994872685187</v>
          </cell>
          <cell r="AI1995" t="str">
            <v>N34</v>
          </cell>
          <cell r="AJ1995" t="str">
            <v>F</v>
          </cell>
          <cell r="AK1995" t="str">
            <v>B</v>
          </cell>
        </row>
        <row r="1996">
          <cell r="A1996" t="str">
            <v>12488623829054</v>
          </cell>
          <cell r="B1996" t="str">
            <v>Angefragt 27.02.2023</v>
          </cell>
          <cell r="C1996" t="e">
            <v>#N/A</v>
          </cell>
          <cell r="D1996" t="str">
            <v>EK65</v>
          </cell>
          <cell r="E1996" t="str">
            <v>713701</v>
          </cell>
          <cell r="F1996" t="str">
            <v>E</v>
          </cell>
          <cell r="G1996" t="str">
            <v>12488623</v>
          </cell>
          <cell r="H1996" t="str">
            <v>Halter EP2002 vollst.</v>
          </cell>
          <cell r="I1996">
            <v>22</v>
          </cell>
          <cell r="J1996" t="str">
            <v>Stk</v>
          </cell>
          <cell r="K1996">
            <v>45154</v>
          </cell>
          <cell r="L1996" t="str">
            <v>829054</v>
          </cell>
          <cell r="M1996" t="str">
            <v/>
          </cell>
          <cell r="N1996" t="str">
            <v/>
          </cell>
          <cell r="O1996" t="str">
            <v/>
          </cell>
          <cell r="P1996" t="str">
            <v/>
          </cell>
          <cell r="Q1996" t="str">
            <v/>
          </cell>
          <cell r="R1996" t="str">
            <v/>
          </cell>
          <cell r="S1996" t="str">
            <v/>
          </cell>
          <cell r="T1996" t="str">
            <v/>
          </cell>
          <cell r="U1996" t="str">
            <v/>
          </cell>
          <cell r="V1996" t="str">
            <v>N34</v>
          </cell>
          <cell r="W1996" t="str">
            <v/>
          </cell>
          <cell r="X1996" t="str">
            <v/>
          </cell>
          <cell r="Y1996" t="str">
            <v/>
          </cell>
          <cell r="Z1996" t="str">
            <v/>
          </cell>
          <cell r="AA1996" t="str">
            <v/>
          </cell>
          <cell r="AB1996" t="str">
            <v>PA_4395748-QE.7005-3</v>
          </cell>
          <cell r="AC1996">
            <v>1</v>
          </cell>
          <cell r="AD1996" t="str">
            <v/>
          </cell>
          <cell r="AE1996">
            <v>0</v>
          </cell>
          <cell r="AF1996" t="str">
            <v/>
          </cell>
          <cell r="AG1996" t="str">
            <v>12488623</v>
          </cell>
          <cell r="AH1996">
            <v>44986.994872685187</v>
          </cell>
          <cell r="AI1996" t="str">
            <v>N34</v>
          </cell>
          <cell r="AJ1996" t="str">
            <v>F</v>
          </cell>
          <cell r="AK1996" t="str">
            <v>B</v>
          </cell>
        </row>
        <row r="1997">
          <cell r="A1997" t="str">
            <v>12488623829051</v>
          </cell>
          <cell r="B1997" t="str">
            <v>Angefragt 27.02.2023</v>
          </cell>
          <cell r="C1997" t="e">
            <v>#N/A</v>
          </cell>
          <cell r="D1997" t="str">
            <v>EK65</v>
          </cell>
          <cell r="E1997" t="str">
            <v>713702</v>
          </cell>
          <cell r="F1997" t="str">
            <v>E</v>
          </cell>
          <cell r="G1997" t="str">
            <v>12488623</v>
          </cell>
          <cell r="H1997" t="str">
            <v>Halter EP2002 vollst.</v>
          </cell>
          <cell r="I1997">
            <v>104</v>
          </cell>
          <cell r="J1997" t="str">
            <v>Stk</v>
          </cell>
          <cell r="K1997">
            <v>45244</v>
          </cell>
          <cell r="L1997" t="str">
            <v>829051</v>
          </cell>
          <cell r="M1997" t="str">
            <v/>
          </cell>
          <cell r="N1997" t="str">
            <v/>
          </cell>
          <cell r="O1997" t="str">
            <v/>
          </cell>
          <cell r="P1997" t="str">
            <v/>
          </cell>
          <cell r="Q1997" t="str">
            <v/>
          </cell>
          <cell r="R1997" t="str">
            <v/>
          </cell>
          <cell r="S1997" t="str">
            <v/>
          </cell>
          <cell r="T1997" t="str">
            <v/>
          </cell>
          <cell r="U1997" t="str">
            <v/>
          </cell>
          <cell r="V1997" t="str">
            <v>N34</v>
          </cell>
          <cell r="W1997" t="str">
            <v/>
          </cell>
          <cell r="X1997" t="str">
            <v/>
          </cell>
          <cell r="Y1997" t="str">
            <v/>
          </cell>
          <cell r="Z1997" t="str">
            <v/>
          </cell>
          <cell r="AA1997" t="str">
            <v/>
          </cell>
          <cell r="AB1997" t="str">
            <v>PA_4395748-QE.7005-3</v>
          </cell>
          <cell r="AC1997">
            <v>1</v>
          </cell>
          <cell r="AD1997" t="str">
            <v/>
          </cell>
          <cell r="AE1997">
            <v>0</v>
          </cell>
          <cell r="AF1997" t="str">
            <v/>
          </cell>
          <cell r="AG1997" t="str">
            <v>12488623</v>
          </cell>
          <cell r="AH1997">
            <v>44986.994872685187</v>
          </cell>
          <cell r="AI1997" t="str">
            <v>N34</v>
          </cell>
          <cell r="AJ1997" t="str">
            <v>F</v>
          </cell>
          <cell r="AK1997" t="str">
            <v>B</v>
          </cell>
        </row>
        <row r="1998">
          <cell r="A1998" t="str">
            <v>12488623829052</v>
          </cell>
          <cell r="B1998" t="str">
            <v>Angefragt 27.02.2023</v>
          </cell>
          <cell r="C1998" t="e">
            <v>#N/A</v>
          </cell>
          <cell r="D1998" t="str">
            <v>EK65</v>
          </cell>
          <cell r="E1998" t="str">
            <v>713703</v>
          </cell>
          <cell r="F1998" t="str">
            <v>E</v>
          </cell>
          <cell r="G1998" t="str">
            <v>12488623</v>
          </cell>
          <cell r="H1998" t="str">
            <v>Halter EP2002 vollst.</v>
          </cell>
          <cell r="I1998">
            <v>38</v>
          </cell>
          <cell r="J1998" t="str">
            <v>Stk</v>
          </cell>
          <cell r="K1998">
            <v>45265</v>
          </cell>
          <cell r="L1998" t="str">
            <v>829052</v>
          </cell>
          <cell r="M1998" t="str">
            <v/>
          </cell>
          <cell r="N1998" t="str">
            <v/>
          </cell>
          <cell r="O1998" t="str">
            <v/>
          </cell>
          <cell r="P1998" t="str">
            <v/>
          </cell>
          <cell r="Q1998" t="str">
            <v/>
          </cell>
          <cell r="R1998" t="str">
            <v/>
          </cell>
          <cell r="S1998" t="str">
            <v/>
          </cell>
          <cell r="T1998" t="str">
            <v/>
          </cell>
          <cell r="U1998" t="str">
            <v/>
          </cell>
          <cell r="V1998" t="str">
            <v>N34</v>
          </cell>
          <cell r="W1998" t="str">
            <v/>
          </cell>
          <cell r="X1998" t="str">
            <v/>
          </cell>
          <cell r="Y1998" t="str">
            <v/>
          </cell>
          <cell r="Z1998" t="str">
            <v/>
          </cell>
          <cell r="AA1998" t="str">
            <v/>
          </cell>
          <cell r="AB1998" t="str">
            <v>PA_4395748-QE.7005-3</v>
          </cell>
          <cell r="AC1998">
            <v>1</v>
          </cell>
          <cell r="AD1998" t="str">
            <v/>
          </cell>
          <cell r="AE1998">
            <v>0</v>
          </cell>
          <cell r="AF1998" t="str">
            <v/>
          </cell>
          <cell r="AG1998" t="str">
            <v>12488623</v>
          </cell>
          <cell r="AH1998">
            <v>44986.994872685187</v>
          </cell>
          <cell r="AI1998" t="str">
            <v>N34</v>
          </cell>
          <cell r="AJ1998" t="str">
            <v>F</v>
          </cell>
          <cell r="AK1998" t="str">
            <v>B</v>
          </cell>
        </row>
        <row r="1999">
          <cell r="A1999" t="str">
            <v>0655171</v>
          </cell>
          <cell r="B1999" t="e">
            <v>#N/A</v>
          </cell>
          <cell r="C1999" t="e">
            <v>#N/A</v>
          </cell>
          <cell r="D1999" t="str">
            <v>EK65</v>
          </cell>
          <cell r="E1999" t="str">
            <v>713784</v>
          </cell>
          <cell r="F1999" t="str">
            <v>B</v>
          </cell>
          <cell r="G1999" t="str">
            <v>0655171</v>
          </cell>
          <cell r="H1999" t="str">
            <v>Distanzplatte</v>
          </cell>
          <cell r="I1999">
            <v>19</v>
          </cell>
          <cell r="J1999" t="str">
            <v>Stk</v>
          </cell>
          <cell r="K1999">
            <v>44989</v>
          </cell>
          <cell r="L1999" t="str">
            <v/>
          </cell>
          <cell r="M1999" t="str">
            <v/>
          </cell>
          <cell r="N1999" t="str">
            <v/>
          </cell>
          <cell r="O1999" t="str">
            <v/>
          </cell>
          <cell r="P1999" t="str">
            <v/>
          </cell>
          <cell r="Q1999" t="str">
            <v/>
          </cell>
          <cell r="R1999" t="str">
            <v/>
          </cell>
          <cell r="S1999" t="str">
            <v/>
          </cell>
          <cell r="T1999" t="str">
            <v/>
          </cell>
          <cell r="U1999" t="str">
            <v/>
          </cell>
          <cell r="V1999" t="str">
            <v>N52</v>
          </cell>
          <cell r="W1999" t="str">
            <v/>
          </cell>
          <cell r="X1999" t="str">
            <v/>
          </cell>
          <cell r="Y1999" t="str">
            <v/>
          </cell>
          <cell r="Z1999" t="str">
            <v/>
          </cell>
          <cell r="AA1999" t="str">
            <v/>
          </cell>
          <cell r="AB1999" t="str">
            <v>PA_2197386-CE.7500-4</v>
          </cell>
          <cell r="AC1999">
            <v>4</v>
          </cell>
          <cell r="AD1999" t="str">
            <v/>
          </cell>
          <cell r="AE1999">
            <v>0</v>
          </cell>
          <cell r="AF1999" t="str">
            <v/>
          </cell>
          <cell r="AG1999" t="str">
            <v>0655171</v>
          </cell>
          <cell r="AH1999">
            <v>44987.834363425929</v>
          </cell>
          <cell r="AI1999" t="str">
            <v>N52</v>
          </cell>
          <cell r="AJ1999" t="str">
            <v>F</v>
          </cell>
          <cell r="AK1999" t="str">
            <v>A</v>
          </cell>
        </row>
        <row r="2000">
          <cell r="A2000" t="str">
            <v>0677000</v>
          </cell>
          <cell r="B2000" t="e">
            <v>#N/A</v>
          </cell>
          <cell r="C2000" t="e">
            <v>#N/A</v>
          </cell>
          <cell r="D2000" t="str">
            <v>EK65</v>
          </cell>
          <cell r="E2000" t="str">
            <v>713986</v>
          </cell>
          <cell r="F2000" t="str">
            <v>B</v>
          </cell>
          <cell r="G2000" t="str">
            <v>0677000</v>
          </cell>
          <cell r="H2000" t="str">
            <v>Beilage 4mm</v>
          </cell>
          <cell r="I2000">
            <v>90</v>
          </cell>
          <cell r="J2000" t="str">
            <v>Stk</v>
          </cell>
          <cell r="K2000">
            <v>44990</v>
          </cell>
          <cell r="L2000" t="str">
            <v/>
          </cell>
          <cell r="M2000" t="str">
            <v/>
          </cell>
          <cell r="N2000" t="str">
            <v/>
          </cell>
          <cell r="O2000" t="str">
            <v/>
          </cell>
          <cell r="P2000" t="str">
            <v/>
          </cell>
          <cell r="Q2000" t="str">
            <v/>
          </cell>
          <cell r="R2000" t="str">
            <v/>
          </cell>
          <cell r="S2000" t="str">
            <v/>
          </cell>
          <cell r="T2000" t="str">
            <v/>
          </cell>
          <cell r="U2000" t="str">
            <v/>
          </cell>
          <cell r="V2000" t="str">
            <v>N52</v>
          </cell>
          <cell r="W2000" t="str">
            <v/>
          </cell>
          <cell r="X2000" t="str">
            <v/>
          </cell>
          <cell r="Y2000" t="str">
            <v/>
          </cell>
          <cell r="Z2000" t="str">
            <v/>
          </cell>
          <cell r="AA2000" t="str">
            <v/>
          </cell>
          <cell r="AB2000" t="str">
            <v>PA_2203838-CF.3034-4P.1</v>
          </cell>
          <cell r="AC2000">
            <v>4</v>
          </cell>
          <cell r="AD2000" t="str">
            <v/>
          </cell>
          <cell r="AE2000">
            <v>0</v>
          </cell>
          <cell r="AF2000" t="str">
            <v/>
          </cell>
          <cell r="AG2000" t="str">
            <v>0677000</v>
          </cell>
          <cell r="AH2000">
            <v>44988.834444444445</v>
          </cell>
          <cell r="AI2000" t="str">
            <v>N52</v>
          </cell>
          <cell r="AJ2000" t="str">
            <v>F</v>
          </cell>
          <cell r="AK2000" t="str">
            <v/>
          </cell>
        </row>
        <row r="2001">
          <cell r="A2001" t="str">
            <v>0711291</v>
          </cell>
          <cell r="B2001" t="e">
            <v>#N/A</v>
          </cell>
          <cell r="C2001" t="e">
            <v>#N/A</v>
          </cell>
          <cell r="D2001" t="str">
            <v>EK65</v>
          </cell>
          <cell r="E2001" t="str">
            <v>713987</v>
          </cell>
          <cell r="F2001" t="str">
            <v>B</v>
          </cell>
          <cell r="G2001" t="str">
            <v>0711291</v>
          </cell>
          <cell r="H2001" t="str">
            <v>Distanzblech 3mm</v>
          </cell>
          <cell r="I2001">
            <v>1</v>
          </cell>
          <cell r="J2001" t="str">
            <v>Stk</v>
          </cell>
          <cell r="K2001">
            <v>44992</v>
          </cell>
          <cell r="L2001" t="str">
            <v/>
          </cell>
          <cell r="M2001" t="str">
            <v/>
          </cell>
          <cell r="N2001" t="str">
            <v/>
          </cell>
          <cell r="O2001" t="str">
            <v/>
          </cell>
          <cell r="P2001" t="str">
            <v/>
          </cell>
          <cell r="Q2001" t="str">
            <v/>
          </cell>
          <cell r="R2001" t="str">
            <v/>
          </cell>
          <cell r="S2001" t="str">
            <v/>
          </cell>
          <cell r="T2001" t="str">
            <v/>
          </cell>
          <cell r="U2001" t="str">
            <v/>
          </cell>
          <cell r="V2001" t="str">
            <v>N52</v>
          </cell>
          <cell r="W2001" t="str">
            <v/>
          </cell>
          <cell r="X2001" t="str">
            <v/>
          </cell>
          <cell r="Y2001" t="str">
            <v/>
          </cell>
          <cell r="Z2001" t="str">
            <v/>
          </cell>
          <cell r="AA2001" t="str">
            <v/>
          </cell>
          <cell r="AB2001" t="str">
            <v>PA_2163955-CC.7500-4</v>
          </cell>
          <cell r="AC2001">
            <v>4</v>
          </cell>
          <cell r="AD2001" t="str">
            <v/>
          </cell>
          <cell r="AE2001">
            <v>0</v>
          </cell>
          <cell r="AF2001" t="str">
            <v/>
          </cell>
          <cell r="AG2001" t="str">
            <v>0711291</v>
          </cell>
          <cell r="AH2001">
            <v>44988.834479166668</v>
          </cell>
          <cell r="AI2001" t="str">
            <v>N52</v>
          </cell>
          <cell r="AJ2001" t="str">
            <v>F</v>
          </cell>
          <cell r="AK2001" t="str">
            <v/>
          </cell>
        </row>
        <row r="2002">
          <cell r="A2002" t="str">
            <v>0736049</v>
          </cell>
          <cell r="B2002">
            <v>0</v>
          </cell>
          <cell r="C2002" t="e">
            <v>#N/A</v>
          </cell>
          <cell r="D2002" t="str">
            <v>EK65</v>
          </cell>
          <cell r="E2002" t="str">
            <v>713988</v>
          </cell>
          <cell r="F2002" t="str">
            <v>B</v>
          </cell>
          <cell r="G2002" t="str">
            <v>0736049</v>
          </cell>
          <cell r="H2002" t="str">
            <v>Dehnhuelse 20mm M12</v>
          </cell>
          <cell r="I2002">
            <v>80</v>
          </cell>
          <cell r="J2002" t="str">
            <v>Stk</v>
          </cell>
          <cell r="K2002">
            <v>44990</v>
          </cell>
          <cell r="L2002" t="str">
            <v/>
          </cell>
          <cell r="M2002" t="str">
            <v/>
          </cell>
          <cell r="N2002" t="str">
            <v/>
          </cell>
          <cell r="O2002" t="str">
            <v/>
          </cell>
          <cell r="P2002" t="str">
            <v/>
          </cell>
          <cell r="Q2002" t="str">
            <v/>
          </cell>
          <cell r="R2002" t="str">
            <v/>
          </cell>
          <cell r="S2002" t="str">
            <v/>
          </cell>
          <cell r="T2002" t="str">
            <v/>
          </cell>
          <cell r="U2002" t="str">
            <v/>
          </cell>
          <cell r="V2002" t="str">
            <v>N52</v>
          </cell>
          <cell r="W2002" t="str">
            <v/>
          </cell>
          <cell r="X2002" t="str">
            <v/>
          </cell>
          <cell r="Y2002" t="str">
            <v/>
          </cell>
          <cell r="Z2002" t="str">
            <v/>
          </cell>
          <cell r="AA2002" t="str">
            <v/>
          </cell>
          <cell r="AB2002" t="str">
            <v>PA_2177795-TB.7500-4</v>
          </cell>
          <cell r="AC2002">
            <v>4</v>
          </cell>
          <cell r="AD2002" t="str">
            <v/>
          </cell>
          <cell r="AE2002">
            <v>0</v>
          </cell>
          <cell r="AF2002" t="str">
            <v/>
          </cell>
          <cell r="AG2002" t="str">
            <v>0736049</v>
          </cell>
          <cell r="AH2002">
            <v>44988.83452546296</v>
          </cell>
          <cell r="AI2002" t="str">
            <v>N52</v>
          </cell>
          <cell r="AJ2002" t="str">
            <v>F</v>
          </cell>
          <cell r="AK2002" t="str">
            <v/>
          </cell>
        </row>
        <row r="2003">
          <cell r="A2003" t="str">
            <v>1029557</v>
          </cell>
          <cell r="B2003" t="e">
            <v>#N/A</v>
          </cell>
          <cell r="C2003" t="e">
            <v>#N/A</v>
          </cell>
          <cell r="D2003" t="str">
            <v>EK65</v>
          </cell>
          <cell r="E2003" t="str">
            <v>713989</v>
          </cell>
          <cell r="F2003" t="str">
            <v>B</v>
          </cell>
          <cell r="G2003" t="str">
            <v>1029557</v>
          </cell>
          <cell r="H2003" t="str">
            <v>Halter</v>
          </cell>
          <cell r="I2003">
            <v>14</v>
          </cell>
          <cell r="J2003" t="str">
            <v>Stk</v>
          </cell>
          <cell r="K2003">
            <v>44992</v>
          </cell>
          <cell r="L2003" t="str">
            <v/>
          </cell>
          <cell r="M2003" t="str">
            <v/>
          </cell>
          <cell r="N2003" t="str">
            <v/>
          </cell>
          <cell r="O2003" t="str">
            <v/>
          </cell>
          <cell r="P2003" t="str">
            <v/>
          </cell>
          <cell r="Q2003" t="str">
            <v/>
          </cell>
          <cell r="R2003" t="str">
            <v/>
          </cell>
          <cell r="S2003" t="str">
            <v/>
          </cell>
          <cell r="T2003" t="str">
            <v/>
          </cell>
          <cell r="U2003" t="str">
            <v/>
          </cell>
          <cell r="V2003" t="str">
            <v>N52</v>
          </cell>
          <cell r="W2003" t="str">
            <v/>
          </cell>
          <cell r="X2003" t="str">
            <v/>
          </cell>
          <cell r="Y2003" t="str">
            <v/>
          </cell>
          <cell r="Z2003" t="str">
            <v/>
          </cell>
          <cell r="AA2003" t="str">
            <v/>
          </cell>
          <cell r="AB2003" t="str">
            <v>PA_2241330-TA.7501-2</v>
          </cell>
          <cell r="AC2003">
            <v>4</v>
          </cell>
          <cell r="AD2003" t="str">
            <v/>
          </cell>
          <cell r="AE2003">
            <v>0</v>
          </cell>
          <cell r="AF2003" t="str">
            <v/>
          </cell>
          <cell r="AG2003" t="str">
            <v>1029557</v>
          </cell>
          <cell r="AH2003">
            <v>44988.834861111114</v>
          </cell>
          <cell r="AI2003" t="str">
            <v>N52</v>
          </cell>
          <cell r="AJ2003" t="str">
            <v>F</v>
          </cell>
          <cell r="AK2003" t="str">
            <v/>
          </cell>
        </row>
        <row r="2004">
          <cell r="A2004" t="str">
            <v>1126129</v>
          </cell>
          <cell r="B2004" t="e">
            <v>#N/A</v>
          </cell>
          <cell r="C2004" t="e">
            <v>#N/A</v>
          </cell>
          <cell r="D2004" t="str">
            <v>EK65</v>
          </cell>
          <cell r="E2004" t="str">
            <v>713990</v>
          </cell>
          <cell r="F2004" t="str">
            <v>B</v>
          </cell>
          <cell r="G2004" t="str">
            <v>1126129</v>
          </cell>
          <cell r="H2004" t="str">
            <v>Schlauchhalter 3er Oberteil</v>
          </cell>
          <cell r="I2004">
            <v>1</v>
          </cell>
          <cell r="J2004" t="str">
            <v>Stk</v>
          </cell>
          <cell r="K2004">
            <v>44990</v>
          </cell>
          <cell r="L2004" t="str">
            <v/>
          </cell>
          <cell r="M2004" t="str">
            <v/>
          </cell>
          <cell r="N2004" t="str">
            <v/>
          </cell>
          <cell r="O2004" t="str">
            <v/>
          </cell>
          <cell r="P2004" t="str">
            <v/>
          </cell>
          <cell r="Q2004" t="str">
            <v/>
          </cell>
          <cell r="R2004" t="str">
            <v/>
          </cell>
          <cell r="S2004" t="str">
            <v/>
          </cell>
          <cell r="T2004" t="str">
            <v/>
          </cell>
          <cell r="U2004" t="str">
            <v/>
          </cell>
          <cell r="V2004" t="str">
            <v>N52</v>
          </cell>
          <cell r="W2004" t="str">
            <v/>
          </cell>
          <cell r="X2004" t="str">
            <v/>
          </cell>
          <cell r="Y2004" t="str">
            <v/>
          </cell>
          <cell r="Z2004" t="str">
            <v/>
          </cell>
          <cell r="AA2004" t="str">
            <v/>
          </cell>
          <cell r="AB2004" t="str">
            <v>PA_2211909-UA.7500-3</v>
          </cell>
          <cell r="AC2004">
            <v>4</v>
          </cell>
          <cell r="AD2004" t="str">
            <v/>
          </cell>
          <cell r="AE2004">
            <v>0</v>
          </cell>
          <cell r="AF2004" t="str">
            <v/>
          </cell>
          <cell r="AG2004" t="str">
            <v>1126129</v>
          </cell>
          <cell r="AH2004">
            <v>44988.834965277776</v>
          </cell>
          <cell r="AI2004" t="str">
            <v>N52</v>
          </cell>
          <cell r="AJ2004" t="str">
            <v>F</v>
          </cell>
          <cell r="AK2004" t="str">
            <v/>
          </cell>
        </row>
        <row r="2005">
          <cell r="A2005" t="str">
            <v>1126130</v>
          </cell>
          <cell r="B2005" t="e">
            <v>#N/A</v>
          </cell>
          <cell r="C2005" t="e">
            <v>#N/A</v>
          </cell>
          <cell r="D2005" t="str">
            <v>EK65</v>
          </cell>
          <cell r="E2005" t="str">
            <v>713991</v>
          </cell>
          <cell r="F2005" t="str">
            <v>B</v>
          </cell>
          <cell r="G2005" t="str">
            <v>1126130</v>
          </cell>
          <cell r="H2005" t="str">
            <v>Schlauchhalter 3er Unterteil</v>
          </cell>
          <cell r="I2005">
            <v>5</v>
          </cell>
          <cell r="J2005" t="str">
            <v>Stk</v>
          </cell>
          <cell r="K2005">
            <v>44990</v>
          </cell>
          <cell r="L2005" t="str">
            <v/>
          </cell>
          <cell r="M2005" t="str">
            <v/>
          </cell>
          <cell r="N2005" t="str">
            <v/>
          </cell>
          <cell r="O2005" t="str">
            <v/>
          </cell>
          <cell r="P2005" t="str">
            <v/>
          </cell>
          <cell r="Q2005" t="str">
            <v/>
          </cell>
          <cell r="R2005" t="str">
            <v/>
          </cell>
          <cell r="S2005" t="str">
            <v/>
          </cell>
          <cell r="T2005" t="str">
            <v/>
          </cell>
          <cell r="U2005" t="str">
            <v/>
          </cell>
          <cell r="V2005" t="str">
            <v>N52</v>
          </cell>
          <cell r="W2005" t="str">
            <v/>
          </cell>
          <cell r="X2005" t="str">
            <v/>
          </cell>
          <cell r="Y2005" t="str">
            <v/>
          </cell>
          <cell r="Z2005" t="str">
            <v/>
          </cell>
          <cell r="AA2005" t="str">
            <v/>
          </cell>
          <cell r="AB2005" t="str">
            <v>PA_2211911-UA.7500-3</v>
          </cell>
          <cell r="AC2005">
            <v>4</v>
          </cell>
          <cell r="AD2005" t="str">
            <v/>
          </cell>
          <cell r="AE2005">
            <v>0</v>
          </cell>
          <cell r="AF2005" t="str">
            <v/>
          </cell>
          <cell r="AG2005" t="str">
            <v>1126130</v>
          </cell>
          <cell r="AH2005">
            <v>44988.834965277776</v>
          </cell>
          <cell r="AI2005" t="str">
            <v>N52</v>
          </cell>
          <cell r="AJ2005" t="str">
            <v>F</v>
          </cell>
          <cell r="AK2005" t="str">
            <v/>
          </cell>
        </row>
        <row r="2006">
          <cell r="A2006" t="str">
            <v>0416609</v>
          </cell>
          <cell r="B2006" t="e">
            <v>#N/A</v>
          </cell>
          <cell r="C2006" t="e">
            <v>#N/A</v>
          </cell>
          <cell r="D2006" t="str">
            <v>EK65</v>
          </cell>
          <cell r="E2006" t="str">
            <v>714000</v>
          </cell>
          <cell r="F2006" t="str">
            <v>B</v>
          </cell>
          <cell r="G2006" t="str">
            <v>0416609</v>
          </cell>
          <cell r="H2006" t="str">
            <v>Beilage</v>
          </cell>
          <cell r="I2006">
            <v>100</v>
          </cell>
          <cell r="J2006" t="str">
            <v>Stk</v>
          </cell>
          <cell r="K2006">
            <v>45001</v>
          </cell>
          <cell r="L2006" t="str">
            <v/>
          </cell>
          <cell r="M2006" t="str">
            <v/>
          </cell>
          <cell r="N2006" t="str">
            <v/>
          </cell>
          <cell r="O2006" t="str">
            <v/>
          </cell>
          <cell r="P2006" t="str">
            <v/>
          </cell>
          <cell r="Q2006" t="str">
            <v/>
          </cell>
          <cell r="R2006" t="str">
            <v/>
          </cell>
          <cell r="S2006" t="str">
            <v/>
          </cell>
          <cell r="T2006" t="str">
            <v/>
          </cell>
          <cell r="U2006" t="str">
            <v/>
          </cell>
          <cell r="V2006" t="str">
            <v>N52</v>
          </cell>
          <cell r="W2006" t="str">
            <v/>
          </cell>
          <cell r="X2006" t="str">
            <v/>
          </cell>
          <cell r="Y2006" t="str">
            <v/>
          </cell>
          <cell r="Z2006" t="str">
            <v/>
          </cell>
          <cell r="AA2006" t="str">
            <v/>
          </cell>
          <cell r="AB2006" t="str">
            <v>PA_2161156-CC.7500-3</v>
          </cell>
          <cell r="AC2006">
            <v>1</v>
          </cell>
          <cell r="AD2006" t="str">
            <v/>
          </cell>
          <cell r="AE2006">
            <v>0</v>
          </cell>
          <cell r="AF2006" t="str">
            <v/>
          </cell>
          <cell r="AG2006" t="str">
            <v>0416609</v>
          </cell>
          <cell r="AH2006">
            <v>44988.861307870371</v>
          </cell>
          <cell r="AI2006" t="str">
            <v>N52</v>
          </cell>
          <cell r="AJ2006" t="str">
            <v>F</v>
          </cell>
          <cell r="AK2006" t="str">
            <v>B</v>
          </cell>
        </row>
        <row r="2007">
          <cell r="A2007" t="str">
            <v>0735900</v>
          </cell>
          <cell r="B2007" t="e">
            <v>#N/A</v>
          </cell>
          <cell r="C2007" t="e">
            <v>#N/A</v>
          </cell>
          <cell r="D2007" t="str">
            <v>EK65</v>
          </cell>
          <cell r="E2007" t="str">
            <v>714151</v>
          </cell>
          <cell r="F2007" t="str">
            <v>B</v>
          </cell>
          <cell r="G2007" t="str">
            <v>0735900</v>
          </cell>
          <cell r="H2007" t="str">
            <v>Scheibe</v>
          </cell>
          <cell r="I2007">
            <v>128</v>
          </cell>
          <cell r="J2007" t="str">
            <v>Stk</v>
          </cell>
          <cell r="K2007">
            <v>44993</v>
          </cell>
          <cell r="L2007" t="str">
            <v/>
          </cell>
          <cell r="M2007" t="str">
            <v/>
          </cell>
          <cell r="N2007" t="str">
            <v/>
          </cell>
          <cell r="O2007" t="str">
            <v/>
          </cell>
          <cell r="P2007" t="str">
            <v/>
          </cell>
          <cell r="Q2007" t="str">
            <v/>
          </cell>
          <cell r="R2007" t="str">
            <v/>
          </cell>
          <cell r="S2007" t="str">
            <v/>
          </cell>
          <cell r="T2007" t="str">
            <v/>
          </cell>
          <cell r="U2007" t="str">
            <v/>
          </cell>
          <cell r="V2007" t="str">
            <v>N52</v>
          </cell>
          <cell r="W2007" t="str">
            <v/>
          </cell>
          <cell r="X2007" t="str">
            <v/>
          </cell>
          <cell r="Y2007" t="str">
            <v/>
          </cell>
          <cell r="Z2007" t="str">
            <v/>
          </cell>
          <cell r="AA2007" t="str">
            <v/>
          </cell>
          <cell r="AB2007" t="str">
            <v>PA_2169005-UA.7500-4</v>
          </cell>
          <cell r="AC2007">
            <v>4</v>
          </cell>
          <cell r="AD2007" t="str">
            <v/>
          </cell>
          <cell r="AE2007">
            <v>0</v>
          </cell>
          <cell r="AF2007" t="str">
            <v/>
          </cell>
          <cell r="AG2007" t="str">
            <v>0735900</v>
          </cell>
          <cell r="AH2007">
            <v>44991.834444444445</v>
          </cell>
          <cell r="AI2007" t="str">
            <v>N52</v>
          </cell>
          <cell r="AJ2007" t="str">
            <v>F</v>
          </cell>
          <cell r="AK2007" t="str">
            <v/>
          </cell>
        </row>
        <row r="2008">
          <cell r="A2008" t="str">
            <v>0416610</v>
          </cell>
          <cell r="B2008" t="e">
            <v>#N/A</v>
          </cell>
          <cell r="C2008" t="e">
            <v>#N/A</v>
          </cell>
          <cell r="D2008" t="str">
            <v>EK65</v>
          </cell>
          <cell r="E2008" t="str">
            <v>714176</v>
          </cell>
          <cell r="F2008" t="str">
            <v>B</v>
          </cell>
          <cell r="G2008" t="str">
            <v>0416610</v>
          </cell>
          <cell r="H2008" t="str">
            <v>Beilage</v>
          </cell>
          <cell r="I2008">
            <v>30</v>
          </cell>
          <cell r="J2008" t="str">
            <v>Stk</v>
          </cell>
          <cell r="K2008">
            <v>45001</v>
          </cell>
          <cell r="L2008" t="str">
            <v/>
          </cell>
          <cell r="M2008" t="str">
            <v/>
          </cell>
          <cell r="N2008" t="str">
            <v/>
          </cell>
          <cell r="O2008" t="str">
            <v/>
          </cell>
          <cell r="P2008" t="str">
            <v/>
          </cell>
          <cell r="Q2008" t="str">
            <v/>
          </cell>
          <cell r="R2008" t="str">
            <v/>
          </cell>
          <cell r="S2008" t="str">
            <v/>
          </cell>
          <cell r="T2008" t="str">
            <v/>
          </cell>
          <cell r="U2008" t="str">
            <v/>
          </cell>
          <cell r="V2008" t="str">
            <v>N52</v>
          </cell>
          <cell r="W2008" t="str">
            <v/>
          </cell>
          <cell r="X2008" t="str">
            <v/>
          </cell>
          <cell r="Y2008" t="str">
            <v/>
          </cell>
          <cell r="Z2008" t="str">
            <v/>
          </cell>
          <cell r="AA2008" t="str">
            <v/>
          </cell>
          <cell r="AB2008" t="str">
            <v>PA_2161160-CC.7500-3</v>
          </cell>
          <cell r="AC2008">
            <v>1</v>
          </cell>
          <cell r="AD2008" t="str">
            <v/>
          </cell>
          <cell r="AE2008">
            <v>0</v>
          </cell>
          <cell r="AF2008" t="str">
            <v/>
          </cell>
          <cell r="AG2008" t="str">
            <v>0416610</v>
          </cell>
          <cell r="AH2008">
            <v>44991.864108796297</v>
          </cell>
          <cell r="AI2008" t="str">
            <v>N52</v>
          </cell>
          <cell r="AJ2008" t="str">
            <v>F</v>
          </cell>
          <cell r="AK2008" t="str">
            <v>B</v>
          </cell>
        </row>
        <row r="2009">
          <cell r="A2009" t="str">
            <v>0070041820541</v>
          </cell>
          <cell r="B2009" t="e">
            <v>#N/A</v>
          </cell>
          <cell r="C2009" t="e">
            <v>#N/A</v>
          </cell>
          <cell r="D2009" t="str">
            <v>EK65</v>
          </cell>
          <cell r="E2009" t="str">
            <v>715165</v>
          </cell>
          <cell r="F2009" t="str">
            <v>E</v>
          </cell>
          <cell r="G2009" t="str">
            <v>0070041</v>
          </cell>
          <cell r="H2009" t="str">
            <v>Distanzhuelse</v>
          </cell>
          <cell r="I2009">
            <v>616</v>
          </cell>
          <cell r="J2009" t="str">
            <v>Stk</v>
          </cell>
          <cell r="K2009">
            <v>45166</v>
          </cell>
          <cell r="L2009" t="str">
            <v>820541</v>
          </cell>
          <cell r="M2009" t="str">
            <v/>
          </cell>
          <cell r="N2009" t="str">
            <v/>
          </cell>
          <cell r="O2009" t="str">
            <v/>
          </cell>
          <cell r="P2009" t="str">
            <v/>
          </cell>
          <cell r="Q2009" t="str">
            <v/>
          </cell>
          <cell r="R2009" t="str">
            <v/>
          </cell>
          <cell r="S2009" t="str">
            <v/>
          </cell>
          <cell r="T2009" t="str">
            <v/>
          </cell>
          <cell r="U2009" t="str">
            <v/>
          </cell>
          <cell r="V2009" t="str">
            <v>N52</v>
          </cell>
          <cell r="W2009" t="str">
            <v/>
          </cell>
          <cell r="X2009" t="str">
            <v/>
          </cell>
          <cell r="Y2009" t="str">
            <v/>
          </cell>
          <cell r="Z2009" t="str">
            <v/>
          </cell>
          <cell r="AA2009" t="str">
            <v/>
          </cell>
          <cell r="AB2009" t="str">
            <v>PA_2085719-SF.4014-4</v>
          </cell>
          <cell r="AC2009">
            <v>1</v>
          </cell>
          <cell r="AD2009" t="str">
            <v/>
          </cell>
          <cell r="AE2009">
            <v>0</v>
          </cell>
          <cell r="AF2009" t="str">
            <v/>
          </cell>
          <cell r="AG2009" t="str">
            <v>0070041</v>
          </cell>
          <cell r="AH2009">
            <v>44991.898587962962</v>
          </cell>
          <cell r="AI2009" t="str">
            <v>N52</v>
          </cell>
          <cell r="AJ2009" t="str">
            <v>F</v>
          </cell>
          <cell r="AK2009" t="str">
            <v/>
          </cell>
        </row>
        <row r="2010">
          <cell r="A2010" t="str">
            <v>1243953820531</v>
          </cell>
          <cell r="B2010" t="str">
            <v>Übergabe Task Force</v>
          </cell>
          <cell r="C2010" t="e">
            <v>#N/A</v>
          </cell>
          <cell r="D2010" t="str">
            <v>EK65</v>
          </cell>
          <cell r="E2010" t="str">
            <v>715407</v>
          </cell>
          <cell r="F2010" t="str">
            <v>E</v>
          </cell>
          <cell r="G2010" t="str">
            <v>1243953</v>
          </cell>
          <cell r="H2010" t="str">
            <v>Querblech</v>
          </cell>
          <cell r="I2010">
            <v>1</v>
          </cell>
          <cell r="J2010" t="str">
            <v>Stk</v>
          </cell>
          <cell r="K2010">
            <v>45208</v>
          </cell>
          <cell r="L2010" t="str">
            <v>820531</v>
          </cell>
          <cell r="M2010" t="str">
            <v/>
          </cell>
          <cell r="N2010" t="str">
            <v/>
          </cell>
          <cell r="O2010" t="str">
            <v/>
          </cell>
          <cell r="P2010" t="str">
            <v/>
          </cell>
          <cell r="Q2010" t="str">
            <v/>
          </cell>
          <cell r="R2010" t="str">
            <v/>
          </cell>
          <cell r="S2010" t="str">
            <v/>
          </cell>
          <cell r="T2010" t="str">
            <v/>
          </cell>
          <cell r="U2010" t="str">
            <v/>
          </cell>
          <cell r="V2010" t="str">
            <v>N52</v>
          </cell>
          <cell r="W2010" t="str">
            <v/>
          </cell>
          <cell r="X2010" t="str">
            <v/>
          </cell>
          <cell r="Y2010" t="str">
            <v/>
          </cell>
          <cell r="Z2010" t="str">
            <v/>
          </cell>
          <cell r="AA2010" t="str">
            <v/>
          </cell>
          <cell r="AB2010" t="str">
            <v>PA_2313145-UA.3046-3</v>
          </cell>
          <cell r="AC2010">
            <v>1</v>
          </cell>
          <cell r="AD2010" t="str">
            <v/>
          </cell>
          <cell r="AE2010">
            <v>0</v>
          </cell>
          <cell r="AF2010" t="str">
            <v/>
          </cell>
          <cell r="AG2010" t="str">
            <v>1243953</v>
          </cell>
          <cell r="AH2010">
            <v>44992.461493055554</v>
          </cell>
          <cell r="AI2010" t="str">
            <v>N52</v>
          </cell>
          <cell r="AJ2010" t="str">
            <v>F</v>
          </cell>
          <cell r="AK2010" t="str">
            <v>A</v>
          </cell>
        </row>
        <row r="2011">
          <cell r="A2011" t="str">
            <v>2015400</v>
          </cell>
          <cell r="B2011" t="e">
            <v>#N/A</v>
          </cell>
          <cell r="C2011" t="e">
            <v>#N/A</v>
          </cell>
          <cell r="D2011" t="str">
            <v>EK65</v>
          </cell>
          <cell r="E2011" t="str">
            <v>715415</v>
          </cell>
          <cell r="F2011" t="str">
            <v>B</v>
          </cell>
          <cell r="G2011" t="str">
            <v>2015400</v>
          </cell>
          <cell r="H2011" t="str">
            <v>Erdungsfahne Gravur M8</v>
          </cell>
          <cell r="I2011">
            <v>200</v>
          </cell>
          <cell r="J2011" t="str">
            <v>Stk</v>
          </cell>
          <cell r="K2011">
            <v>45021</v>
          </cell>
          <cell r="L2011" t="str">
            <v/>
          </cell>
          <cell r="M2011" t="str">
            <v/>
          </cell>
          <cell r="N2011" t="str">
            <v/>
          </cell>
          <cell r="O2011" t="str">
            <v/>
          </cell>
          <cell r="P2011" t="str">
            <v/>
          </cell>
          <cell r="Q2011" t="str">
            <v/>
          </cell>
          <cell r="R2011" t="str">
            <v/>
          </cell>
          <cell r="S2011" t="str">
            <v/>
          </cell>
          <cell r="T2011" t="str">
            <v/>
          </cell>
          <cell r="U2011" t="str">
            <v/>
          </cell>
          <cell r="V2011" t="str">
            <v>N38</v>
          </cell>
          <cell r="W2011" t="str">
            <v/>
          </cell>
          <cell r="X2011" t="str">
            <v/>
          </cell>
          <cell r="Y2011" t="str">
            <v/>
          </cell>
          <cell r="Z2011" t="str">
            <v/>
          </cell>
          <cell r="AA2011" t="str">
            <v/>
          </cell>
          <cell r="AB2011" t="str">
            <v>PA_2313372-UA.6005-3P.2</v>
          </cell>
          <cell r="AC2011">
            <v>4</v>
          </cell>
          <cell r="AD2011" t="str">
            <v/>
          </cell>
          <cell r="AE2011">
            <v>0</v>
          </cell>
          <cell r="AF2011" t="str">
            <v/>
          </cell>
          <cell r="AG2011" t="str">
            <v>2015400</v>
          </cell>
          <cell r="AH2011">
            <v>44992.835740740738</v>
          </cell>
          <cell r="AI2011" t="str">
            <v>N38</v>
          </cell>
          <cell r="AJ2011" t="str">
            <v>F</v>
          </cell>
          <cell r="AK2011" t="str">
            <v/>
          </cell>
        </row>
        <row r="2012">
          <cell r="A2012" t="str">
            <v>0420840831008</v>
          </cell>
          <cell r="B2012">
            <v>0</v>
          </cell>
          <cell r="C2012" t="e">
            <v>#N/A</v>
          </cell>
          <cell r="D2012" t="str">
            <v>EK65</v>
          </cell>
          <cell r="E2012" t="str">
            <v>715625</v>
          </cell>
          <cell r="F2012" t="str">
            <v>E</v>
          </cell>
          <cell r="G2012" t="str">
            <v>0420840</v>
          </cell>
          <cell r="H2012" t="str">
            <v>Halter Lichtgitter</v>
          </cell>
          <cell r="I2012">
            <v>1</v>
          </cell>
          <cell r="J2012" t="str">
            <v>Stk</v>
          </cell>
          <cell r="K2012">
            <v>44973</v>
          </cell>
          <cell r="L2012" t="str">
            <v>831008</v>
          </cell>
          <cell r="M2012" t="str">
            <v/>
          </cell>
          <cell r="N2012" t="str">
            <v/>
          </cell>
          <cell r="O2012" t="str">
            <v/>
          </cell>
          <cell r="P2012" t="str">
            <v/>
          </cell>
          <cell r="Q2012" t="str">
            <v/>
          </cell>
          <cell r="R2012" t="str">
            <v/>
          </cell>
          <cell r="S2012" t="str">
            <v/>
          </cell>
          <cell r="T2012" t="str">
            <v/>
          </cell>
          <cell r="U2012" t="str">
            <v/>
          </cell>
          <cell r="V2012" t="str">
            <v>N32</v>
          </cell>
          <cell r="W2012" t="str">
            <v>2.1</v>
          </cell>
          <cell r="X2012" t="str">
            <v/>
          </cell>
          <cell r="Y2012" t="str">
            <v/>
          </cell>
          <cell r="Z2012" t="str">
            <v/>
          </cell>
          <cell r="AA2012" t="str">
            <v/>
          </cell>
          <cell r="AB2012" t="str">
            <v>PA_2179873-CD.7500-4</v>
          </cell>
          <cell r="AC2012">
            <v>1</v>
          </cell>
          <cell r="AD2012" t="str">
            <v/>
          </cell>
          <cell r="AE2012">
            <v>0</v>
          </cell>
          <cell r="AF2012" t="str">
            <v/>
          </cell>
          <cell r="AG2012" t="str">
            <v>0420840</v>
          </cell>
          <cell r="AH2012">
            <v>44992.906006944446</v>
          </cell>
          <cell r="AI2012" t="str">
            <v>N32</v>
          </cell>
          <cell r="AJ2012" t="str">
            <v>F</v>
          </cell>
          <cell r="AK2012" t="str">
            <v/>
          </cell>
        </row>
        <row r="2013">
          <cell r="A2013" t="str">
            <v>0421025831008</v>
          </cell>
          <cell r="B2013">
            <v>0</v>
          </cell>
          <cell r="C2013" t="e">
            <v>#N/A</v>
          </cell>
          <cell r="D2013" t="str">
            <v>EK65</v>
          </cell>
          <cell r="E2013" t="str">
            <v>715627</v>
          </cell>
          <cell r="F2013" t="str">
            <v>E</v>
          </cell>
          <cell r="G2013" t="str">
            <v>0421025</v>
          </cell>
          <cell r="H2013" t="str">
            <v>Abdeckung</v>
          </cell>
          <cell r="I2013">
            <v>1</v>
          </cell>
          <cell r="J2013" t="str">
            <v>Stk</v>
          </cell>
          <cell r="K2013">
            <v>44973</v>
          </cell>
          <cell r="L2013" t="str">
            <v>831008</v>
          </cell>
          <cell r="M2013" t="str">
            <v/>
          </cell>
          <cell r="N2013" t="str">
            <v/>
          </cell>
          <cell r="O2013" t="str">
            <v/>
          </cell>
          <cell r="P2013" t="str">
            <v/>
          </cell>
          <cell r="Q2013" t="str">
            <v/>
          </cell>
          <cell r="R2013" t="str">
            <v/>
          </cell>
          <cell r="S2013" t="str">
            <v/>
          </cell>
          <cell r="T2013" t="str">
            <v/>
          </cell>
          <cell r="U2013" t="str">
            <v/>
          </cell>
          <cell r="V2013" t="str">
            <v>N52</v>
          </cell>
          <cell r="W2013" t="str">
            <v>2.1</v>
          </cell>
          <cell r="X2013" t="str">
            <v/>
          </cell>
          <cell r="Y2013" t="str">
            <v/>
          </cell>
          <cell r="Z2013" t="str">
            <v/>
          </cell>
          <cell r="AA2013" t="str">
            <v/>
          </cell>
          <cell r="AB2013" t="str">
            <v>PA_2171711-CD.7500-3</v>
          </cell>
          <cell r="AC2013">
            <v>1</v>
          </cell>
          <cell r="AD2013" t="str">
            <v/>
          </cell>
          <cell r="AE2013">
            <v>0</v>
          </cell>
          <cell r="AF2013" t="str">
            <v/>
          </cell>
          <cell r="AG2013" t="str">
            <v>0421025</v>
          </cell>
          <cell r="AH2013">
            <v>44992.906030092592</v>
          </cell>
          <cell r="AI2013" t="str">
            <v>N52</v>
          </cell>
          <cell r="AJ2013" t="str">
            <v>F</v>
          </cell>
          <cell r="AK2013" t="str">
            <v>A</v>
          </cell>
        </row>
        <row r="2014">
          <cell r="A2014" t="str">
            <v>0421036831008</v>
          </cell>
          <cell r="B2014">
            <v>0</v>
          </cell>
          <cell r="C2014" t="e">
            <v>#N/A</v>
          </cell>
          <cell r="D2014" t="str">
            <v>EK65</v>
          </cell>
          <cell r="E2014" t="str">
            <v>715629</v>
          </cell>
          <cell r="F2014" t="str">
            <v>E</v>
          </cell>
          <cell r="G2014" t="str">
            <v>0421036</v>
          </cell>
          <cell r="H2014" t="str">
            <v>Abdeckung</v>
          </cell>
          <cell r="I2014">
            <v>1</v>
          </cell>
          <cell r="J2014" t="str">
            <v>Stk</v>
          </cell>
          <cell r="K2014">
            <v>44973</v>
          </cell>
          <cell r="L2014" t="str">
            <v>831008</v>
          </cell>
          <cell r="M2014" t="str">
            <v/>
          </cell>
          <cell r="N2014" t="str">
            <v/>
          </cell>
          <cell r="O2014" t="str">
            <v/>
          </cell>
          <cell r="P2014" t="str">
            <v/>
          </cell>
          <cell r="Q2014" t="str">
            <v/>
          </cell>
          <cell r="R2014" t="str">
            <v/>
          </cell>
          <cell r="S2014" t="str">
            <v/>
          </cell>
          <cell r="T2014" t="str">
            <v/>
          </cell>
          <cell r="U2014" t="str">
            <v/>
          </cell>
          <cell r="V2014" t="str">
            <v>N52</v>
          </cell>
          <cell r="W2014" t="str">
            <v>2.1</v>
          </cell>
          <cell r="X2014" t="str">
            <v/>
          </cell>
          <cell r="Y2014" t="str">
            <v/>
          </cell>
          <cell r="Z2014" t="str">
            <v/>
          </cell>
          <cell r="AA2014" t="str">
            <v/>
          </cell>
          <cell r="AB2014" t="str">
            <v>PA_2172794-CD.7500-3</v>
          </cell>
          <cell r="AC2014">
            <v>1</v>
          </cell>
          <cell r="AD2014" t="str">
            <v/>
          </cell>
          <cell r="AE2014">
            <v>0</v>
          </cell>
          <cell r="AF2014" t="str">
            <v/>
          </cell>
          <cell r="AG2014" t="str">
            <v>0421036</v>
          </cell>
          <cell r="AH2014">
            <v>44992.906030092592</v>
          </cell>
          <cell r="AI2014" t="str">
            <v>N52</v>
          </cell>
          <cell r="AJ2014" t="str">
            <v>F</v>
          </cell>
          <cell r="AK2014" t="str">
            <v/>
          </cell>
        </row>
        <row r="2015">
          <cell r="A2015" t="str">
            <v>12644808820541</v>
          </cell>
          <cell r="B2015" t="e">
            <v>#N/A</v>
          </cell>
          <cell r="C2015" t="e">
            <v>#N/A</v>
          </cell>
          <cell r="D2015" t="str">
            <v>EK65</v>
          </cell>
          <cell r="E2015" t="str">
            <v>715635</v>
          </cell>
          <cell r="F2015" t="str">
            <v>E</v>
          </cell>
          <cell r="G2015" t="str">
            <v>12644808</v>
          </cell>
          <cell r="H2015" t="str">
            <v>E-Container Indusi kpl.</v>
          </cell>
          <cell r="I2015">
            <v>44</v>
          </cell>
          <cell r="J2015" t="str">
            <v>Stk</v>
          </cell>
          <cell r="K2015">
            <v>45166</v>
          </cell>
          <cell r="L2015" t="str">
            <v>820541</v>
          </cell>
          <cell r="M2015" t="str">
            <v/>
          </cell>
          <cell r="N2015" t="str">
            <v/>
          </cell>
          <cell r="O2015" t="str">
            <v/>
          </cell>
          <cell r="P2015" t="str">
            <v/>
          </cell>
          <cell r="Q2015" t="str">
            <v/>
          </cell>
          <cell r="R2015" t="str">
            <v/>
          </cell>
          <cell r="S2015" t="str">
            <v/>
          </cell>
          <cell r="T2015" t="str">
            <v/>
          </cell>
          <cell r="U2015" t="str">
            <v/>
          </cell>
          <cell r="V2015" t="str">
            <v>I24</v>
          </cell>
          <cell r="W2015" t="str">
            <v/>
          </cell>
          <cell r="X2015" t="str">
            <v/>
          </cell>
          <cell r="Y2015" t="str">
            <v/>
          </cell>
          <cell r="Z2015" t="str">
            <v/>
          </cell>
          <cell r="AA2015" t="str">
            <v/>
          </cell>
          <cell r="AB2015" t="str">
            <v>PA_4998957-UA.3048-0</v>
          </cell>
          <cell r="AC2015">
            <v>1</v>
          </cell>
          <cell r="AD2015" t="str">
            <v/>
          </cell>
          <cell r="AE2015">
            <v>0</v>
          </cell>
          <cell r="AF2015" t="str">
            <v/>
          </cell>
          <cell r="AG2015" t="str">
            <v>12644808</v>
          </cell>
          <cell r="AH2015">
            <v>44992.914351851854</v>
          </cell>
          <cell r="AI2015" t="str">
            <v>I24</v>
          </cell>
          <cell r="AJ2015" t="str">
            <v>F</v>
          </cell>
          <cell r="AK2015" t="str">
            <v/>
          </cell>
        </row>
        <row r="2016">
          <cell r="A2016" t="str">
            <v>12638069820541</v>
          </cell>
          <cell r="B2016" t="e">
            <v>#N/A</v>
          </cell>
          <cell r="C2016" t="e">
            <v>#N/A</v>
          </cell>
          <cell r="D2016" t="str">
            <v>EK65</v>
          </cell>
          <cell r="E2016" t="str">
            <v>715764</v>
          </cell>
          <cell r="F2016" t="str">
            <v>E</v>
          </cell>
          <cell r="G2016" t="str">
            <v>12638069</v>
          </cell>
          <cell r="H2016" t="str">
            <v>Gewindeklotz</v>
          </cell>
          <cell r="I2016">
            <v>1232</v>
          </cell>
          <cell r="J2016" t="str">
            <v>Stk</v>
          </cell>
          <cell r="K2016">
            <v>45166</v>
          </cell>
          <cell r="L2016" t="str">
            <v>820541</v>
          </cell>
          <cell r="M2016" t="str">
            <v/>
          </cell>
          <cell r="N2016" t="str">
            <v/>
          </cell>
          <cell r="O2016" t="str">
            <v/>
          </cell>
          <cell r="P2016" t="str">
            <v/>
          </cell>
          <cell r="Q2016" t="str">
            <v/>
          </cell>
          <cell r="R2016" t="str">
            <v/>
          </cell>
          <cell r="S2016" t="str">
            <v/>
          </cell>
          <cell r="T2016" t="str">
            <v/>
          </cell>
          <cell r="U2016" t="str">
            <v/>
          </cell>
          <cell r="V2016" t="str">
            <v>N52</v>
          </cell>
          <cell r="W2016" t="str">
            <v/>
          </cell>
          <cell r="X2016" t="str">
            <v/>
          </cell>
          <cell r="Y2016" t="str">
            <v/>
          </cell>
          <cell r="Z2016" t="str">
            <v/>
          </cell>
          <cell r="AA2016" t="str">
            <v/>
          </cell>
          <cell r="AB2016" t="str">
            <v>PA_5135188-CD.3048-4</v>
          </cell>
          <cell r="AC2016">
            <v>1</v>
          </cell>
          <cell r="AD2016" t="str">
            <v/>
          </cell>
          <cell r="AE2016">
            <v>0</v>
          </cell>
          <cell r="AF2016" t="str">
            <v/>
          </cell>
          <cell r="AG2016" t="str">
            <v>12638069</v>
          </cell>
          <cell r="AH2016">
            <v>44992.944247685184</v>
          </cell>
          <cell r="AI2016" t="str">
            <v>N52</v>
          </cell>
          <cell r="AJ2016" t="str">
            <v>F</v>
          </cell>
          <cell r="AK2016" t="str">
            <v/>
          </cell>
        </row>
        <row r="2017">
          <cell r="A2017" t="str">
            <v>12639693820541</v>
          </cell>
          <cell r="B2017" t="e">
            <v>#N/A</v>
          </cell>
          <cell r="C2017" t="e">
            <v>#N/A</v>
          </cell>
          <cell r="D2017" t="str">
            <v>EK65</v>
          </cell>
          <cell r="E2017" t="str">
            <v>715776</v>
          </cell>
          <cell r="F2017" t="str">
            <v>E</v>
          </cell>
          <cell r="G2017" t="str">
            <v>12639693</v>
          </cell>
          <cell r="H2017" t="str">
            <v>E-Container Fremdeinspeisung vollst.</v>
          </cell>
          <cell r="I2017">
            <v>44</v>
          </cell>
          <cell r="J2017" t="str">
            <v>Stk</v>
          </cell>
          <cell r="K2017">
            <v>45138</v>
          </cell>
          <cell r="L2017" t="str">
            <v>820541</v>
          </cell>
          <cell r="M2017" t="str">
            <v/>
          </cell>
          <cell r="N2017" t="str">
            <v/>
          </cell>
          <cell r="O2017" t="str">
            <v/>
          </cell>
          <cell r="P2017" t="str">
            <v/>
          </cell>
          <cell r="Q2017" t="str">
            <v/>
          </cell>
          <cell r="R2017" t="str">
            <v/>
          </cell>
          <cell r="S2017" t="str">
            <v/>
          </cell>
          <cell r="T2017" t="str">
            <v/>
          </cell>
          <cell r="U2017" t="str">
            <v/>
          </cell>
          <cell r="V2017" t="str">
            <v>I24</v>
          </cell>
          <cell r="W2017" t="str">
            <v/>
          </cell>
          <cell r="X2017" t="str">
            <v>A3</v>
          </cell>
          <cell r="Y2017" t="str">
            <v/>
          </cell>
          <cell r="Z2017" t="str">
            <v/>
          </cell>
          <cell r="AA2017" t="str">
            <v/>
          </cell>
          <cell r="AB2017" t="str">
            <v>PA_5135633-UA.3048-1</v>
          </cell>
          <cell r="AC2017">
            <v>1</v>
          </cell>
          <cell r="AD2017" t="str">
            <v/>
          </cell>
          <cell r="AE2017">
            <v>0</v>
          </cell>
          <cell r="AF2017" t="str">
            <v/>
          </cell>
          <cell r="AG2017" t="str">
            <v>12639693</v>
          </cell>
          <cell r="AH2017">
            <v>44992.94458333333</v>
          </cell>
          <cell r="AI2017" t="str">
            <v>I24</v>
          </cell>
          <cell r="AJ2017" t="str">
            <v>F</v>
          </cell>
          <cell r="AK2017" t="str">
            <v/>
          </cell>
        </row>
        <row r="2018">
          <cell r="A2018" t="str">
            <v>12642538820541</v>
          </cell>
          <cell r="B2018" t="e">
            <v>#N/A</v>
          </cell>
          <cell r="C2018" t="e">
            <v>#N/A</v>
          </cell>
          <cell r="D2018" t="str">
            <v>EK65</v>
          </cell>
          <cell r="E2018" t="str">
            <v>715779</v>
          </cell>
          <cell r="F2018" t="str">
            <v>E</v>
          </cell>
          <cell r="G2018" t="str">
            <v>12642538</v>
          </cell>
          <cell r="H2018" t="str">
            <v>Gewindeplatte Batteriecontainer</v>
          </cell>
          <cell r="I2018">
            <v>176</v>
          </cell>
          <cell r="J2018" t="str">
            <v>Stk</v>
          </cell>
          <cell r="K2018">
            <v>45175</v>
          </cell>
          <cell r="L2018" t="str">
            <v>820541</v>
          </cell>
          <cell r="M2018" t="str">
            <v/>
          </cell>
          <cell r="N2018" t="str">
            <v/>
          </cell>
          <cell r="O2018" t="str">
            <v/>
          </cell>
          <cell r="P2018" t="str">
            <v/>
          </cell>
          <cell r="Q2018" t="str">
            <v/>
          </cell>
          <cell r="R2018" t="str">
            <v/>
          </cell>
          <cell r="S2018" t="str">
            <v/>
          </cell>
          <cell r="T2018" t="str">
            <v/>
          </cell>
          <cell r="U2018" t="str">
            <v/>
          </cell>
          <cell r="V2018" t="str">
            <v>N52</v>
          </cell>
          <cell r="W2018" t="str">
            <v/>
          </cell>
          <cell r="X2018" t="str">
            <v/>
          </cell>
          <cell r="Y2018" t="str">
            <v/>
          </cell>
          <cell r="Z2018" t="str">
            <v/>
          </cell>
          <cell r="AA2018" t="str">
            <v/>
          </cell>
          <cell r="AB2018" t="str">
            <v>PA_5154288-TA.3048-3</v>
          </cell>
          <cell r="AC2018">
            <v>1</v>
          </cell>
          <cell r="AD2018" t="str">
            <v/>
          </cell>
          <cell r="AE2018">
            <v>0</v>
          </cell>
          <cell r="AF2018" t="str">
            <v/>
          </cell>
          <cell r="AG2018" t="str">
            <v>12642538</v>
          </cell>
          <cell r="AH2018">
            <v>44992.944780092592</v>
          </cell>
          <cell r="AI2018" t="str">
            <v>N52</v>
          </cell>
          <cell r="AJ2018" t="str">
            <v>F</v>
          </cell>
          <cell r="AK2018" t="str">
            <v/>
          </cell>
        </row>
        <row r="2019">
          <cell r="A2019" t="str">
            <v>12657031820541</v>
          </cell>
          <cell r="B2019" t="e">
            <v>#N/A</v>
          </cell>
          <cell r="C2019" t="e">
            <v>#N/A</v>
          </cell>
          <cell r="D2019" t="str">
            <v>EK65</v>
          </cell>
          <cell r="E2019" t="str">
            <v>715790</v>
          </cell>
          <cell r="F2019" t="str">
            <v>E</v>
          </cell>
          <cell r="G2019" t="str">
            <v>12657031</v>
          </cell>
          <cell r="H2019" t="str">
            <v>Abschlussleiste w.g.</v>
          </cell>
          <cell r="I2019">
            <v>88</v>
          </cell>
          <cell r="J2019" t="str">
            <v>Stk</v>
          </cell>
          <cell r="K2019">
            <v>45174</v>
          </cell>
          <cell r="L2019" t="str">
            <v>820541</v>
          </cell>
          <cell r="M2019" t="str">
            <v/>
          </cell>
          <cell r="N2019" t="str">
            <v/>
          </cell>
          <cell r="O2019" t="str">
            <v/>
          </cell>
          <cell r="P2019" t="str">
            <v/>
          </cell>
          <cell r="Q2019" t="str">
            <v/>
          </cell>
          <cell r="R2019" t="str">
            <v/>
          </cell>
          <cell r="S2019" t="str">
            <v/>
          </cell>
          <cell r="T2019" t="str">
            <v/>
          </cell>
          <cell r="U2019" t="str">
            <v/>
          </cell>
          <cell r="V2019" t="str">
            <v>N52</v>
          </cell>
          <cell r="W2019" t="str">
            <v/>
          </cell>
          <cell r="X2019" t="str">
            <v/>
          </cell>
          <cell r="Y2019" t="str">
            <v/>
          </cell>
          <cell r="Z2019" t="str">
            <v/>
          </cell>
          <cell r="AA2019" t="str">
            <v/>
          </cell>
          <cell r="AB2019" t="str">
            <v>PA_5021650-CC.3048-3</v>
          </cell>
          <cell r="AC2019">
            <v>1</v>
          </cell>
          <cell r="AD2019" t="str">
            <v/>
          </cell>
          <cell r="AE2019">
            <v>0</v>
          </cell>
          <cell r="AF2019" t="str">
            <v/>
          </cell>
          <cell r="AG2019" t="str">
            <v>12657031</v>
          </cell>
          <cell r="AH2019">
            <v>44992.945208333331</v>
          </cell>
          <cell r="AI2019" t="str">
            <v>N52</v>
          </cell>
          <cell r="AJ2019" t="str">
            <v/>
          </cell>
          <cell r="AK2019" t="str">
            <v/>
          </cell>
        </row>
        <row r="2020">
          <cell r="A2020" t="str">
            <v>12657033820541</v>
          </cell>
          <cell r="B2020" t="e">
            <v>#N/A</v>
          </cell>
          <cell r="C2020" t="e">
            <v>#N/A</v>
          </cell>
          <cell r="D2020" t="str">
            <v>EK65</v>
          </cell>
          <cell r="E2020" t="str">
            <v>715791</v>
          </cell>
          <cell r="F2020" t="str">
            <v>E</v>
          </cell>
          <cell r="G2020" t="str">
            <v>12657033</v>
          </cell>
          <cell r="H2020" t="str">
            <v>Abschlussleiste sp.g.</v>
          </cell>
          <cell r="I2020">
            <v>88</v>
          </cell>
          <cell r="J2020" t="str">
            <v>Stk</v>
          </cell>
          <cell r="K2020">
            <v>45174</v>
          </cell>
          <cell r="L2020" t="str">
            <v>820541</v>
          </cell>
          <cell r="M2020" t="str">
            <v/>
          </cell>
          <cell r="N2020" t="str">
            <v/>
          </cell>
          <cell r="O2020" t="str">
            <v/>
          </cell>
          <cell r="P2020" t="str">
            <v/>
          </cell>
          <cell r="Q2020" t="str">
            <v/>
          </cell>
          <cell r="R2020" t="str">
            <v/>
          </cell>
          <cell r="S2020" t="str">
            <v/>
          </cell>
          <cell r="T2020" t="str">
            <v/>
          </cell>
          <cell r="U2020" t="str">
            <v/>
          </cell>
          <cell r="V2020" t="str">
            <v>N52</v>
          </cell>
          <cell r="W2020" t="str">
            <v/>
          </cell>
          <cell r="X2020" t="str">
            <v/>
          </cell>
          <cell r="Y2020" t="str">
            <v/>
          </cell>
          <cell r="Z2020" t="str">
            <v/>
          </cell>
          <cell r="AA2020" t="str">
            <v/>
          </cell>
          <cell r="AB2020" t="str">
            <v>PA_5021650-CC.3048-3</v>
          </cell>
          <cell r="AC2020">
            <v>1</v>
          </cell>
          <cell r="AD2020" t="str">
            <v/>
          </cell>
          <cell r="AE2020">
            <v>0</v>
          </cell>
          <cell r="AF2020" t="str">
            <v/>
          </cell>
          <cell r="AG2020" t="str">
            <v>12657033</v>
          </cell>
          <cell r="AH2020">
            <v>44992.945219907408</v>
          </cell>
          <cell r="AI2020" t="str">
            <v>N52</v>
          </cell>
          <cell r="AJ2020" t="str">
            <v/>
          </cell>
          <cell r="AK2020" t="str">
            <v/>
          </cell>
        </row>
        <row r="2021">
          <cell r="A2021" t="str">
            <v>12657084820541</v>
          </cell>
          <cell r="B2021" t="e">
            <v>#N/A</v>
          </cell>
          <cell r="C2021" t="e">
            <v>#N/A</v>
          </cell>
          <cell r="D2021" t="str">
            <v>EK65</v>
          </cell>
          <cell r="E2021" t="str">
            <v>715792</v>
          </cell>
          <cell r="F2021" t="str">
            <v>E</v>
          </cell>
          <cell r="G2021" t="str">
            <v>12657084</v>
          </cell>
          <cell r="H2021" t="str">
            <v>Trittleiste</v>
          </cell>
          <cell r="I2021">
            <v>88</v>
          </cell>
          <cell r="J2021" t="str">
            <v>Stk</v>
          </cell>
          <cell r="K2021">
            <v>45174</v>
          </cell>
          <cell r="L2021" t="str">
            <v>820541</v>
          </cell>
          <cell r="M2021" t="str">
            <v/>
          </cell>
          <cell r="N2021" t="str">
            <v/>
          </cell>
          <cell r="O2021" t="str">
            <v/>
          </cell>
          <cell r="P2021" t="str">
            <v/>
          </cell>
          <cell r="Q2021" t="str">
            <v/>
          </cell>
          <cell r="R2021" t="str">
            <v/>
          </cell>
          <cell r="S2021" t="str">
            <v/>
          </cell>
          <cell r="T2021" t="str">
            <v/>
          </cell>
          <cell r="U2021" t="str">
            <v/>
          </cell>
          <cell r="V2021" t="str">
            <v>N52</v>
          </cell>
          <cell r="W2021" t="str">
            <v/>
          </cell>
          <cell r="X2021" t="str">
            <v/>
          </cell>
          <cell r="Y2021" t="str">
            <v/>
          </cell>
          <cell r="Z2021" t="str">
            <v/>
          </cell>
          <cell r="AA2021" t="str">
            <v/>
          </cell>
          <cell r="AB2021" t="str">
            <v>PA_5021504-CC.3048-2</v>
          </cell>
          <cell r="AC2021">
            <v>1</v>
          </cell>
          <cell r="AD2021" t="str">
            <v/>
          </cell>
          <cell r="AE2021">
            <v>0</v>
          </cell>
          <cell r="AF2021" t="str">
            <v/>
          </cell>
          <cell r="AG2021" t="str">
            <v>12657084</v>
          </cell>
          <cell r="AH2021">
            <v>44992.945231481484</v>
          </cell>
          <cell r="AI2021" t="str">
            <v>N52</v>
          </cell>
          <cell r="AJ2021" t="str">
            <v/>
          </cell>
          <cell r="AK2021" t="str">
            <v/>
          </cell>
        </row>
        <row r="2022">
          <cell r="A2022" t="str">
            <v>12657093820541</v>
          </cell>
          <cell r="B2022" t="e">
            <v>#N/A</v>
          </cell>
          <cell r="C2022" t="e">
            <v>#N/A</v>
          </cell>
          <cell r="D2022" t="str">
            <v>EK65</v>
          </cell>
          <cell r="E2022" t="str">
            <v>715793</v>
          </cell>
          <cell r="F2022" t="str">
            <v>E</v>
          </cell>
          <cell r="G2022" t="str">
            <v>12657093</v>
          </cell>
          <cell r="H2022" t="str">
            <v>Abschlussleiste</v>
          </cell>
          <cell r="I2022">
            <v>88</v>
          </cell>
          <cell r="J2022" t="str">
            <v>Stk</v>
          </cell>
          <cell r="K2022">
            <v>45174</v>
          </cell>
          <cell r="L2022" t="str">
            <v>820541</v>
          </cell>
          <cell r="M2022" t="str">
            <v/>
          </cell>
          <cell r="N2022" t="str">
            <v/>
          </cell>
          <cell r="O2022" t="str">
            <v/>
          </cell>
          <cell r="P2022" t="str">
            <v/>
          </cell>
          <cell r="Q2022" t="str">
            <v/>
          </cell>
          <cell r="R2022" t="str">
            <v/>
          </cell>
          <cell r="S2022" t="str">
            <v/>
          </cell>
          <cell r="T2022" t="str">
            <v/>
          </cell>
          <cell r="U2022" t="str">
            <v/>
          </cell>
          <cell r="V2022" t="str">
            <v>N52</v>
          </cell>
          <cell r="W2022" t="str">
            <v/>
          </cell>
          <cell r="X2022" t="str">
            <v/>
          </cell>
          <cell r="Y2022" t="str">
            <v/>
          </cell>
          <cell r="Z2022" t="str">
            <v/>
          </cell>
          <cell r="AA2022" t="str">
            <v/>
          </cell>
          <cell r="AB2022" t="str">
            <v>PA_5021739-CC.3048-2</v>
          </cell>
          <cell r="AC2022">
            <v>1</v>
          </cell>
          <cell r="AD2022" t="str">
            <v/>
          </cell>
          <cell r="AE2022">
            <v>0</v>
          </cell>
          <cell r="AF2022" t="str">
            <v/>
          </cell>
          <cell r="AG2022" t="str">
            <v>12657093</v>
          </cell>
          <cell r="AH2022">
            <v>44992.945254629631</v>
          </cell>
          <cell r="AI2022" t="str">
            <v>N52</v>
          </cell>
          <cell r="AJ2022" t="str">
            <v/>
          </cell>
          <cell r="AK2022" t="str">
            <v/>
          </cell>
        </row>
        <row r="2023">
          <cell r="A2023" t="str">
            <v>12657101820541</v>
          </cell>
          <cell r="B2023" t="e">
            <v>#N/A</v>
          </cell>
          <cell r="C2023" t="e">
            <v>#N/A</v>
          </cell>
          <cell r="D2023" t="str">
            <v>EK65</v>
          </cell>
          <cell r="E2023" t="str">
            <v>715794</v>
          </cell>
          <cell r="F2023" t="str">
            <v>E</v>
          </cell>
          <cell r="G2023" t="str">
            <v>12657101</v>
          </cell>
          <cell r="H2023" t="str">
            <v>Abschlussleiste w.g.</v>
          </cell>
          <cell r="I2023">
            <v>88</v>
          </cell>
          <cell r="J2023" t="str">
            <v>Stk</v>
          </cell>
          <cell r="K2023">
            <v>45174</v>
          </cell>
          <cell r="L2023" t="str">
            <v>820541</v>
          </cell>
          <cell r="M2023" t="str">
            <v/>
          </cell>
          <cell r="N2023" t="str">
            <v/>
          </cell>
          <cell r="O2023" t="str">
            <v/>
          </cell>
          <cell r="P2023" t="str">
            <v/>
          </cell>
          <cell r="Q2023" t="str">
            <v/>
          </cell>
          <cell r="R2023" t="str">
            <v/>
          </cell>
          <cell r="S2023" t="str">
            <v/>
          </cell>
          <cell r="T2023" t="str">
            <v/>
          </cell>
          <cell r="U2023" t="str">
            <v/>
          </cell>
          <cell r="V2023" t="str">
            <v>N52</v>
          </cell>
          <cell r="W2023" t="str">
            <v/>
          </cell>
          <cell r="X2023" t="str">
            <v/>
          </cell>
          <cell r="Y2023" t="str">
            <v/>
          </cell>
          <cell r="Z2023" t="str">
            <v/>
          </cell>
          <cell r="AA2023" t="str">
            <v/>
          </cell>
          <cell r="AB2023" t="str">
            <v>PA_5021780-CC.3048-3</v>
          </cell>
          <cell r="AC2023">
            <v>1</v>
          </cell>
          <cell r="AD2023" t="str">
            <v/>
          </cell>
          <cell r="AE2023">
            <v>0</v>
          </cell>
          <cell r="AF2023" t="str">
            <v/>
          </cell>
          <cell r="AG2023" t="str">
            <v>12657101</v>
          </cell>
          <cell r="AH2023">
            <v>44992.9452662037</v>
          </cell>
          <cell r="AI2023" t="str">
            <v>N52</v>
          </cell>
          <cell r="AJ2023" t="str">
            <v/>
          </cell>
          <cell r="AK2023" t="str">
            <v/>
          </cell>
        </row>
        <row r="2024">
          <cell r="A2024" t="str">
            <v>12657102820541</v>
          </cell>
          <cell r="B2024" t="e">
            <v>#N/A</v>
          </cell>
          <cell r="C2024" t="e">
            <v>#N/A</v>
          </cell>
          <cell r="D2024" t="str">
            <v>EK65</v>
          </cell>
          <cell r="E2024" t="str">
            <v>715795</v>
          </cell>
          <cell r="F2024" t="str">
            <v>E</v>
          </cell>
          <cell r="G2024" t="str">
            <v>12657102</v>
          </cell>
          <cell r="H2024" t="str">
            <v>Abschlussleiste sp.g.</v>
          </cell>
          <cell r="I2024">
            <v>88</v>
          </cell>
          <cell r="J2024" t="str">
            <v>Stk</v>
          </cell>
          <cell r="K2024">
            <v>45174</v>
          </cell>
          <cell r="L2024" t="str">
            <v>820541</v>
          </cell>
          <cell r="M2024" t="str">
            <v/>
          </cell>
          <cell r="N2024" t="str">
            <v/>
          </cell>
          <cell r="O2024" t="str">
            <v/>
          </cell>
          <cell r="P2024" t="str">
            <v/>
          </cell>
          <cell r="Q2024" t="str">
            <v/>
          </cell>
          <cell r="R2024" t="str">
            <v/>
          </cell>
          <cell r="S2024" t="str">
            <v/>
          </cell>
          <cell r="T2024" t="str">
            <v/>
          </cell>
          <cell r="U2024" t="str">
            <v/>
          </cell>
          <cell r="V2024" t="str">
            <v>N52</v>
          </cell>
          <cell r="W2024" t="str">
            <v/>
          </cell>
          <cell r="X2024" t="str">
            <v/>
          </cell>
          <cell r="Y2024" t="str">
            <v/>
          </cell>
          <cell r="Z2024" t="str">
            <v/>
          </cell>
          <cell r="AA2024" t="str">
            <v/>
          </cell>
          <cell r="AB2024" t="str">
            <v>PA_5021780-CC.3048-3</v>
          </cell>
          <cell r="AC2024">
            <v>1</v>
          </cell>
          <cell r="AD2024" t="str">
            <v/>
          </cell>
          <cell r="AE2024">
            <v>0</v>
          </cell>
          <cell r="AF2024" t="str">
            <v/>
          </cell>
          <cell r="AG2024" t="str">
            <v>12657102</v>
          </cell>
          <cell r="AH2024">
            <v>44992.945277777777</v>
          </cell>
          <cell r="AI2024" t="str">
            <v>N52</v>
          </cell>
          <cell r="AJ2024" t="str">
            <v/>
          </cell>
          <cell r="AK2024" t="str">
            <v/>
          </cell>
        </row>
        <row r="2025">
          <cell r="A2025" t="str">
            <v>12659006820541</v>
          </cell>
          <cell r="B2025" t="e">
            <v>#N/A</v>
          </cell>
          <cell r="C2025" t="e">
            <v>#N/A</v>
          </cell>
          <cell r="D2025" t="str">
            <v>EK65</v>
          </cell>
          <cell r="E2025" t="str">
            <v>715796</v>
          </cell>
          <cell r="F2025" t="str">
            <v>E</v>
          </cell>
          <cell r="G2025" t="str">
            <v>12659006</v>
          </cell>
          <cell r="H2025" t="str">
            <v>Schottblech vollst.</v>
          </cell>
          <cell r="I2025">
            <v>44</v>
          </cell>
          <cell r="J2025" t="str">
            <v>Stk</v>
          </cell>
          <cell r="K2025">
            <v>45166</v>
          </cell>
          <cell r="L2025" t="str">
            <v>820541</v>
          </cell>
          <cell r="M2025" t="str">
            <v/>
          </cell>
          <cell r="N2025" t="str">
            <v/>
          </cell>
          <cell r="O2025" t="str">
            <v/>
          </cell>
          <cell r="P2025" t="str">
            <v/>
          </cell>
          <cell r="Q2025" t="str">
            <v/>
          </cell>
          <cell r="R2025" t="str">
            <v/>
          </cell>
          <cell r="S2025" t="str">
            <v/>
          </cell>
          <cell r="T2025" t="str">
            <v/>
          </cell>
          <cell r="U2025" t="str">
            <v/>
          </cell>
          <cell r="V2025" t="str">
            <v>N38</v>
          </cell>
          <cell r="W2025" t="str">
            <v/>
          </cell>
          <cell r="X2025" t="str">
            <v/>
          </cell>
          <cell r="Y2025" t="str">
            <v/>
          </cell>
          <cell r="Z2025" t="str">
            <v/>
          </cell>
          <cell r="AA2025" t="str">
            <v/>
          </cell>
          <cell r="AB2025" t="str">
            <v>PA_4984576-QE.3048-4</v>
          </cell>
          <cell r="AC2025">
            <v>1</v>
          </cell>
          <cell r="AD2025" t="str">
            <v/>
          </cell>
          <cell r="AE2025">
            <v>0</v>
          </cell>
          <cell r="AF2025" t="str">
            <v/>
          </cell>
          <cell r="AG2025" t="str">
            <v>12659006</v>
          </cell>
          <cell r="AH2025">
            <v>44992.9453125</v>
          </cell>
          <cell r="AI2025" t="str">
            <v>N38</v>
          </cell>
          <cell r="AJ2025" t="str">
            <v>F</v>
          </cell>
          <cell r="AK2025" t="str">
            <v/>
          </cell>
        </row>
        <row r="2026">
          <cell r="A2026" t="str">
            <v>5579281820541</v>
          </cell>
          <cell r="B2026" t="e">
            <v>#N/A</v>
          </cell>
          <cell r="C2026" t="e">
            <v>#N/A</v>
          </cell>
          <cell r="D2026" t="str">
            <v>EK65</v>
          </cell>
          <cell r="E2026" t="str">
            <v>715816</v>
          </cell>
          <cell r="F2026" t="str">
            <v>E</v>
          </cell>
          <cell r="G2026" t="str">
            <v>5579281</v>
          </cell>
          <cell r="H2026" t="str">
            <v>BUCHSE</v>
          </cell>
          <cell r="I2026">
            <v>10</v>
          </cell>
          <cell r="J2026" t="str">
            <v>Stk</v>
          </cell>
          <cell r="K2026">
            <v>45166</v>
          </cell>
          <cell r="L2026" t="str">
            <v>820541</v>
          </cell>
          <cell r="M2026" t="str">
            <v/>
          </cell>
          <cell r="N2026" t="str">
            <v/>
          </cell>
          <cell r="O2026" t="str">
            <v/>
          </cell>
          <cell r="P2026" t="str">
            <v/>
          </cell>
          <cell r="Q2026" t="str">
            <v/>
          </cell>
          <cell r="R2026" t="str">
            <v/>
          </cell>
          <cell r="S2026" t="str">
            <v/>
          </cell>
          <cell r="T2026" t="str">
            <v/>
          </cell>
          <cell r="U2026" t="str">
            <v/>
          </cell>
          <cell r="V2026" t="str">
            <v>N52</v>
          </cell>
          <cell r="W2026" t="str">
            <v/>
          </cell>
          <cell r="X2026" t="str">
            <v/>
          </cell>
          <cell r="Y2026" t="str">
            <v/>
          </cell>
          <cell r="Z2026" t="str">
            <v/>
          </cell>
          <cell r="AA2026" t="str">
            <v/>
          </cell>
          <cell r="AB2026" t="str">
            <v>PA_1309113-DD.6001-4P.2</v>
          </cell>
          <cell r="AC2026">
            <v>1</v>
          </cell>
          <cell r="AD2026" t="str">
            <v/>
          </cell>
          <cell r="AE2026">
            <v>0</v>
          </cell>
          <cell r="AF2026" t="str">
            <v/>
          </cell>
          <cell r="AG2026" t="str">
            <v>5579281</v>
          </cell>
          <cell r="AH2026">
            <v>44992.946643518517</v>
          </cell>
          <cell r="AI2026" t="str">
            <v>N52</v>
          </cell>
          <cell r="AJ2026" t="str">
            <v>F</v>
          </cell>
          <cell r="AK2026" t="str">
            <v>B</v>
          </cell>
        </row>
        <row r="2027">
          <cell r="A2027" t="str">
            <v>12594583820541</v>
          </cell>
          <cell r="B2027" t="e">
            <v>#N/A</v>
          </cell>
          <cell r="C2027" t="e">
            <v>#N/A</v>
          </cell>
          <cell r="D2027" t="str">
            <v>EK65</v>
          </cell>
          <cell r="E2027" t="str">
            <v>716041</v>
          </cell>
          <cell r="F2027" t="str">
            <v>E</v>
          </cell>
          <cell r="G2027" t="str">
            <v>12594583</v>
          </cell>
          <cell r="H2027" t="str">
            <v>E-Deckencontainer mechan. kpl.+x34.10</v>
          </cell>
          <cell r="I2027">
            <v>88</v>
          </cell>
          <cell r="J2027" t="str">
            <v>Stk</v>
          </cell>
          <cell r="K2027">
            <v>45105</v>
          </cell>
          <cell r="L2027" t="str">
            <v>820541</v>
          </cell>
          <cell r="M2027" t="str">
            <v/>
          </cell>
          <cell r="N2027" t="str">
            <v/>
          </cell>
          <cell r="O2027" t="str">
            <v/>
          </cell>
          <cell r="P2027" t="str">
            <v/>
          </cell>
          <cell r="Q2027" t="str">
            <v/>
          </cell>
          <cell r="R2027" t="str">
            <v/>
          </cell>
          <cell r="S2027" t="str">
            <v/>
          </cell>
          <cell r="T2027" t="str">
            <v/>
          </cell>
          <cell r="U2027" t="str">
            <v/>
          </cell>
          <cell r="V2027" t="str">
            <v>I24</v>
          </cell>
          <cell r="W2027" t="str">
            <v/>
          </cell>
          <cell r="X2027" t="str">
            <v/>
          </cell>
          <cell r="Y2027" t="str">
            <v/>
          </cell>
          <cell r="Z2027" t="str">
            <v/>
          </cell>
          <cell r="AA2027" t="str">
            <v/>
          </cell>
          <cell r="AB2027" t="str">
            <v>PA_4869926-UA.3048-1</v>
          </cell>
          <cell r="AC2027">
            <v>1</v>
          </cell>
          <cell r="AD2027" t="str">
            <v/>
          </cell>
          <cell r="AE2027">
            <v>0</v>
          </cell>
          <cell r="AF2027" t="str">
            <v/>
          </cell>
          <cell r="AG2027" t="str">
            <v>12594583</v>
          </cell>
          <cell r="AH2027">
            <v>44992.950196759259</v>
          </cell>
          <cell r="AI2027" t="str">
            <v>I24</v>
          </cell>
          <cell r="AJ2027" t="str">
            <v>F</v>
          </cell>
          <cell r="AK2027" t="str">
            <v/>
          </cell>
        </row>
        <row r="2028">
          <cell r="A2028" t="str">
            <v>12597273820541</v>
          </cell>
          <cell r="B2028" t="e">
            <v>#N/A</v>
          </cell>
          <cell r="C2028" t="e">
            <v>#N/A</v>
          </cell>
          <cell r="D2028" t="str">
            <v>EK65</v>
          </cell>
          <cell r="E2028" t="str">
            <v>716042</v>
          </cell>
          <cell r="F2028" t="str">
            <v>E</v>
          </cell>
          <cell r="G2028" t="str">
            <v>12597273</v>
          </cell>
          <cell r="H2028" t="str">
            <v>E-Deckencontainer mechan. kpl.</v>
          </cell>
          <cell r="I2028">
            <v>44</v>
          </cell>
          <cell r="J2028" t="str">
            <v>Stk</v>
          </cell>
          <cell r="K2028">
            <v>45107</v>
          </cell>
          <cell r="L2028" t="str">
            <v>820541</v>
          </cell>
          <cell r="M2028" t="str">
            <v/>
          </cell>
          <cell r="N2028" t="str">
            <v/>
          </cell>
          <cell r="O2028" t="str">
            <v/>
          </cell>
          <cell r="P2028" t="str">
            <v/>
          </cell>
          <cell r="Q2028" t="str">
            <v/>
          </cell>
          <cell r="R2028" t="str">
            <v/>
          </cell>
          <cell r="S2028" t="str">
            <v/>
          </cell>
          <cell r="T2028" t="str">
            <v/>
          </cell>
          <cell r="U2028" t="str">
            <v/>
          </cell>
          <cell r="V2028" t="str">
            <v>I24</v>
          </cell>
          <cell r="W2028" t="str">
            <v/>
          </cell>
          <cell r="X2028" t="str">
            <v/>
          </cell>
          <cell r="Y2028" t="str">
            <v/>
          </cell>
          <cell r="Z2028" t="str">
            <v/>
          </cell>
          <cell r="AA2028" t="str">
            <v/>
          </cell>
          <cell r="AB2028" t="str">
            <v>PA_4891394-UA.3048-1</v>
          </cell>
          <cell r="AC2028">
            <v>1</v>
          </cell>
          <cell r="AD2028" t="str">
            <v/>
          </cell>
          <cell r="AE2028">
            <v>0</v>
          </cell>
          <cell r="AF2028" t="str">
            <v/>
          </cell>
          <cell r="AG2028" t="str">
            <v>12597273</v>
          </cell>
          <cell r="AH2028">
            <v>44992.950196759259</v>
          </cell>
          <cell r="AI2028" t="str">
            <v>I24</v>
          </cell>
          <cell r="AJ2028" t="str">
            <v>F</v>
          </cell>
          <cell r="AK2028" t="str">
            <v/>
          </cell>
        </row>
        <row r="2029">
          <cell r="A2029" t="str">
            <v>12625778820541</v>
          </cell>
          <cell r="B2029" t="e">
            <v>#N/A</v>
          </cell>
          <cell r="C2029" t="e">
            <v>#N/A</v>
          </cell>
          <cell r="D2029" t="str">
            <v>EK65</v>
          </cell>
          <cell r="E2029" t="str">
            <v>716043</v>
          </cell>
          <cell r="F2029" t="str">
            <v>E</v>
          </cell>
          <cell r="G2029" t="str">
            <v>12625778</v>
          </cell>
          <cell r="H2029" t="str">
            <v>E-Deckencontainer 2400 mechan. kpl.</v>
          </cell>
          <cell r="I2029">
            <v>88</v>
          </cell>
          <cell r="J2029" t="str">
            <v>Stk</v>
          </cell>
          <cell r="K2029">
            <v>45105</v>
          </cell>
          <cell r="L2029" t="str">
            <v>820541</v>
          </cell>
          <cell r="M2029" t="str">
            <v/>
          </cell>
          <cell r="N2029" t="str">
            <v/>
          </cell>
          <cell r="O2029" t="str">
            <v/>
          </cell>
          <cell r="P2029" t="str">
            <v/>
          </cell>
          <cell r="Q2029" t="str">
            <v/>
          </cell>
          <cell r="R2029" t="str">
            <v/>
          </cell>
          <cell r="S2029" t="str">
            <v/>
          </cell>
          <cell r="T2029" t="str">
            <v/>
          </cell>
          <cell r="U2029" t="str">
            <v/>
          </cell>
          <cell r="V2029" t="str">
            <v>I24</v>
          </cell>
          <cell r="W2029" t="str">
            <v/>
          </cell>
          <cell r="X2029" t="str">
            <v/>
          </cell>
          <cell r="Y2029" t="str">
            <v/>
          </cell>
          <cell r="Z2029" t="str">
            <v/>
          </cell>
          <cell r="AA2029" t="str">
            <v/>
          </cell>
          <cell r="AB2029" t="str">
            <v>PA_5049793-UA.3048-1</v>
          </cell>
          <cell r="AC2029">
            <v>1</v>
          </cell>
          <cell r="AD2029" t="str">
            <v/>
          </cell>
          <cell r="AE2029">
            <v>0</v>
          </cell>
          <cell r="AF2029" t="str">
            <v/>
          </cell>
          <cell r="AG2029" t="str">
            <v>12625778</v>
          </cell>
          <cell r="AH2029">
            <v>44992.95039351852</v>
          </cell>
          <cell r="AI2029" t="str">
            <v>I24</v>
          </cell>
          <cell r="AJ2029" t="str">
            <v>F</v>
          </cell>
          <cell r="AK2029" t="str">
            <v/>
          </cell>
        </row>
        <row r="2030">
          <cell r="A2030" t="str">
            <v>12519740829051</v>
          </cell>
          <cell r="B2030" t="e">
            <v>#N/A</v>
          </cell>
          <cell r="C2030">
            <v>18</v>
          </cell>
          <cell r="D2030" t="str">
            <v>EK65</v>
          </cell>
          <cell r="E2030" t="str">
            <v>716049</v>
          </cell>
          <cell r="F2030" t="str">
            <v>E</v>
          </cell>
          <cell r="G2030" t="str">
            <v>12519740</v>
          </cell>
          <cell r="H2030" t="str">
            <v>Schirmblech E10Mod</v>
          </cell>
          <cell r="I2030">
            <v>704</v>
          </cell>
          <cell r="J2030" t="str">
            <v>Stk</v>
          </cell>
          <cell r="K2030">
            <v>45226</v>
          </cell>
          <cell r="L2030" t="str">
            <v>829051</v>
          </cell>
          <cell r="M2030" t="str">
            <v/>
          </cell>
          <cell r="N2030" t="str">
            <v/>
          </cell>
          <cell r="O2030" t="str">
            <v/>
          </cell>
          <cell r="P2030" t="str">
            <v/>
          </cell>
          <cell r="Q2030" t="str">
            <v/>
          </cell>
          <cell r="R2030" t="str">
            <v/>
          </cell>
          <cell r="S2030" t="str">
            <v/>
          </cell>
          <cell r="T2030" t="str">
            <v/>
          </cell>
          <cell r="U2030" t="str">
            <v/>
          </cell>
          <cell r="V2030" t="str">
            <v>N52</v>
          </cell>
          <cell r="W2030" t="str">
            <v/>
          </cell>
          <cell r="X2030" t="str">
            <v/>
          </cell>
          <cell r="Y2030" t="str">
            <v/>
          </cell>
          <cell r="Z2030" t="str">
            <v/>
          </cell>
          <cell r="AA2030" t="str">
            <v/>
          </cell>
          <cell r="AB2030" t="str">
            <v>PA_4571316-UA.7005-2</v>
          </cell>
          <cell r="AC2030">
            <v>1</v>
          </cell>
          <cell r="AD2030" t="str">
            <v/>
          </cell>
          <cell r="AE2030">
            <v>0</v>
          </cell>
          <cell r="AF2030" t="str">
            <v/>
          </cell>
          <cell r="AG2030" t="str">
            <v>12519740</v>
          </cell>
          <cell r="AH2030">
            <v>44994.425520833334</v>
          </cell>
          <cell r="AI2030" t="str">
            <v>N52</v>
          </cell>
          <cell r="AJ2030" t="str">
            <v>F</v>
          </cell>
          <cell r="AK2030" t="str">
            <v/>
          </cell>
        </row>
        <row r="2031">
          <cell r="A2031" t="str">
            <v>1395423</v>
          </cell>
          <cell r="B2031" t="e">
            <v>#N/A</v>
          </cell>
          <cell r="C2031" t="e">
            <v>#N/A</v>
          </cell>
          <cell r="D2031" t="str">
            <v>EK65</v>
          </cell>
          <cell r="E2031" t="str">
            <v>716198</v>
          </cell>
          <cell r="F2031" t="str">
            <v>B</v>
          </cell>
          <cell r="G2031" t="str">
            <v>1395423</v>
          </cell>
          <cell r="H2031" t="str">
            <v>Distanzstueck</v>
          </cell>
          <cell r="I2031">
            <v>58</v>
          </cell>
          <cell r="J2031" t="str">
            <v>Stk</v>
          </cell>
          <cell r="K2031">
            <v>45016</v>
          </cell>
          <cell r="L2031" t="str">
            <v/>
          </cell>
          <cell r="M2031" t="str">
            <v/>
          </cell>
          <cell r="N2031" t="str">
            <v/>
          </cell>
          <cell r="O2031" t="str">
            <v/>
          </cell>
          <cell r="P2031" t="str">
            <v/>
          </cell>
          <cell r="Q2031" t="str">
            <v/>
          </cell>
          <cell r="R2031" t="str">
            <v/>
          </cell>
          <cell r="S2031" t="str">
            <v/>
          </cell>
          <cell r="T2031" t="str">
            <v/>
          </cell>
          <cell r="U2031" t="str">
            <v/>
          </cell>
          <cell r="V2031" t="str">
            <v>N52</v>
          </cell>
          <cell r="W2031" t="str">
            <v/>
          </cell>
          <cell r="X2031" t="str">
            <v/>
          </cell>
          <cell r="Y2031" t="str">
            <v/>
          </cell>
          <cell r="Z2031" t="str">
            <v/>
          </cell>
          <cell r="AA2031" t="str">
            <v/>
          </cell>
          <cell r="AB2031" t="str">
            <v>PA_2317422-DD.3044-4P.4</v>
          </cell>
          <cell r="AC2031">
            <v>1</v>
          </cell>
          <cell r="AD2031" t="str">
            <v/>
          </cell>
          <cell r="AE2031">
            <v>0</v>
          </cell>
          <cell r="AF2031" t="str">
            <v/>
          </cell>
          <cell r="AG2031" t="str">
            <v>1395423</v>
          </cell>
          <cell r="AH2031">
            <v>44994.883657407408</v>
          </cell>
          <cell r="AI2031" t="str">
            <v>N52</v>
          </cell>
          <cell r="AJ2031" t="str">
            <v>F</v>
          </cell>
          <cell r="AK2031" t="str">
            <v/>
          </cell>
        </row>
        <row r="2032">
          <cell r="A2032" t="str">
            <v>12589586820541</v>
          </cell>
          <cell r="B2032" t="e">
            <v>#N/A</v>
          </cell>
          <cell r="C2032" t="e">
            <v>#N/A</v>
          </cell>
          <cell r="D2032" t="str">
            <v>EK65</v>
          </cell>
          <cell r="E2032" t="str">
            <v>716825</v>
          </cell>
          <cell r="F2032" t="str">
            <v>E</v>
          </cell>
          <cell r="G2032" t="str">
            <v>12589586</v>
          </cell>
          <cell r="H2032" t="str">
            <v>C-Schiene 4382IN L=200</v>
          </cell>
          <cell r="I2032">
            <v>50</v>
          </cell>
          <cell r="J2032" t="str">
            <v>Stk</v>
          </cell>
          <cell r="K2032">
            <v>45166</v>
          </cell>
          <cell r="L2032" t="str">
            <v>820541</v>
          </cell>
          <cell r="M2032" t="str">
            <v/>
          </cell>
          <cell r="N2032" t="str">
            <v/>
          </cell>
          <cell r="O2032" t="str">
            <v/>
          </cell>
          <cell r="P2032" t="str">
            <v/>
          </cell>
          <cell r="Q2032" t="str">
            <v/>
          </cell>
          <cell r="R2032" t="str">
            <v/>
          </cell>
          <cell r="S2032" t="str">
            <v/>
          </cell>
          <cell r="T2032" t="str">
            <v/>
          </cell>
          <cell r="U2032" t="str">
            <v/>
          </cell>
          <cell r="V2032" t="str">
            <v>N52</v>
          </cell>
          <cell r="W2032" t="str">
            <v/>
          </cell>
          <cell r="X2032" t="str">
            <v/>
          </cell>
          <cell r="Y2032" t="str">
            <v/>
          </cell>
          <cell r="Z2032" t="str">
            <v/>
          </cell>
          <cell r="AA2032" t="str">
            <v/>
          </cell>
          <cell r="AB2032" t="str">
            <v>PA_4884155-BG.3048-4</v>
          </cell>
          <cell r="AC2032">
            <v>1</v>
          </cell>
          <cell r="AD2032" t="str">
            <v/>
          </cell>
          <cell r="AE2032">
            <v>0</v>
          </cell>
          <cell r="AF2032" t="str">
            <v/>
          </cell>
          <cell r="AG2032" t="str">
            <v>12589586</v>
          </cell>
          <cell r="AH2032">
            <v>44995.918946759259</v>
          </cell>
          <cell r="AI2032" t="str">
            <v>N52</v>
          </cell>
          <cell r="AJ2032" t="str">
            <v>F</v>
          </cell>
          <cell r="AK2032" t="str">
            <v/>
          </cell>
        </row>
        <row r="2033">
          <cell r="A2033" t="str">
            <v>12592043820541</v>
          </cell>
          <cell r="B2033" t="e">
            <v>#N/A</v>
          </cell>
          <cell r="C2033" t="e">
            <v>#N/A</v>
          </cell>
          <cell r="D2033" t="str">
            <v>EK65</v>
          </cell>
          <cell r="E2033" t="str">
            <v>716826</v>
          </cell>
          <cell r="F2033" t="str">
            <v>E</v>
          </cell>
          <cell r="G2033" t="str">
            <v>12592043</v>
          </cell>
          <cell r="H2033" t="str">
            <v>Hutprofil w.g.</v>
          </cell>
          <cell r="I2033">
            <v>10</v>
          </cell>
          <cell r="J2033" t="str">
            <v>Stk</v>
          </cell>
          <cell r="K2033">
            <v>45166</v>
          </cell>
          <cell r="L2033" t="str">
            <v>820541</v>
          </cell>
          <cell r="M2033" t="str">
            <v/>
          </cell>
          <cell r="N2033" t="str">
            <v/>
          </cell>
          <cell r="O2033" t="str">
            <v/>
          </cell>
          <cell r="P2033" t="str">
            <v/>
          </cell>
          <cell r="Q2033" t="str">
            <v/>
          </cell>
          <cell r="R2033" t="str">
            <v/>
          </cell>
          <cell r="S2033" t="str">
            <v/>
          </cell>
          <cell r="T2033" t="str">
            <v/>
          </cell>
          <cell r="U2033" t="str">
            <v/>
          </cell>
          <cell r="V2033" t="str">
            <v>N52</v>
          </cell>
          <cell r="W2033" t="str">
            <v/>
          </cell>
          <cell r="X2033" t="str">
            <v/>
          </cell>
          <cell r="Y2033" t="str">
            <v/>
          </cell>
          <cell r="Z2033" t="str">
            <v/>
          </cell>
          <cell r="AA2033" t="str">
            <v/>
          </cell>
          <cell r="AB2033" t="str">
            <v>PA_4819655-MB.3048-2</v>
          </cell>
          <cell r="AC2033">
            <v>1</v>
          </cell>
          <cell r="AD2033" t="str">
            <v/>
          </cell>
          <cell r="AE2033">
            <v>0</v>
          </cell>
          <cell r="AF2033" t="str">
            <v/>
          </cell>
          <cell r="AG2033" t="str">
            <v>12592043</v>
          </cell>
          <cell r="AH2033">
            <v>44995.919016203705</v>
          </cell>
          <cell r="AI2033" t="str">
            <v>N52</v>
          </cell>
          <cell r="AJ2033" t="str">
            <v>F</v>
          </cell>
          <cell r="AK2033" t="str">
            <v/>
          </cell>
        </row>
        <row r="2034">
          <cell r="A2034" t="str">
            <v>12592054820541</v>
          </cell>
          <cell r="B2034" t="e">
            <v>#N/A</v>
          </cell>
          <cell r="C2034" t="e">
            <v>#N/A</v>
          </cell>
          <cell r="D2034" t="str">
            <v>EK65</v>
          </cell>
          <cell r="E2034" t="str">
            <v>716827</v>
          </cell>
          <cell r="F2034" t="str">
            <v>E</v>
          </cell>
          <cell r="G2034" t="str">
            <v>12592054</v>
          </cell>
          <cell r="H2034" t="str">
            <v>Hutprofil sp.g.</v>
          </cell>
          <cell r="I2034">
            <v>10</v>
          </cell>
          <cell r="J2034" t="str">
            <v>Stk</v>
          </cell>
          <cell r="K2034">
            <v>45166</v>
          </cell>
          <cell r="L2034" t="str">
            <v>820541</v>
          </cell>
          <cell r="M2034" t="str">
            <v/>
          </cell>
          <cell r="N2034" t="str">
            <v/>
          </cell>
          <cell r="O2034" t="str">
            <v/>
          </cell>
          <cell r="P2034" t="str">
            <v/>
          </cell>
          <cell r="Q2034" t="str">
            <v/>
          </cell>
          <cell r="R2034" t="str">
            <v/>
          </cell>
          <cell r="S2034" t="str">
            <v/>
          </cell>
          <cell r="T2034" t="str">
            <v/>
          </cell>
          <cell r="U2034" t="str">
            <v/>
          </cell>
          <cell r="V2034" t="str">
            <v>N52</v>
          </cell>
          <cell r="W2034" t="str">
            <v/>
          </cell>
          <cell r="X2034" t="str">
            <v/>
          </cell>
          <cell r="Y2034" t="str">
            <v/>
          </cell>
          <cell r="Z2034" t="str">
            <v/>
          </cell>
          <cell r="AA2034" t="str">
            <v/>
          </cell>
          <cell r="AB2034" t="str">
            <v>PA_4819655-MB.3048-2</v>
          </cell>
          <cell r="AC2034">
            <v>1</v>
          </cell>
          <cell r="AD2034" t="str">
            <v/>
          </cell>
          <cell r="AE2034">
            <v>0</v>
          </cell>
          <cell r="AF2034" t="str">
            <v/>
          </cell>
          <cell r="AG2034" t="str">
            <v>12592054</v>
          </cell>
          <cell r="AH2034">
            <v>44995.919016203705</v>
          </cell>
          <cell r="AI2034" t="str">
            <v>N52</v>
          </cell>
          <cell r="AJ2034" t="str">
            <v>F</v>
          </cell>
          <cell r="AK2034" t="str">
            <v/>
          </cell>
        </row>
        <row r="2035">
          <cell r="A2035" t="str">
            <v>0736061</v>
          </cell>
          <cell r="B2035" t="e">
            <v>#N/A</v>
          </cell>
          <cell r="C2035" t="e">
            <v>#N/A</v>
          </cell>
          <cell r="D2035" t="str">
            <v>EK65</v>
          </cell>
          <cell r="E2035" t="str">
            <v>716946</v>
          </cell>
          <cell r="F2035" t="str">
            <v>B</v>
          </cell>
          <cell r="G2035" t="str">
            <v>0736061</v>
          </cell>
          <cell r="H2035" t="str">
            <v>Dehnhuelse M20 79mm</v>
          </cell>
          <cell r="I2035">
            <v>12</v>
          </cell>
          <cell r="J2035" t="str">
            <v>Stk</v>
          </cell>
          <cell r="K2035">
            <v>45000</v>
          </cell>
          <cell r="L2035" t="str">
            <v/>
          </cell>
          <cell r="M2035" t="str">
            <v/>
          </cell>
          <cell r="N2035" t="str">
            <v/>
          </cell>
          <cell r="O2035" t="str">
            <v/>
          </cell>
          <cell r="P2035" t="str">
            <v/>
          </cell>
          <cell r="Q2035" t="str">
            <v/>
          </cell>
          <cell r="R2035" t="str">
            <v/>
          </cell>
          <cell r="S2035" t="str">
            <v/>
          </cell>
          <cell r="T2035" t="str">
            <v/>
          </cell>
          <cell r="U2035" t="str">
            <v/>
          </cell>
          <cell r="V2035" t="str">
            <v>N52</v>
          </cell>
          <cell r="W2035" t="str">
            <v/>
          </cell>
          <cell r="X2035" t="str">
            <v/>
          </cell>
          <cell r="Y2035" t="str">
            <v/>
          </cell>
          <cell r="Z2035" t="str">
            <v/>
          </cell>
          <cell r="AA2035" t="str">
            <v/>
          </cell>
          <cell r="AB2035" t="str">
            <v>PA_2189149-UA.7500-4</v>
          </cell>
          <cell r="AC2035">
            <v>4</v>
          </cell>
          <cell r="AD2035" t="str">
            <v/>
          </cell>
          <cell r="AE2035">
            <v>0</v>
          </cell>
          <cell r="AF2035" t="str">
            <v/>
          </cell>
          <cell r="AG2035" t="str">
            <v>0736061</v>
          </cell>
          <cell r="AH2035">
            <v>44998.834456018521</v>
          </cell>
          <cell r="AI2035" t="str">
            <v>N52</v>
          </cell>
          <cell r="AJ2035" t="str">
            <v>F</v>
          </cell>
          <cell r="AK2035" t="str">
            <v/>
          </cell>
        </row>
        <row r="2036">
          <cell r="A2036" t="str">
            <v>12652103829054</v>
          </cell>
          <cell r="B2036" t="e">
            <v>#N/A</v>
          </cell>
          <cell r="C2036" t="e">
            <v>#N/A</v>
          </cell>
          <cell r="D2036" t="str">
            <v>EK65</v>
          </cell>
          <cell r="E2036" t="str">
            <v>717056</v>
          </cell>
          <cell r="F2036" t="str">
            <v>E</v>
          </cell>
          <cell r="G2036" t="str">
            <v>12652103</v>
          </cell>
          <cell r="H2036" t="str">
            <v>Abdeckung 750V vollst.</v>
          </cell>
          <cell r="I2036">
            <v>38</v>
          </cell>
          <cell r="J2036" t="str">
            <v>Stk</v>
          </cell>
          <cell r="K2036">
            <v>45195</v>
          </cell>
          <cell r="L2036" t="str">
            <v>829054</v>
          </cell>
          <cell r="M2036" t="str">
            <v/>
          </cell>
          <cell r="N2036" t="str">
            <v/>
          </cell>
          <cell r="O2036" t="str">
            <v/>
          </cell>
          <cell r="P2036" t="str">
            <v/>
          </cell>
          <cell r="Q2036" t="str">
            <v/>
          </cell>
          <cell r="R2036" t="str">
            <v/>
          </cell>
          <cell r="S2036" t="str">
            <v/>
          </cell>
          <cell r="T2036" t="str">
            <v/>
          </cell>
          <cell r="U2036" t="str">
            <v/>
          </cell>
          <cell r="V2036" t="str">
            <v>N38</v>
          </cell>
          <cell r="W2036" t="str">
            <v/>
          </cell>
          <cell r="X2036" t="str">
            <v/>
          </cell>
          <cell r="Y2036" t="str">
            <v/>
          </cell>
          <cell r="Z2036" t="str">
            <v/>
          </cell>
          <cell r="AA2036" t="str">
            <v/>
          </cell>
          <cell r="AB2036" t="str">
            <v>PA_5198200-UA.7004-3</v>
          </cell>
          <cell r="AC2036">
            <v>1</v>
          </cell>
          <cell r="AD2036" t="str">
            <v/>
          </cell>
          <cell r="AE2036">
            <v>0</v>
          </cell>
          <cell r="AF2036" t="str">
            <v/>
          </cell>
          <cell r="AG2036" t="str">
            <v>12652103</v>
          </cell>
          <cell r="AH2036">
            <v>44998.883576388886</v>
          </cell>
          <cell r="AI2036" t="str">
            <v>N38</v>
          </cell>
          <cell r="AJ2036" t="str">
            <v>F</v>
          </cell>
          <cell r="AK2036" t="str">
            <v>A</v>
          </cell>
        </row>
        <row r="2037">
          <cell r="A2037" t="str">
            <v>12655044820541</v>
          </cell>
          <cell r="B2037" t="e">
            <v>#N/A</v>
          </cell>
          <cell r="C2037" t="e">
            <v>#N/A</v>
          </cell>
          <cell r="D2037" t="str">
            <v>EK65</v>
          </cell>
          <cell r="E2037" t="str">
            <v>717162</v>
          </cell>
          <cell r="F2037" t="str">
            <v>E</v>
          </cell>
          <cell r="G2037" t="str">
            <v>12655044</v>
          </cell>
          <cell r="H2037" t="str">
            <v>Bolzen</v>
          </cell>
          <cell r="I2037">
            <v>352</v>
          </cell>
          <cell r="J2037" t="str">
            <v>Stk</v>
          </cell>
          <cell r="K2037">
            <v>45180</v>
          </cell>
          <cell r="L2037" t="str">
            <v>820541</v>
          </cell>
          <cell r="M2037" t="str">
            <v/>
          </cell>
          <cell r="N2037" t="str">
            <v/>
          </cell>
          <cell r="O2037" t="str">
            <v/>
          </cell>
          <cell r="P2037" t="str">
            <v/>
          </cell>
          <cell r="Q2037" t="str">
            <v/>
          </cell>
          <cell r="R2037" t="str">
            <v/>
          </cell>
          <cell r="S2037" t="str">
            <v/>
          </cell>
          <cell r="T2037" t="str">
            <v/>
          </cell>
          <cell r="U2037" t="str">
            <v/>
          </cell>
          <cell r="V2037" t="str">
            <v>N53</v>
          </cell>
          <cell r="W2037" t="str">
            <v/>
          </cell>
          <cell r="X2037" t="str">
            <v/>
          </cell>
          <cell r="Y2037" t="str">
            <v/>
          </cell>
          <cell r="Z2037" t="str">
            <v/>
          </cell>
          <cell r="AA2037" t="str">
            <v/>
          </cell>
          <cell r="AB2037" t="str">
            <v>PA_5208022-LD.3048-3</v>
          </cell>
          <cell r="AC2037">
            <v>1</v>
          </cell>
          <cell r="AD2037" t="str">
            <v/>
          </cell>
          <cell r="AE2037">
            <v>0</v>
          </cell>
          <cell r="AF2037" t="str">
            <v/>
          </cell>
          <cell r="AG2037" t="str">
            <v>12655044</v>
          </cell>
          <cell r="AH2037">
            <v>44998.915358796294</v>
          </cell>
          <cell r="AI2037" t="str">
            <v>N53</v>
          </cell>
          <cell r="AJ2037" t="str">
            <v/>
          </cell>
          <cell r="AK2037" t="str">
            <v/>
          </cell>
        </row>
        <row r="2038">
          <cell r="A2038" t="str">
            <v>70002007828521</v>
          </cell>
          <cell r="B2038">
            <v>0</v>
          </cell>
          <cell r="C2038" t="e">
            <v>#N/A</v>
          </cell>
          <cell r="D2038" t="str">
            <v>EK65</v>
          </cell>
          <cell r="E2038" t="str">
            <v>686941</v>
          </cell>
          <cell r="F2038" t="str">
            <v>E</v>
          </cell>
          <cell r="G2038" t="str">
            <v>70002007</v>
          </cell>
          <cell r="H2038" t="str">
            <v>BUSHING</v>
          </cell>
          <cell r="I2038">
            <v>360</v>
          </cell>
          <cell r="J2038" t="str">
            <v>Stk</v>
          </cell>
          <cell r="K2038">
            <v>45112</v>
          </cell>
          <cell r="L2038" t="str">
            <v>828521</v>
          </cell>
          <cell r="M2038" t="str">
            <v/>
          </cell>
          <cell r="N2038" t="str">
            <v/>
          </cell>
          <cell r="O2038" t="str">
            <v/>
          </cell>
          <cell r="P2038" t="str">
            <v/>
          </cell>
          <cell r="Q2038" t="str">
            <v/>
          </cell>
          <cell r="R2038" t="str">
            <v/>
          </cell>
          <cell r="S2038" t="str">
            <v/>
          </cell>
          <cell r="T2038" t="str">
            <v/>
          </cell>
          <cell r="U2038" t="str">
            <v>BB20046211005</v>
          </cell>
          <cell r="V2038" t="str">
            <v>N52</v>
          </cell>
          <cell r="W2038" t="str">
            <v/>
          </cell>
          <cell r="X2038" t="str">
            <v/>
          </cell>
          <cell r="Y2038" t="str">
            <v/>
          </cell>
          <cell r="Z2038" t="str">
            <v/>
          </cell>
          <cell r="AA2038" t="str">
            <v/>
          </cell>
          <cell r="AB2038" t="str">
            <v>70002007</v>
          </cell>
          <cell r="AC2038">
            <v>1</v>
          </cell>
          <cell r="AD2038" t="str">
            <v/>
          </cell>
          <cell r="AE2038">
            <v>0</v>
          </cell>
          <cell r="AF2038" t="str">
            <v/>
          </cell>
          <cell r="AG2038" t="str">
            <v>70002007</v>
          </cell>
          <cell r="AH2038">
            <v>44916.132696759261</v>
          </cell>
          <cell r="AI2038" t="str">
            <v>N52</v>
          </cell>
          <cell r="AJ2038" t="str">
            <v>F</v>
          </cell>
          <cell r="AK2038" t="str">
            <v>--</v>
          </cell>
        </row>
        <row r="2039">
          <cell r="A2039" t="str">
            <v>70002008828521</v>
          </cell>
          <cell r="B2039">
            <v>0</v>
          </cell>
          <cell r="C2039" t="e">
            <v>#N/A</v>
          </cell>
          <cell r="D2039" t="str">
            <v>EK65</v>
          </cell>
          <cell r="E2039" t="str">
            <v>686942</v>
          </cell>
          <cell r="F2039" t="str">
            <v>E</v>
          </cell>
          <cell r="G2039" t="str">
            <v>70002008</v>
          </cell>
          <cell r="H2039" t="str">
            <v>BUSHING</v>
          </cell>
          <cell r="I2039">
            <v>360</v>
          </cell>
          <cell r="J2039" t="str">
            <v>Stk</v>
          </cell>
          <cell r="K2039">
            <v>45112</v>
          </cell>
          <cell r="L2039" t="str">
            <v>828521</v>
          </cell>
          <cell r="M2039" t="str">
            <v/>
          </cell>
          <cell r="N2039" t="str">
            <v/>
          </cell>
          <cell r="O2039" t="str">
            <v/>
          </cell>
          <cell r="P2039" t="str">
            <v/>
          </cell>
          <cell r="Q2039" t="str">
            <v/>
          </cell>
          <cell r="R2039" t="str">
            <v/>
          </cell>
          <cell r="S2039" t="str">
            <v/>
          </cell>
          <cell r="T2039" t="str">
            <v/>
          </cell>
          <cell r="U2039" t="str">
            <v>BB20046211007</v>
          </cell>
          <cell r="V2039" t="str">
            <v>N52</v>
          </cell>
          <cell r="W2039" t="str">
            <v/>
          </cell>
          <cell r="X2039" t="str">
            <v/>
          </cell>
          <cell r="Y2039" t="str">
            <v/>
          </cell>
          <cell r="Z2039" t="str">
            <v/>
          </cell>
          <cell r="AA2039" t="str">
            <v/>
          </cell>
          <cell r="AB2039" t="str">
            <v>70002008</v>
          </cell>
          <cell r="AC2039">
            <v>1</v>
          </cell>
          <cell r="AD2039" t="str">
            <v/>
          </cell>
          <cell r="AE2039">
            <v>0</v>
          </cell>
          <cell r="AF2039" t="str">
            <v/>
          </cell>
          <cell r="AG2039" t="str">
            <v>70002008</v>
          </cell>
          <cell r="AH2039">
            <v>44916.132708333331</v>
          </cell>
          <cell r="AI2039" t="str">
            <v>N52</v>
          </cell>
          <cell r="AJ2039" t="str">
            <v>F</v>
          </cell>
          <cell r="AK2039" t="str">
            <v>--</v>
          </cell>
        </row>
        <row r="2040">
          <cell r="A2040" t="str">
            <v>12644772820541</v>
          </cell>
          <cell r="B2040" t="e">
            <v>#N/A</v>
          </cell>
          <cell r="C2040" t="e">
            <v>#N/A</v>
          </cell>
          <cell r="D2040" t="str">
            <v>EK65</v>
          </cell>
          <cell r="E2040" t="str">
            <v>717492</v>
          </cell>
          <cell r="F2040" t="str">
            <v>E</v>
          </cell>
          <cell r="G2040" t="str">
            <v>12644772</v>
          </cell>
          <cell r="H2040" t="str">
            <v>Auflage vollst.</v>
          </cell>
          <cell r="I2040">
            <v>88</v>
          </cell>
          <cell r="J2040" t="str">
            <v>Stk</v>
          </cell>
          <cell r="K2040">
            <v>45184</v>
          </cell>
          <cell r="L2040" t="str">
            <v>820541</v>
          </cell>
          <cell r="M2040" t="str">
            <v/>
          </cell>
          <cell r="N2040" t="str">
            <v/>
          </cell>
          <cell r="O2040" t="str">
            <v/>
          </cell>
          <cell r="P2040" t="str">
            <v/>
          </cell>
          <cell r="Q2040" t="str">
            <v/>
          </cell>
          <cell r="R2040" t="str">
            <v/>
          </cell>
          <cell r="S2040" t="str">
            <v/>
          </cell>
          <cell r="T2040" t="str">
            <v/>
          </cell>
          <cell r="U2040" t="str">
            <v/>
          </cell>
          <cell r="V2040" t="str">
            <v>N38</v>
          </cell>
          <cell r="W2040" t="str">
            <v/>
          </cell>
          <cell r="X2040" t="str">
            <v/>
          </cell>
          <cell r="Y2040" t="str">
            <v/>
          </cell>
          <cell r="Z2040" t="str">
            <v/>
          </cell>
          <cell r="AA2040" t="str">
            <v/>
          </cell>
          <cell r="AB2040" t="str">
            <v>PA_5124603-JA.3048-4</v>
          </cell>
          <cell r="AC2040">
            <v>1</v>
          </cell>
          <cell r="AD2040" t="str">
            <v/>
          </cell>
          <cell r="AE2040">
            <v>0</v>
          </cell>
          <cell r="AF2040" t="str">
            <v/>
          </cell>
          <cell r="AG2040" t="str">
            <v>12644772</v>
          </cell>
          <cell r="AH2040">
            <v>44999.930405092593</v>
          </cell>
          <cell r="AI2040" t="str">
            <v>N38</v>
          </cell>
          <cell r="AJ2040" t="str">
            <v>F</v>
          </cell>
          <cell r="AK2040" t="str">
            <v/>
          </cell>
        </row>
        <row r="2041">
          <cell r="A2041" t="str">
            <v>12645980820541</v>
          </cell>
          <cell r="B2041" t="e">
            <v>#N/A</v>
          </cell>
          <cell r="C2041" t="e">
            <v>#N/A</v>
          </cell>
          <cell r="D2041" t="str">
            <v>EK65</v>
          </cell>
          <cell r="E2041" t="str">
            <v>717494</v>
          </cell>
          <cell r="F2041" t="str">
            <v>E</v>
          </cell>
          <cell r="G2041" t="str">
            <v>12645980</v>
          </cell>
          <cell r="H2041" t="str">
            <v>Distanzplatte M6 3x38x38</v>
          </cell>
          <cell r="I2041">
            <v>88</v>
          </cell>
          <cell r="J2041" t="str">
            <v>Stk</v>
          </cell>
          <cell r="K2041">
            <v>45184</v>
          </cell>
          <cell r="L2041" t="str">
            <v>820541</v>
          </cell>
          <cell r="M2041" t="str">
            <v/>
          </cell>
          <cell r="N2041" t="str">
            <v/>
          </cell>
          <cell r="O2041" t="str">
            <v/>
          </cell>
          <cell r="P2041" t="str">
            <v/>
          </cell>
          <cell r="Q2041" t="str">
            <v/>
          </cell>
          <cell r="R2041" t="str">
            <v/>
          </cell>
          <cell r="S2041" t="str">
            <v/>
          </cell>
          <cell r="T2041" t="str">
            <v/>
          </cell>
          <cell r="U2041" t="str">
            <v/>
          </cell>
          <cell r="V2041" t="str">
            <v>N52</v>
          </cell>
          <cell r="W2041" t="str">
            <v/>
          </cell>
          <cell r="X2041" t="str">
            <v/>
          </cell>
          <cell r="Y2041" t="str">
            <v/>
          </cell>
          <cell r="Z2041" t="str">
            <v/>
          </cell>
          <cell r="AA2041" t="str">
            <v/>
          </cell>
          <cell r="AB2041" t="str">
            <v>PA_5170694-JA.3048-4</v>
          </cell>
          <cell r="AC2041">
            <v>1</v>
          </cell>
          <cell r="AD2041" t="str">
            <v/>
          </cell>
          <cell r="AE2041">
            <v>0</v>
          </cell>
          <cell r="AF2041" t="str">
            <v/>
          </cell>
          <cell r="AG2041" t="str">
            <v>12645980</v>
          </cell>
          <cell r="AH2041">
            <v>44999.930520833332</v>
          </cell>
          <cell r="AI2041" t="str">
            <v>N52</v>
          </cell>
          <cell r="AJ2041" t="str">
            <v>F</v>
          </cell>
          <cell r="AK2041" t="str">
            <v/>
          </cell>
        </row>
        <row r="2042">
          <cell r="A2042" t="str">
            <v>12646365820541</v>
          </cell>
          <cell r="B2042" t="e">
            <v>#N/A</v>
          </cell>
          <cell r="C2042" t="e">
            <v>#N/A</v>
          </cell>
          <cell r="D2042" t="str">
            <v>EK65</v>
          </cell>
          <cell r="E2042" t="str">
            <v>717496</v>
          </cell>
          <cell r="F2042" t="str">
            <v>E</v>
          </cell>
          <cell r="G2042" t="str">
            <v>12646365</v>
          </cell>
          <cell r="H2042" t="str">
            <v>Schlosshalter</v>
          </cell>
          <cell r="I2042">
            <v>176</v>
          </cell>
          <cell r="J2042" t="str">
            <v>Stk</v>
          </cell>
          <cell r="K2042">
            <v>45184</v>
          </cell>
          <cell r="L2042" t="str">
            <v>820541</v>
          </cell>
          <cell r="M2042" t="str">
            <v/>
          </cell>
          <cell r="N2042" t="str">
            <v/>
          </cell>
          <cell r="O2042" t="str">
            <v/>
          </cell>
          <cell r="P2042" t="str">
            <v/>
          </cell>
          <cell r="Q2042" t="str">
            <v/>
          </cell>
          <cell r="R2042" t="str">
            <v/>
          </cell>
          <cell r="S2042" t="str">
            <v/>
          </cell>
          <cell r="T2042" t="str">
            <v/>
          </cell>
          <cell r="U2042" t="str">
            <v/>
          </cell>
          <cell r="V2042" t="str">
            <v>N52</v>
          </cell>
          <cell r="W2042" t="str">
            <v/>
          </cell>
          <cell r="X2042" t="str">
            <v/>
          </cell>
          <cell r="Y2042" t="str">
            <v/>
          </cell>
          <cell r="Z2042" t="str">
            <v/>
          </cell>
          <cell r="AA2042" t="str">
            <v/>
          </cell>
          <cell r="AB2042" t="str">
            <v>PA_5134872-JA.3048-3</v>
          </cell>
          <cell r="AC2042">
            <v>1</v>
          </cell>
          <cell r="AD2042" t="str">
            <v/>
          </cell>
          <cell r="AE2042">
            <v>0</v>
          </cell>
          <cell r="AF2042" t="str">
            <v/>
          </cell>
          <cell r="AG2042" t="str">
            <v>12646365</v>
          </cell>
          <cell r="AH2042">
            <v>44999.930543981478</v>
          </cell>
          <cell r="AI2042" t="str">
            <v>N52</v>
          </cell>
          <cell r="AJ2042" t="str">
            <v>F</v>
          </cell>
          <cell r="AK2042" t="str">
            <v/>
          </cell>
        </row>
        <row r="2043">
          <cell r="A2043" t="str">
            <v>12653365820541</v>
          </cell>
          <cell r="B2043" t="e">
            <v>#N/A</v>
          </cell>
          <cell r="C2043" t="e">
            <v>#N/A</v>
          </cell>
          <cell r="D2043" t="str">
            <v>EK65</v>
          </cell>
          <cell r="E2043" t="str">
            <v>717509</v>
          </cell>
          <cell r="F2043" t="str">
            <v>E</v>
          </cell>
          <cell r="G2043" t="str">
            <v>12653365</v>
          </cell>
          <cell r="H2043" t="str">
            <v>Dehnhuelse</v>
          </cell>
          <cell r="I2043">
            <v>704</v>
          </cell>
          <cell r="J2043" t="str">
            <v>Stk</v>
          </cell>
          <cell r="K2043">
            <v>45168</v>
          </cell>
          <cell r="L2043" t="str">
            <v>820541</v>
          </cell>
          <cell r="M2043" t="str">
            <v/>
          </cell>
          <cell r="N2043" t="str">
            <v/>
          </cell>
          <cell r="O2043" t="str">
            <v/>
          </cell>
          <cell r="P2043" t="str">
            <v/>
          </cell>
          <cell r="Q2043" t="str">
            <v/>
          </cell>
          <cell r="R2043" t="str">
            <v/>
          </cell>
          <cell r="S2043" t="str">
            <v/>
          </cell>
          <cell r="T2043" t="str">
            <v/>
          </cell>
          <cell r="U2043" t="str">
            <v/>
          </cell>
          <cell r="V2043" t="str">
            <v>N52</v>
          </cell>
          <cell r="W2043" t="str">
            <v/>
          </cell>
          <cell r="X2043" t="str">
            <v/>
          </cell>
          <cell r="Y2043" t="str">
            <v/>
          </cell>
          <cell r="Z2043" t="str">
            <v/>
          </cell>
          <cell r="AA2043" t="str">
            <v/>
          </cell>
          <cell r="AB2043" t="str">
            <v>PA_5198081-QE.3048-4</v>
          </cell>
          <cell r="AC2043">
            <v>1</v>
          </cell>
          <cell r="AD2043" t="str">
            <v/>
          </cell>
          <cell r="AE2043">
            <v>0</v>
          </cell>
          <cell r="AF2043" t="str">
            <v/>
          </cell>
          <cell r="AG2043" t="str">
            <v>12653365</v>
          </cell>
          <cell r="AH2043">
            <v>44999.930902777778</v>
          </cell>
          <cell r="AI2043" t="str">
            <v>N52</v>
          </cell>
          <cell r="AJ2043" t="str">
            <v>F</v>
          </cell>
          <cell r="AK2043" t="str">
            <v/>
          </cell>
        </row>
        <row r="2044">
          <cell r="A2044" t="str">
            <v>12653367820541</v>
          </cell>
          <cell r="B2044" t="e">
            <v>#N/A</v>
          </cell>
          <cell r="C2044" t="e">
            <v>#N/A</v>
          </cell>
          <cell r="D2044" t="str">
            <v>EK65</v>
          </cell>
          <cell r="E2044" t="str">
            <v>717510</v>
          </cell>
          <cell r="F2044" t="str">
            <v>E</v>
          </cell>
          <cell r="G2044" t="str">
            <v>12653367</v>
          </cell>
          <cell r="H2044" t="str">
            <v>Distanzplatte</v>
          </cell>
          <cell r="I2044">
            <v>176</v>
          </cell>
          <cell r="J2044" t="str">
            <v>Stk</v>
          </cell>
          <cell r="K2044">
            <v>45168</v>
          </cell>
          <cell r="L2044" t="str">
            <v>820541</v>
          </cell>
          <cell r="M2044" t="str">
            <v/>
          </cell>
          <cell r="N2044" t="str">
            <v/>
          </cell>
          <cell r="O2044" t="str">
            <v/>
          </cell>
          <cell r="P2044" t="str">
            <v/>
          </cell>
          <cell r="Q2044" t="str">
            <v/>
          </cell>
          <cell r="R2044" t="str">
            <v/>
          </cell>
          <cell r="S2044" t="str">
            <v/>
          </cell>
          <cell r="T2044" t="str">
            <v/>
          </cell>
          <cell r="U2044" t="str">
            <v/>
          </cell>
          <cell r="V2044" t="str">
            <v>N52</v>
          </cell>
          <cell r="W2044" t="str">
            <v/>
          </cell>
          <cell r="X2044" t="str">
            <v/>
          </cell>
          <cell r="Y2044" t="str">
            <v/>
          </cell>
          <cell r="Z2044" t="str">
            <v/>
          </cell>
          <cell r="AA2044" t="str">
            <v/>
          </cell>
          <cell r="AB2044" t="str">
            <v>PA_5198037-QE.3048-4</v>
          </cell>
          <cell r="AC2044">
            <v>1</v>
          </cell>
          <cell r="AD2044" t="str">
            <v/>
          </cell>
          <cell r="AE2044">
            <v>0</v>
          </cell>
          <cell r="AF2044" t="str">
            <v/>
          </cell>
          <cell r="AG2044" t="str">
            <v>12653367</v>
          </cell>
          <cell r="AH2044">
            <v>44999.930914351855</v>
          </cell>
          <cell r="AI2044" t="str">
            <v>N52</v>
          </cell>
          <cell r="AJ2044" t="str">
            <v>F</v>
          </cell>
          <cell r="AK2044" t="str">
            <v/>
          </cell>
        </row>
        <row r="2045">
          <cell r="A2045" t="str">
            <v>12654505820541</v>
          </cell>
          <cell r="B2045" t="e">
            <v>#N/A</v>
          </cell>
          <cell r="C2045" t="e">
            <v>#N/A</v>
          </cell>
          <cell r="D2045" t="str">
            <v>EK65</v>
          </cell>
          <cell r="E2045" t="str">
            <v>717524</v>
          </cell>
          <cell r="F2045" t="str">
            <v>E</v>
          </cell>
          <cell r="G2045" t="str">
            <v>12654505</v>
          </cell>
          <cell r="H2045" t="str">
            <v>Halteblech vollst.</v>
          </cell>
          <cell r="I2045">
            <v>44</v>
          </cell>
          <cell r="J2045" t="str">
            <v>Stk</v>
          </cell>
          <cell r="K2045">
            <v>45169</v>
          </cell>
          <cell r="L2045" t="str">
            <v>820541</v>
          </cell>
          <cell r="M2045" t="str">
            <v/>
          </cell>
          <cell r="N2045" t="str">
            <v/>
          </cell>
          <cell r="O2045" t="str">
            <v/>
          </cell>
          <cell r="P2045" t="str">
            <v/>
          </cell>
          <cell r="Q2045" t="str">
            <v/>
          </cell>
          <cell r="R2045" t="str">
            <v/>
          </cell>
          <cell r="S2045" t="str">
            <v/>
          </cell>
          <cell r="T2045" t="str">
            <v/>
          </cell>
          <cell r="U2045" t="str">
            <v/>
          </cell>
          <cell r="V2045" t="str">
            <v>N38</v>
          </cell>
          <cell r="W2045" t="str">
            <v/>
          </cell>
          <cell r="X2045" t="str">
            <v/>
          </cell>
          <cell r="Y2045" t="str">
            <v/>
          </cell>
          <cell r="Z2045" t="str">
            <v/>
          </cell>
          <cell r="AA2045" t="str">
            <v/>
          </cell>
          <cell r="AB2045" t="str">
            <v>PA_5048496-QE.3048-4</v>
          </cell>
          <cell r="AC2045">
            <v>1</v>
          </cell>
          <cell r="AD2045" t="str">
            <v/>
          </cell>
          <cell r="AE2045">
            <v>0</v>
          </cell>
          <cell r="AF2045" t="str">
            <v/>
          </cell>
          <cell r="AG2045" t="str">
            <v>12654505</v>
          </cell>
          <cell r="AH2045">
            <v>44999.931122685186</v>
          </cell>
          <cell r="AI2045" t="str">
            <v>N38</v>
          </cell>
          <cell r="AJ2045" t="str">
            <v>F</v>
          </cell>
          <cell r="AK2045" t="str">
            <v/>
          </cell>
        </row>
        <row r="2046">
          <cell r="A2046" t="str">
            <v>12656269820541</v>
          </cell>
          <cell r="B2046" t="e">
            <v>#N/A</v>
          </cell>
          <cell r="C2046" t="e">
            <v>#N/A</v>
          </cell>
          <cell r="D2046" t="str">
            <v>EK65</v>
          </cell>
          <cell r="E2046" t="str">
            <v>717534</v>
          </cell>
          <cell r="F2046" t="str">
            <v>E</v>
          </cell>
          <cell r="G2046" t="str">
            <v>12656269</v>
          </cell>
          <cell r="H2046" t="str">
            <v>Winkelblech kpl.</v>
          </cell>
          <cell r="I2046">
            <v>88</v>
          </cell>
          <cell r="J2046" t="str">
            <v>Stk</v>
          </cell>
          <cell r="K2046">
            <v>45169</v>
          </cell>
          <cell r="L2046" t="str">
            <v>820541</v>
          </cell>
          <cell r="M2046" t="str">
            <v/>
          </cell>
          <cell r="N2046" t="str">
            <v/>
          </cell>
          <cell r="O2046" t="str">
            <v/>
          </cell>
          <cell r="P2046" t="str">
            <v/>
          </cell>
          <cell r="Q2046" t="str">
            <v/>
          </cell>
          <cell r="R2046" t="str">
            <v/>
          </cell>
          <cell r="S2046" t="str">
            <v/>
          </cell>
          <cell r="T2046" t="str">
            <v/>
          </cell>
          <cell r="U2046" t="str">
            <v/>
          </cell>
          <cell r="V2046" t="str">
            <v>N52</v>
          </cell>
          <cell r="W2046" t="str">
            <v/>
          </cell>
          <cell r="X2046" t="str">
            <v/>
          </cell>
          <cell r="Y2046" t="str">
            <v/>
          </cell>
          <cell r="Z2046" t="str">
            <v/>
          </cell>
          <cell r="AA2046" t="str">
            <v/>
          </cell>
          <cell r="AB2046" t="str">
            <v>PA_5069348-UA.3048-3</v>
          </cell>
          <cell r="AC2046">
            <v>1</v>
          </cell>
          <cell r="AD2046" t="str">
            <v/>
          </cell>
          <cell r="AE2046">
            <v>0</v>
          </cell>
          <cell r="AF2046" t="str">
            <v/>
          </cell>
          <cell r="AG2046" t="str">
            <v>12656269</v>
          </cell>
          <cell r="AH2046">
            <v>44999.931273148148</v>
          </cell>
          <cell r="AI2046" t="str">
            <v>N52</v>
          </cell>
          <cell r="AJ2046" t="str">
            <v>F</v>
          </cell>
          <cell r="AK2046" t="str">
            <v/>
          </cell>
        </row>
        <row r="2047">
          <cell r="A2047" t="str">
            <v>12656270820541</v>
          </cell>
          <cell r="B2047" t="e">
            <v>#N/A</v>
          </cell>
          <cell r="C2047" t="e">
            <v>#N/A</v>
          </cell>
          <cell r="D2047" t="str">
            <v>EK65</v>
          </cell>
          <cell r="E2047" t="str">
            <v>717535</v>
          </cell>
          <cell r="F2047" t="str">
            <v>E</v>
          </cell>
          <cell r="G2047" t="str">
            <v>12656270</v>
          </cell>
          <cell r="H2047" t="str">
            <v>Halteblech</v>
          </cell>
          <cell r="I2047">
            <v>88</v>
          </cell>
          <cell r="J2047" t="str">
            <v>Stk</v>
          </cell>
          <cell r="K2047">
            <v>45169</v>
          </cell>
          <cell r="L2047" t="str">
            <v>820541</v>
          </cell>
          <cell r="M2047" t="str">
            <v/>
          </cell>
          <cell r="N2047" t="str">
            <v/>
          </cell>
          <cell r="O2047" t="str">
            <v/>
          </cell>
          <cell r="P2047" t="str">
            <v/>
          </cell>
          <cell r="Q2047" t="str">
            <v/>
          </cell>
          <cell r="R2047" t="str">
            <v/>
          </cell>
          <cell r="S2047" t="str">
            <v/>
          </cell>
          <cell r="T2047" t="str">
            <v/>
          </cell>
          <cell r="U2047" t="str">
            <v/>
          </cell>
          <cell r="V2047" t="str">
            <v>N52</v>
          </cell>
          <cell r="W2047" t="str">
            <v/>
          </cell>
          <cell r="X2047" t="str">
            <v/>
          </cell>
          <cell r="Y2047" t="str">
            <v/>
          </cell>
          <cell r="Z2047" t="str">
            <v/>
          </cell>
          <cell r="AA2047" t="str">
            <v/>
          </cell>
          <cell r="AB2047" t="str">
            <v>PA_5069791-UA.3048-3</v>
          </cell>
          <cell r="AC2047">
            <v>1</v>
          </cell>
          <cell r="AD2047" t="str">
            <v/>
          </cell>
          <cell r="AE2047">
            <v>0</v>
          </cell>
          <cell r="AF2047" t="str">
            <v/>
          </cell>
          <cell r="AG2047" t="str">
            <v>12656270</v>
          </cell>
          <cell r="AH2047">
            <v>44999.931273148148</v>
          </cell>
          <cell r="AI2047" t="str">
            <v>N52</v>
          </cell>
          <cell r="AJ2047" t="str">
            <v>F</v>
          </cell>
          <cell r="AK2047" t="str">
            <v/>
          </cell>
        </row>
        <row r="2048">
          <cell r="A2048" t="str">
            <v>12656271820541</v>
          </cell>
          <cell r="B2048" t="e">
            <v>#N/A</v>
          </cell>
          <cell r="C2048" t="e">
            <v>#N/A</v>
          </cell>
          <cell r="D2048" t="str">
            <v>EK65</v>
          </cell>
          <cell r="E2048" t="str">
            <v>717536</v>
          </cell>
          <cell r="F2048" t="str">
            <v>E</v>
          </cell>
          <cell r="G2048" t="str">
            <v>12656271</v>
          </cell>
          <cell r="H2048" t="str">
            <v>Deckel kpl.</v>
          </cell>
          <cell r="I2048">
            <v>88</v>
          </cell>
          <cell r="J2048" t="str">
            <v>Stk</v>
          </cell>
          <cell r="K2048">
            <v>45169</v>
          </cell>
          <cell r="L2048" t="str">
            <v>820541</v>
          </cell>
          <cell r="M2048" t="str">
            <v/>
          </cell>
          <cell r="N2048" t="str">
            <v/>
          </cell>
          <cell r="O2048" t="str">
            <v/>
          </cell>
          <cell r="P2048" t="str">
            <v/>
          </cell>
          <cell r="Q2048" t="str">
            <v/>
          </cell>
          <cell r="R2048" t="str">
            <v/>
          </cell>
          <cell r="S2048" t="str">
            <v/>
          </cell>
          <cell r="T2048" t="str">
            <v/>
          </cell>
          <cell r="U2048" t="str">
            <v/>
          </cell>
          <cell r="V2048" t="str">
            <v>N38</v>
          </cell>
          <cell r="W2048" t="str">
            <v/>
          </cell>
          <cell r="X2048" t="str">
            <v/>
          </cell>
          <cell r="Y2048" t="str">
            <v/>
          </cell>
          <cell r="Z2048" t="str">
            <v/>
          </cell>
          <cell r="AA2048" t="str">
            <v/>
          </cell>
          <cell r="AB2048" t="str">
            <v>PA_5107571-UA.3048-2</v>
          </cell>
          <cell r="AC2048">
            <v>1</v>
          </cell>
          <cell r="AD2048" t="str">
            <v/>
          </cell>
          <cell r="AE2048">
            <v>0</v>
          </cell>
          <cell r="AF2048" t="str">
            <v/>
          </cell>
          <cell r="AG2048" t="str">
            <v>12656271</v>
          </cell>
          <cell r="AH2048">
            <v>44999.931284722225</v>
          </cell>
          <cell r="AI2048" t="str">
            <v>N38</v>
          </cell>
          <cell r="AJ2048" t="str">
            <v>F</v>
          </cell>
          <cell r="AK2048" t="str">
            <v>A</v>
          </cell>
        </row>
        <row r="2049">
          <cell r="A2049" t="str">
            <v>1297030820541</v>
          </cell>
          <cell r="B2049" t="e">
            <v>#N/A</v>
          </cell>
          <cell r="C2049" t="e">
            <v>#N/A</v>
          </cell>
          <cell r="D2049" t="str">
            <v>EK65</v>
          </cell>
          <cell r="E2049" t="str">
            <v>717541</v>
          </cell>
          <cell r="F2049" t="str">
            <v>E</v>
          </cell>
          <cell r="G2049" t="str">
            <v>1297030</v>
          </cell>
          <cell r="H2049" t="str">
            <v>Hinterlage</v>
          </cell>
          <cell r="I2049">
            <v>352</v>
          </cell>
          <cell r="J2049" t="str">
            <v>Stk</v>
          </cell>
          <cell r="K2049">
            <v>45184</v>
          </cell>
          <cell r="L2049" t="str">
            <v>820541</v>
          </cell>
          <cell r="M2049" t="str">
            <v/>
          </cell>
          <cell r="N2049" t="str">
            <v/>
          </cell>
          <cell r="O2049" t="str">
            <v/>
          </cell>
          <cell r="P2049" t="str">
            <v/>
          </cell>
          <cell r="Q2049" t="str">
            <v/>
          </cell>
          <cell r="R2049" t="str">
            <v/>
          </cell>
          <cell r="S2049" t="str">
            <v/>
          </cell>
          <cell r="T2049" t="str">
            <v/>
          </cell>
          <cell r="U2049" t="str">
            <v/>
          </cell>
          <cell r="V2049" t="str">
            <v>N52</v>
          </cell>
          <cell r="W2049" t="str">
            <v/>
          </cell>
          <cell r="X2049" t="str">
            <v/>
          </cell>
          <cell r="Y2049" t="str">
            <v/>
          </cell>
          <cell r="Z2049" t="str">
            <v/>
          </cell>
          <cell r="AA2049" t="str">
            <v/>
          </cell>
          <cell r="AB2049" t="str">
            <v>PA_4343000-QE.6005-4</v>
          </cell>
          <cell r="AC2049">
            <v>1</v>
          </cell>
          <cell r="AD2049" t="str">
            <v/>
          </cell>
          <cell r="AE2049">
            <v>0</v>
          </cell>
          <cell r="AF2049" t="str">
            <v/>
          </cell>
          <cell r="AG2049" t="str">
            <v>1297030</v>
          </cell>
          <cell r="AH2049">
            <v>44999.931527777779</v>
          </cell>
          <cell r="AI2049" t="str">
            <v>N52</v>
          </cell>
          <cell r="AJ2049" t="str">
            <v>F</v>
          </cell>
          <cell r="AK2049" t="str">
            <v/>
          </cell>
        </row>
        <row r="2050">
          <cell r="A2050" t="str">
            <v>0044299820541</v>
          </cell>
          <cell r="B2050" t="e">
            <v>#N/A</v>
          </cell>
          <cell r="C2050" t="e">
            <v>#N/A</v>
          </cell>
          <cell r="D2050" t="str">
            <v>EK65</v>
          </cell>
          <cell r="E2050" t="str">
            <v>717908</v>
          </cell>
          <cell r="F2050" t="str">
            <v>E</v>
          </cell>
          <cell r="G2050" t="str">
            <v>0044299</v>
          </cell>
          <cell r="H2050" t="str">
            <v>Distanzblock</v>
          </cell>
          <cell r="I2050">
            <v>176</v>
          </cell>
          <cell r="J2050" t="str">
            <v>Stk</v>
          </cell>
          <cell r="K2050">
            <v>45184</v>
          </cell>
          <cell r="L2050" t="str">
            <v>820541</v>
          </cell>
          <cell r="M2050" t="str">
            <v/>
          </cell>
          <cell r="N2050" t="str">
            <v/>
          </cell>
          <cell r="O2050" t="str">
            <v/>
          </cell>
          <cell r="P2050" t="str">
            <v/>
          </cell>
          <cell r="Q2050" t="str">
            <v/>
          </cell>
          <cell r="R2050" t="str">
            <v/>
          </cell>
          <cell r="S2050" t="str">
            <v/>
          </cell>
          <cell r="T2050" t="str">
            <v/>
          </cell>
          <cell r="U2050" t="str">
            <v/>
          </cell>
          <cell r="V2050" t="str">
            <v>N52</v>
          </cell>
          <cell r="W2050" t="str">
            <v/>
          </cell>
          <cell r="X2050" t="str">
            <v/>
          </cell>
          <cell r="Y2050" t="str">
            <v/>
          </cell>
          <cell r="Z2050" t="str">
            <v/>
          </cell>
          <cell r="AA2050" t="str">
            <v/>
          </cell>
          <cell r="AB2050" t="str">
            <v>PR_2152345-QA.3034-4</v>
          </cell>
          <cell r="AC2050">
            <v>1</v>
          </cell>
          <cell r="AD2050" t="str">
            <v/>
          </cell>
          <cell r="AE2050">
            <v>0</v>
          </cell>
          <cell r="AF2050" t="str">
            <v/>
          </cell>
          <cell r="AG2050" t="str">
            <v>0044299</v>
          </cell>
          <cell r="AH2050">
            <v>44999.94153935185</v>
          </cell>
          <cell r="AI2050" t="str">
            <v>N52</v>
          </cell>
          <cell r="AJ2050" t="str">
            <v>F</v>
          </cell>
          <cell r="AK2050" t="str">
            <v/>
          </cell>
        </row>
        <row r="2051">
          <cell r="A2051" t="str">
            <v>2579077820541</v>
          </cell>
          <cell r="B2051" t="e">
            <v>#N/A</v>
          </cell>
          <cell r="C2051" t="e">
            <v>#N/A</v>
          </cell>
          <cell r="D2051" t="str">
            <v>EK65</v>
          </cell>
          <cell r="E2051" t="str">
            <v>717931</v>
          </cell>
          <cell r="F2051" t="str">
            <v>E</v>
          </cell>
          <cell r="G2051" t="str">
            <v>2579077</v>
          </cell>
          <cell r="H2051" t="str">
            <v>Dehnhuelse L10, D7/15</v>
          </cell>
          <cell r="I2051">
            <v>880</v>
          </cell>
          <cell r="J2051" t="str">
            <v>Stk</v>
          </cell>
          <cell r="K2051">
            <v>45156</v>
          </cell>
          <cell r="L2051" t="str">
            <v>820541</v>
          </cell>
          <cell r="M2051" t="str">
            <v/>
          </cell>
          <cell r="N2051" t="str">
            <v/>
          </cell>
          <cell r="O2051" t="str">
            <v/>
          </cell>
          <cell r="P2051" t="str">
            <v/>
          </cell>
          <cell r="Q2051" t="str">
            <v/>
          </cell>
          <cell r="R2051" t="str">
            <v/>
          </cell>
          <cell r="S2051" t="str">
            <v/>
          </cell>
          <cell r="T2051" t="str">
            <v/>
          </cell>
          <cell r="U2051" t="str">
            <v/>
          </cell>
          <cell r="V2051" t="str">
            <v>N52</v>
          </cell>
          <cell r="W2051" t="str">
            <v/>
          </cell>
          <cell r="X2051" t="str">
            <v/>
          </cell>
          <cell r="Y2051" t="str">
            <v/>
          </cell>
          <cell r="Z2051" t="str">
            <v/>
          </cell>
          <cell r="AA2051" t="str">
            <v/>
          </cell>
          <cell r="AB2051" t="str">
            <v>PA_2255213-CF.3044-4</v>
          </cell>
          <cell r="AC2051">
            <v>1</v>
          </cell>
          <cell r="AD2051" t="str">
            <v/>
          </cell>
          <cell r="AE2051">
            <v>0</v>
          </cell>
          <cell r="AF2051" t="str">
            <v/>
          </cell>
          <cell r="AG2051" t="str">
            <v>2579077</v>
          </cell>
          <cell r="AH2051">
            <v>44999.957187499997</v>
          </cell>
          <cell r="AI2051" t="str">
            <v>N52</v>
          </cell>
          <cell r="AJ2051" t="str">
            <v>F</v>
          </cell>
          <cell r="AK2051" t="str">
            <v/>
          </cell>
        </row>
        <row r="2052">
          <cell r="A2052" t="str">
            <v>3897914820531</v>
          </cell>
          <cell r="B2052" t="e">
            <v>#N/A</v>
          </cell>
          <cell r="C2052" t="e">
            <v>#N/A</v>
          </cell>
          <cell r="D2052" t="str">
            <v>EK65</v>
          </cell>
          <cell r="E2052" t="str">
            <v>717957</v>
          </cell>
          <cell r="F2052" t="str">
            <v>E</v>
          </cell>
          <cell r="G2052" t="str">
            <v>3897914</v>
          </cell>
          <cell r="H2052" t="str">
            <v>Sperrblech Fremdeinspeisung</v>
          </cell>
          <cell r="I2052">
            <v>6</v>
          </cell>
          <cell r="J2052" t="str">
            <v>Stk</v>
          </cell>
          <cell r="K2052">
            <v>45073</v>
          </cell>
          <cell r="L2052" t="str">
            <v>820531</v>
          </cell>
          <cell r="M2052" t="str">
            <v/>
          </cell>
          <cell r="N2052" t="str">
            <v/>
          </cell>
          <cell r="O2052" t="str">
            <v/>
          </cell>
          <cell r="P2052" t="str">
            <v/>
          </cell>
          <cell r="Q2052" t="str">
            <v/>
          </cell>
          <cell r="R2052" t="str">
            <v/>
          </cell>
          <cell r="S2052" t="str">
            <v/>
          </cell>
          <cell r="T2052" t="str">
            <v/>
          </cell>
          <cell r="U2052" t="str">
            <v/>
          </cell>
          <cell r="V2052" t="str">
            <v>N52</v>
          </cell>
          <cell r="W2052" t="str">
            <v/>
          </cell>
          <cell r="X2052" t="str">
            <v/>
          </cell>
          <cell r="Y2052" t="str">
            <v/>
          </cell>
          <cell r="Z2052" t="str">
            <v/>
          </cell>
          <cell r="AA2052" t="str">
            <v/>
          </cell>
          <cell r="AB2052" t="str">
            <v>PA_5227591-TA.3046-2</v>
          </cell>
          <cell r="AC2052">
            <v>1</v>
          </cell>
          <cell r="AD2052" t="str">
            <v/>
          </cell>
          <cell r="AE2052">
            <v>0</v>
          </cell>
          <cell r="AF2052" t="str">
            <v/>
          </cell>
          <cell r="AG2052" t="str">
            <v>3897914</v>
          </cell>
          <cell r="AH2052">
            <v>45000.42428240741</v>
          </cell>
          <cell r="AI2052" t="str">
            <v>N52</v>
          </cell>
          <cell r="AJ2052" t="str">
            <v>F</v>
          </cell>
          <cell r="AK2052" t="str">
            <v/>
          </cell>
        </row>
        <row r="2053">
          <cell r="A2053" t="str">
            <v>0438834</v>
          </cell>
          <cell r="B2053" t="e">
            <v>#N/A</v>
          </cell>
          <cell r="C2053" t="e">
            <v>#N/A</v>
          </cell>
          <cell r="D2053" t="str">
            <v>EK65</v>
          </cell>
          <cell r="E2053" t="str">
            <v>717968</v>
          </cell>
          <cell r="F2053" t="str">
            <v>B</v>
          </cell>
          <cell r="G2053" t="str">
            <v>0438834</v>
          </cell>
          <cell r="H2053" t="str">
            <v>Unterlegscheibe</v>
          </cell>
          <cell r="I2053">
            <v>150</v>
          </cell>
          <cell r="J2053" t="str">
            <v>Stk</v>
          </cell>
          <cell r="K2053">
            <v>45002</v>
          </cell>
          <cell r="L2053" t="str">
            <v/>
          </cell>
          <cell r="M2053" t="str">
            <v/>
          </cell>
          <cell r="N2053" t="str">
            <v/>
          </cell>
          <cell r="O2053" t="str">
            <v/>
          </cell>
          <cell r="P2053" t="str">
            <v/>
          </cell>
          <cell r="Q2053" t="str">
            <v/>
          </cell>
          <cell r="R2053" t="str">
            <v/>
          </cell>
          <cell r="S2053" t="str">
            <v/>
          </cell>
          <cell r="T2053" t="str">
            <v/>
          </cell>
          <cell r="U2053" t="str">
            <v/>
          </cell>
          <cell r="V2053" t="str">
            <v>N52</v>
          </cell>
          <cell r="W2053" t="str">
            <v/>
          </cell>
          <cell r="X2053" t="str">
            <v/>
          </cell>
          <cell r="Y2053" t="str">
            <v/>
          </cell>
          <cell r="Z2053" t="str">
            <v/>
          </cell>
          <cell r="AA2053" t="str">
            <v/>
          </cell>
          <cell r="AB2053" t="str">
            <v>PA_2224762-CD.7500-4</v>
          </cell>
          <cell r="AC2053">
            <v>4</v>
          </cell>
          <cell r="AD2053" t="str">
            <v/>
          </cell>
          <cell r="AE2053">
            <v>0</v>
          </cell>
          <cell r="AF2053" t="str">
            <v/>
          </cell>
          <cell r="AG2053" t="str">
            <v>0438834</v>
          </cell>
          <cell r="AH2053">
            <v>45000.834016203706</v>
          </cell>
          <cell r="AI2053" t="str">
            <v>N52</v>
          </cell>
          <cell r="AJ2053" t="str">
            <v>F</v>
          </cell>
          <cell r="AK2053" t="str">
            <v/>
          </cell>
        </row>
        <row r="2054">
          <cell r="A2054" t="str">
            <v>0655171</v>
          </cell>
          <cell r="B2054" t="e">
            <v>#N/A</v>
          </cell>
          <cell r="C2054" t="e">
            <v>#N/A</v>
          </cell>
          <cell r="D2054" t="str">
            <v>EK65</v>
          </cell>
          <cell r="E2054" t="str">
            <v>717971</v>
          </cell>
          <cell r="F2054" t="str">
            <v>B</v>
          </cell>
          <cell r="G2054" t="str">
            <v>0655171</v>
          </cell>
          <cell r="H2054" t="str">
            <v>Distanzplatte</v>
          </cell>
          <cell r="I2054">
            <v>60</v>
          </cell>
          <cell r="J2054" t="str">
            <v>Stk</v>
          </cell>
          <cell r="K2054">
            <v>45002</v>
          </cell>
          <cell r="L2054" t="str">
            <v/>
          </cell>
          <cell r="M2054" t="str">
            <v/>
          </cell>
          <cell r="N2054" t="str">
            <v/>
          </cell>
          <cell r="O2054" t="str">
            <v/>
          </cell>
          <cell r="P2054" t="str">
            <v/>
          </cell>
          <cell r="Q2054" t="str">
            <v/>
          </cell>
          <cell r="R2054" t="str">
            <v/>
          </cell>
          <cell r="S2054" t="str">
            <v/>
          </cell>
          <cell r="T2054" t="str">
            <v/>
          </cell>
          <cell r="U2054" t="str">
            <v/>
          </cell>
          <cell r="V2054" t="str">
            <v>N52</v>
          </cell>
          <cell r="W2054" t="str">
            <v/>
          </cell>
          <cell r="X2054" t="str">
            <v/>
          </cell>
          <cell r="Y2054" t="str">
            <v/>
          </cell>
          <cell r="Z2054" t="str">
            <v/>
          </cell>
          <cell r="AA2054" t="str">
            <v/>
          </cell>
          <cell r="AB2054" t="str">
            <v>PA_2197386-CE.7500-4</v>
          </cell>
          <cell r="AC2054">
            <v>4</v>
          </cell>
          <cell r="AD2054" t="str">
            <v/>
          </cell>
          <cell r="AE2054">
            <v>0</v>
          </cell>
          <cell r="AF2054" t="str">
            <v/>
          </cell>
          <cell r="AG2054" t="str">
            <v>0655171</v>
          </cell>
          <cell r="AH2054">
            <v>45000.834398148145</v>
          </cell>
          <cell r="AI2054" t="str">
            <v>N52</v>
          </cell>
          <cell r="AJ2054" t="str">
            <v>F</v>
          </cell>
          <cell r="AK2054" t="str">
            <v>A</v>
          </cell>
        </row>
        <row r="2055">
          <cell r="A2055" t="str">
            <v>1100492</v>
          </cell>
          <cell r="B2055" t="e">
            <v>#N/A</v>
          </cell>
          <cell r="C2055" t="e">
            <v>#N/A</v>
          </cell>
          <cell r="D2055" t="str">
            <v>EK65</v>
          </cell>
          <cell r="E2055" t="str">
            <v>717981</v>
          </cell>
          <cell r="F2055" t="str">
            <v>B</v>
          </cell>
          <cell r="G2055" t="str">
            <v>1100492</v>
          </cell>
          <cell r="H2055" t="str">
            <v>Dehnhuelse</v>
          </cell>
          <cell r="I2055">
            <v>18</v>
          </cell>
          <cell r="J2055" t="str">
            <v>Stk</v>
          </cell>
          <cell r="K2055">
            <v>45002</v>
          </cell>
          <cell r="L2055" t="str">
            <v/>
          </cell>
          <cell r="M2055" t="str">
            <v/>
          </cell>
          <cell r="N2055" t="str">
            <v/>
          </cell>
          <cell r="O2055" t="str">
            <v/>
          </cell>
          <cell r="P2055" t="str">
            <v/>
          </cell>
          <cell r="Q2055" t="str">
            <v/>
          </cell>
          <cell r="R2055" t="str">
            <v/>
          </cell>
          <cell r="S2055" t="str">
            <v/>
          </cell>
          <cell r="T2055" t="str">
            <v/>
          </cell>
          <cell r="U2055" t="str">
            <v/>
          </cell>
          <cell r="V2055" t="str">
            <v>N52</v>
          </cell>
          <cell r="W2055" t="str">
            <v/>
          </cell>
          <cell r="X2055" t="str">
            <v/>
          </cell>
          <cell r="Y2055" t="str">
            <v/>
          </cell>
          <cell r="Z2055" t="str">
            <v/>
          </cell>
          <cell r="AA2055" t="str">
            <v/>
          </cell>
          <cell r="AB2055" t="str">
            <v>PA_2157927-MB.7500-3</v>
          </cell>
          <cell r="AC2055">
            <v>4</v>
          </cell>
          <cell r="AD2055" t="str">
            <v/>
          </cell>
          <cell r="AE2055">
            <v>0</v>
          </cell>
          <cell r="AF2055" t="str">
            <v/>
          </cell>
          <cell r="AG2055" t="str">
            <v>1100492</v>
          </cell>
          <cell r="AH2055">
            <v>45000.834988425922</v>
          </cell>
          <cell r="AI2055" t="str">
            <v>N52</v>
          </cell>
          <cell r="AJ2055" t="str">
            <v>F</v>
          </cell>
          <cell r="AK2055" t="str">
            <v/>
          </cell>
        </row>
        <row r="2056">
          <cell r="A2056" t="str">
            <v>2345250</v>
          </cell>
          <cell r="B2056" t="e">
            <v>#N/A</v>
          </cell>
          <cell r="C2056" t="e">
            <v>#N/A</v>
          </cell>
          <cell r="D2056" t="str">
            <v>EK65</v>
          </cell>
          <cell r="E2056" t="str">
            <v>718015</v>
          </cell>
          <cell r="F2056" t="str">
            <v>B</v>
          </cell>
          <cell r="G2056" t="str">
            <v>2345250</v>
          </cell>
          <cell r="H2056" t="str">
            <v>Dehnhuelse</v>
          </cell>
          <cell r="I2056">
            <v>100</v>
          </cell>
          <cell r="J2056" t="str">
            <v>Stk</v>
          </cell>
          <cell r="K2056">
            <v>45002</v>
          </cell>
          <cell r="L2056" t="str">
            <v/>
          </cell>
          <cell r="M2056" t="str">
            <v/>
          </cell>
          <cell r="N2056" t="str">
            <v/>
          </cell>
          <cell r="O2056" t="str">
            <v/>
          </cell>
          <cell r="P2056" t="str">
            <v/>
          </cell>
          <cell r="Q2056" t="str">
            <v/>
          </cell>
          <cell r="R2056" t="str">
            <v/>
          </cell>
          <cell r="S2056" t="str">
            <v/>
          </cell>
          <cell r="T2056" t="str">
            <v/>
          </cell>
          <cell r="U2056" t="str">
            <v/>
          </cell>
          <cell r="V2056" t="str">
            <v>N52</v>
          </cell>
          <cell r="W2056" t="str">
            <v>3.1</v>
          </cell>
          <cell r="X2056" t="str">
            <v/>
          </cell>
          <cell r="Y2056" t="str">
            <v/>
          </cell>
          <cell r="Z2056" t="str">
            <v/>
          </cell>
          <cell r="AA2056" t="str">
            <v/>
          </cell>
          <cell r="AB2056" t="str">
            <v>PA_2072828-CF.3027-3</v>
          </cell>
          <cell r="AC2056">
            <v>4</v>
          </cell>
          <cell r="AD2056" t="str">
            <v/>
          </cell>
          <cell r="AE2056">
            <v>0</v>
          </cell>
          <cell r="AF2056" t="str">
            <v/>
          </cell>
          <cell r="AG2056" t="str">
            <v>2345250</v>
          </cell>
          <cell r="AH2056">
            <v>45000.835949074077</v>
          </cell>
          <cell r="AI2056" t="str">
            <v>N52</v>
          </cell>
          <cell r="AJ2056" t="str">
            <v>F</v>
          </cell>
          <cell r="AK2056" t="str">
            <v/>
          </cell>
        </row>
        <row r="2057">
          <cell r="A2057" t="str">
            <v>1235641820531</v>
          </cell>
          <cell r="B2057" t="str">
            <v>Übergabe Task Force</v>
          </cell>
          <cell r="C2057" t="e">
            <v>#N/A</v>
          </cell>
          <cell r="D2057" t="str">
            <v>EK65</v>
          </cell>
          <cell r="E2057" t="str">
            <v>718103</v>
          </cell>
          <cell r="F2057" t="str">
            <v>E</v>
          </cell>
          <cell r="G2057" t="str">
            <v>1235641</v>
          </cell>
          <cell r="H2057" t="str">
            <v>Steckerblech Pneumatik</v>
          </cell>
          <cell r="I2057">
            <v>1</v>
          </cell>
          <cell r="J2057" t="str">
            <v>Stk</v>
          </cell>
          <cell r="K2057">
            <v>45073</v>
          </cell>
          <cell r="L2057" t="str">
            <v>820531</v>
          </cell>
          <cell r="M2057" t="str">
            <v/>
          </cell>
          <cell r="N2057" t="str">
            <v/>
          </cell>
          <cell r="O2057" t="str">
            <v/>
          </cell>
          <cell r="P2057" t="str">
            <v/>
          </cell>
          <cell r="Q2057" t="str">
            <v/>
          </cell>
          <cell r="R2057" t="str">
            <v/>
          </cell>
          <cell r="S2057" t="str">
            <v/>
          </cell>
          <cell r="T2057" t="str">
            <v/>
          </cell>
          <cell r="U2057" t="str">
            <v/>
          </cell>
          <cell r="V2057" t="str">
            <v>N52</v>
          </cell>
          <cell r="W2057" t="str">
            <v/>
          </cell>
          <cell r="X2057" t="str">
            <v/>
          </cell>
          <cell r="Y2057" t="str">
            <v/>
          </cell>
          <cell r="Z2057" t="str">
            <v/>
          </cell>
          <cell r="AA2057" t="str">
            <v/>
          </cell>
          <cell r="AB2057" t="str">
            <v>PA_2329512-UA.3046-3</v>
          </cell>
          <cell r="AC2057">
            <v>1</v>
          </cell>
          <cell r="AD2057" t="str">
            <v/>
          </cell>
          <cell r="AE2057">
            <v>0</v>
          </cell>
          <cell r="AF2057" t="str">
            <v/>
          </cell>
          <cell r="AG2057" t="str">
            <v>1235641</v>
          </cell>
          <cell r="AH2057">
            <v>45000.872152777774</v>
          </cell>
          <cell r="AI2057" t="str">
            <v>N52</v>
          </cell>
          <cell r="AJ2057" t="str">
            <v>F</v>
          </cell>
          <cell r="AK2057" t="str">
            <v>A</v>
          </cell>
        </row>
        <row r="2058">
          <cell r="A2058" t="str">
            <v>1100812820541</v>
          </cell>
          <cell r="B2058" t="e">
            <v>#N/A</v>
          </cell>
          <cell r="C2058" t="e">
            <v>#N/A</v>
          </cell>
          <cell r="D2058" t="str">
            <v>EK65</v>
          </cell>
          <cell r="E2058" t="str">
            <v>718168</v>
          </cell>
          <cell r="F2058" t="str">
            <v>E</v>
          </cell>
          <cell r="G2058" t="str">
            <v>1100812</v>
          </cell>
          <cell r="H2058" t="str">
            <v>Distanzhuelse</v>
          </cell>
          <cell r="I2058">
            <v>352</v>
          </cell>
          <cell r="J2058" t="str">
            <v>Stk</v>
          </cell>
          <cell r="K2058">
            <v>45173</v>
          </cell>
          <cell r="L2058" t="str">
            <v>820541</v>
          </cell>
          <cell r="M2058" t="str">
            <v/>
          </cell>
          <cell r="N2058" t="str">
            <v/>
          </cell>
          <cell r="O2058" t="str">
            <v/>
          </cell>
          <cell r="P2058" t="str">
            <v/>
          </cell>
          <cell r="Q2058" t="str">
            <v/>
          </cell>
          <cell r="R2058" t="str">
            <v/>
          </cell>
          <cell r="S2058" t="str">
            <v/>
          </cell>
          <cell r="T2058" t="str">
            <v/>
          </cell>
          <cell r="U2058" t="str">
            <v/>
          </cell>
          <cell r="V2058" t="str">
            <v>N52</v>
          </cell>
          <cell r="W2058" t="str">
            <v/>
          </cell>
          <cell r="X2058" t="str">
            <v/>
          </cell>
          <cell r="Y2058" t="str">
            <v/>
          </cell>
          <cell r="Z2058" t="str">
            <v/>
          </cell>
          <cell r="AA2058" t="str">
            <v/>
          </cell>
          <cell r="AB2058" t="str">
            <v>PA_2177164-TB.3034-4</v>
          </cell>
          <cell r="AC2058">
            <v>1</v>
          </cell>
          <cell r="AD2058" t="str">
            <v/>
          </cell>
          <cell r="AE2058">
            <v>0</v>
          </cell>
          <cell r="AF2058" t="str">
            <v/>
          </cell>
          <cell r="AG2058" t="str">
            <v>1100812</v>
          </cell>
          <cell r="AH2058">
            <v>45000.912083333336</v>
          </cell>
          <cell r="AI2058" t="str">
            <v>N52</v>
          </cell>
          <cell r="AJ2058" t="str">
            <v>F</v>
          </cell>
          <cell r="AK2058" t="str">
            <v/>
          </cell>
        </row>
        <row r="2059">
          <cell r="A2059" t="str">
            <v>12536566829052</v>
          </cell>
          <cell r="B2059" t="str">
            <v>Übergabe Task Force</v>
          </cell>
          <cell r="C2059" t="e">
            <v>#N/A</v>
          </cell>
          <cell r="D2059" t="str">
            <v>EK65</v>
          </cell>
          <cell r="E2059" t="str">
            <v>718171</v>
          </cell>
          <cell r="F2059" t="str">
            <v>E</v>
          </cell>
          <cell r="G2059" t="str">
            <v>12536566</v>
          </cell>
          <cell r="H2059" t="str">
            <v>Kupferplatte 2 vollst.</v>
          </cell>
          <cell r="I2059">
            <v>30</v>
          </cell>
          <cell r="J2059" t="str">
            <v>Stk</v>
          </cell>
          <cell r="K2059">
            <v>45247</v>
          </cell>
          <cell r="L2059" t="str">
            <v>829052</v>
          </cell>
          <cell r="M2059" t="str">
            <v/>
          </cell>
          <cell r="N2059" t="str">
            <v/>
          </cell>
          <cell r="O2059" t="str">
            <v/>
          </cell>
          <cell r="P2059" t="str">
            <v/>
          </cell>
          <cell r="Q2059" t="str">
            <v/>
          </cell>
          <cell r="R2059" t="str">
            <v/>
          </cell>
          <cell r="S2059" t="str">
            <v/>
          </cell>
          <cell r="T2059" t="str">
            <v/>
          </cell>
          <cell r="U2059" t="str">
            <v/>
          </cell>
          <cell r="V2059" t="str">
            <v>N38</v>
          </cell>
          <cell r="W2059" t="str">
            <v/>
          </cell>
          <cell r="X2059" t="str">
            <v/>
          </cell>
          <cell r="Y2059" t="str">
            <v/>
          </cell>
          <cell r="Z2059" t="str">
            <v/>
          </cell>
          <cell r="AA2059" t="str">
            <v/>
          </cell>
          <cell r="AB2059" t="str">
            <v>PA_4377742-UA.7005-3</v>
          </cell>
          <cell r="AC2059">
            <v>1</v>
          </cell>
          <cell r="AD2059" t="str">
            <v/>
          </cell>
          <cell r="AE2059">
            <v>0</v>
          </cell>
          <cell r="AF2059" t="str">
            <v/>
          </cell>
          <cell r="AG2059" t="str">
            <v>12536566</v>
          </cell>
          <cell r="AH2059">
            <v>45000.919930555552</v>
          </cell>
          <cell r="AI2059" t="str">
            <v>N38</v>
          </cell>
          <cell r="AJ2059" t="str">
            <v>F</v>
          </cell>
          <cell r="AK2059" t="str">
            <v/>
          </cell>
        </row>
        <row r="2060">
          <cell r="A2060" t="str">
            <v>12536599829052</v>
          </cell>
          <cell r="B2060" t="str">
            <v>Übergabe Task Force</v>
          </cell>
          <cell r="C2060" t="e">
            <v>#N/A</v>
          </cell>
          <cell r="D2060" t="str">
            <v>EK65</v>
          </cell>
          <cell r="E2060" t="str">
            <v>718172</v>
          </cell>
          <cell r="F2060" t="str">
            <v>E</v>
          </cell>
          <cell r="G2060" t="str">
            <v>12536599</v>
          </cell>
          <cell r="H2060" t="str">
            <v>Kupferplatte 3 vollst.</v>
          </cell>
          <cell r="I2060">
            <v>31</v>
          </cell>
          <cell r="J2060" t="str">
            <v>Stk</v>
          </cell>
          <cell r="K2060">
            <v>45240</v>
          </cell>
          <cell r="L2060" t="str">
            <v>829052</v>
          </cell>
          <cell r="M2060" t="str">
            <v/>
          </cell>
          <cell r="N2060" t="str">
            <v/>
          </cell>
          <cell r="O2060" t="str">
            <v/>
          </cell>
          <cell r="P2060" t="str">
            <v/>
          </cell>
          <cell r="Q2060" t="str">
            <v/>
          </cell>
          <cell r="R2060" t="str">
            <v/>
          </cell>
          <cell r="S2060" t="str">
            <v/>
          </cell>
          <cell r="T2060" t="str">
            <v/>
          </cell>
          <cell r="U2060" t="str">
            <v/>
          </cell>
          <cell r="V2060" t="str">
            <v>N38</v>
          </cell>
          <cell r="W2060" t="str">
            <v/>
          </cell>
          <cell r="X2060" t="str">
            <v/>
          </cell>
          <cell r="Y2060" t="str">
            <v/>
          </cell>
          <cell r="Z2060" t="str">
            <v/>
          </cell>
          <cell r="AA2060" t="str">
            <v/>
          </cell>
          <cell r="AB2060" t="str">
            <v>PA_4377808-UA.7005-3</v>
          </cell>
          <cell r="AC2060">
            <v>1</v>
          </cell>
          <cell r="AD2060" t="str">
            <v/>
          </cell>
          <cell r="AE2060">
            <v>0</v>
          </cell>
          <cell r="AF2060" t="str">
            <v/>
          </cell>
          <cell r="AG2060" t="str">
            <v>12536599</v>
          </cell>
          <cell r="AH2060">
            <v>45000.919942129629</v>
          </cell>
          <cell r="AI2060" t="str">
            <v>N38</v>
          </cell>
          <cell r="AJ2060" t="str">
            <v>F</v>
          </cell>
          <cell r="AK2060" t="str">
            <v>A</v>
          </cell>
        </row>
        <row r="2061">
          <cell r="A2061" t="str">
            <v>12662341820541</v>
          </cell>
          <cell r="B2061" t="e">
            <v>#N/A</v>
          </cell>
          <cell r="C2061" t="e">
            <v>#N/A</v>
          </cell>
          <cell r="D2061" t="str">
            <v>EK65</v>
          </cell>
          <cell r="E2061" t="str">
            <v>718196</v>
          </cell>
          <cell r="F2061" t="str">
            <v>E</v>
          </cell>
          <cell r="G2061" t="str">
            <v>12662341</v>
          </cell>
          <cell r="H2061" t="str">
            <v>Halter vollst.</v>
          </cell>
          <cell r="I2061">
            <v>88</v>
          </cell>
          <cell r="J2061" t="str">
            <v>Stk</v>
          </cell>
          <cell r="K2061">
            <v>45166</v>
          </cell>
          <cell r="L2061" t="str">
            <v>820541</v>
          </cell>
          <cell r="M2061" t="str">
            <v/>
          </cell>
          <cell r="N2061" t="str">
            <v/>
          </cell>
          <cell r="O2061" t="str">
            <v/>
          </cell>
          <cell r="P2061" t="str">
            <v/>
          </cell>
          <cell r="Q2061" t="str">
            <v/>
          </cell>
          <cell r="R2061" t="str">
            <v/>
          </cell>
          <cell r="S2061" t="str">
            <v/>
          </cell>
          <cell r="T2061" t="str">
            <v/>
          </cell>
          <cell r="U2061" t="str">
            <v/>
          </cell>
          <cell r="V2061" t="str">
            <v>N38</v>
          </cell>
          <cell r="W2061" t="str">
            <v/>
          </cell>
          <cell r="X2061" t="str">
            <v/>
          </cell>
          <cell r="Y2061" t="str">
            <v/>
          </cell>
          <cell r="Z2061" t="str">
            <v/>
          </cell>
          <cell r="AA2061" t="str">
            <v/>
          </cell>
          <cell r="AB2061" t="str">
            <v>PA_4981776-QE.3048-4</v>
          </cell>
          <cell r="AC2061">
            <v>1</v>
          </cell>
          <cell r="AD2061" t="str">
            <v/>
          </cell>
          <cell r="AE2061">
            <v>0</v>
          </cell>
          <cell r="AF2061" t="str">
            <v/>
          </cell>
          <cell r="AG2061" t="str">
            <v>12662341</v>
          </cell>
          <cell r="AH2061">
            <v>45000.924907407411</v>
          </cell>
          <cell r="AI2061" t="str">
            <v>N38</v>
          </cell>
          <cell r="AJ2061" t="str">
            <v>F</v>
          </cell>
          <cell r="AK2061" t="str">
            <v/>
          </cell>
        </row>
        <row r="2062">
          <cell r="A2062" t="str">
            <v>1394099820541</v>
          </cell>
          <cell r="B2062" t="e">
            <v>#N/A</v>
          </cell>
          <cell r="C2062" t="e">
            <v>#N/A</v>
          </cell>
          <cell r="D2062" t="str">
            <v>EK65</v>
          </cell>
          <cell r="E2062" t="str">
            <v>718210</v>
          </cell>
          <cell r="F2062" t="str">
            <v>E</v>
          </cell>
          <cell r="G2062" t="str">
            <v>1394099</v>
          </cell>
          <cell r="H2062" t="str">
            <v>Scheibe</v>
          </cell>
          <cell r="I2062">
            <v>352</v>
          </cell>
          <cell r="J2062" t="str">
            <v>Stk</v>
          </cell>
          <cell r="K2062">
            <v>45170</v>
          </cell>
          <cell r="L2062" t="str">
            <v>820541</v>
          </cell>
          <cell r="M2062" t="str">
            <v/>
          </cell>
          <cell r="N2062" t="str">
            <v/>
          </cell>
          <cell r="O2062" t="str">
            <v/>
          </cell>
          <cell r="P2062" t="str">
            <v/>
          </cell>
          <cell r="Q2062" t="str">
            <v/>
          </cell>
          <cell r="R2062" t="str">
            <v/>
          </cell>
          <cell r="S2062" t="str">
            <v/>
          </cell>
          <cell r="T2062" t="str">
            <v/>
          </cell>
          <cell r="U2062" t="str">
            <v/>
          </cell>
          <cell r="V2062" t="str">
            <v>N52</v>
          </cell>
          <cell r="W2062" t="str">
            <v/>
          </cell>
          <cell r="X2062" t="str">
            <v/>
          </cell>
          <cell r="Y2062" t="str">
            <v/>
          </cell>
          <cell r="Z2062" t="str">
            <v/>
          </cell>
          <cell r="AA2062" t="str">
            <v/>
          </cell>
          <cell r="AB2062" t="str">
            <v>PA_2314462-TD.6005-4</v>
          </cell>
          <cell r="AC2062">
            <v>1</v>
          </cell>
          <cell r="AD2062" t="str">
            <v/>
          </cell>
          <cell r="AE2062">
            <v>0</v>
          </cell>
          <cell r="AF2062" t="str">
            <v/>
          </cell>
          <cell r="AG2062" t="str">
            <v>1394099</v>
          </cell>
          <cell r="AH2062">
            <v>45000.926006944443</v>
          </cell>
          <cell r="AI2062" t="str">
            <v>N52</v>
          </cell>
          <cell r="AJ2062" t="str">
            <v>F</v>
          </cell>
          <cell r="AK2062" t="str">
            <v/>
          </cell>
        </row>
        <row r="2063">
          <cell r="A2063" t="str">
            <v>0663847</v>
          </cell>
          <cell r="B2063" t="e">
            <v>#N/A</v>
          </cell>
          <cell r="C2063" t="e">
            <v>#N/A</v>
          </cell>
          <cell r="D2063" t="str">
            <v>EK65</v>
          </cell>
          <cell r="E2063" t="str">
            <v>718513</v>
          </cell>
          <cell r="F2063" t="str">
            <v>B</v>
          </cell>
          <cell r="G2063" t="str">
            <v>0663847</v>
          </cell>
          <cell r="H2063" t="str">
            <v>Einsetzstueck</v>
          </cell>
          <cell r="I2063">
            <v>28</v>
          </cell>
          <cell r="J2063" t="str">
            <v>Stk</v>
          </cell>
          <cell r="K2063">
            <v>45003</v>
          </cell>
          <cell r="L2063" t="str">
            <v/>
          </cell>
          <cell r="M2063" t="str">
            <v/>
          </cell>
          <cell r="N2063" t="str">
            <v/>
          </cell>
          <cell r="O2063" t="str">
            <v/>
          </cell>
          <cell r="P2063" t="str">
            <v/>
          </cell>
          <cell r="Q2063" t="str">
            <v/>
          </cell>
          <cell r="R2063" t="str">
            <v/>
          </cell>
          <cell r="S2063" t="str">
            <v/>
          </cell>
          <cell r="T2063" t="str">
            <v/>
          </cell>
          <cell r="U2063" t="str">
            <v/>
          </cell>
          <cell r="V2063" t="str">
            <v>N52</v>
          </cell>
          <cell r="W2063" t="str">
            <v/>
          </cell>
          <cell r="X2063" t="str">
            <v/>
          </cell>
          <cell r="Y2063" t="str">
            <v/>
          </cell>
          <cell r="Z2063" t="str">
            <v/>
          </cell>
          <cell r="AA2063" t="str">
            <v/>
          </cell>
          <cell r="AB2063" t="str">
            <v>PA_2200516-TA.7500-4</v>
          </cell>
          <cell r="AC2063">
            <v>4</v>
          </cell>
          <cell r="AD2063" t="str">
            <v/>
          </cell>
          <cell r="AE2063">
            <v>0</v>
          </cell>
          <cell r="AF2063" t="str">
            <v/>
          </cell>
          <cell r="AG2063" t="str">
            <v>0663847</v>
          </cell>
          <cell r="AH2063">
            <v>45001.834456018521</v>
          </cell>
          <cell r="AI2063" t="str">
            <v>N52</v>
          </cell>
          <cell r="AJ2063" t="str">
            <v>F</v>
          </cell>
          <cell r="AK2063" t="str">
            <v>A</v>
          </cell>
        </row>
        <row r="2064">
          <cell r="A2064" t="str">
            <v>0876363</v>
          </cell>
          <cell r="B2064" t="e">
            <v>#N/A</v>
          </cell>
          <cell r="C2064" t="e">
            <v>#N/A</v>
          </cell>
          <cell r="D2064" t="str">
            <v>EK65</v>
          </cell>
          <cell r="E2064" t="str">
            <v>718514</v>
          </cell>
          <cell r="F2064" t="str">
            <v>B</v>
          </cell>
          <cell r="G2064" t="str">
            <v>0876363</v>
          </cell>
          <cell r="H2064" t="str">
            <v>Beillage</v>
          </cell>
          <cell r="I2064">
            <v>41</v>
          </cell>
          <cell r="J2064" t="str">
            <v>Stk</v>
          </cell>
          <cell r="K2064">
            <v>45003</v>
          </cell>
          <cell r="L2064" t="str">
            <v/>
          </cell>
          <cell r="M2064" t="str">
            <v/>
          </cell>
          <cell r="N2064" t="str">
            <v/>
          </cell>
          <cell r="O2064" t="str">
            <v/>
          </cell>
          <cell r="P2064" t="str">
            <v/>
          </cell>
          <cell r="Q2064" t="str">
            <v/>
          </cell>
          <cell r="R2064" t="str">
            <v/>
          </cell>
          <cell r="S2064" t="str">
            <v/>
          </cell>
          <cell r="T2064" t="str">
            <v/>
          </cell>
          <cell r="U2064" t="str">
            <v/>
          </cell>
          <cell r="V2064" t="str">
            <v>N52</v>
          </cell>
          <cell r="W2064" t="str">
            <v/>
          </cell>
          <cell r="X2064" t="str">
            <v/>
          </cell>
          <cell r="Y2064" t="str">
            <v/>
          </cell>
          <cell r="Z2064" t="str">
            <v/>
          </cell>
          <cell r="AA2064" t="str">
            <v/>
          </cell>
          <cell r="AB2064" t="str">
            <v>PA_2236922-CD.7500-4</v>
          </cell>
          <cell r="AC2064">
            <v>4</v>
          </cell>
          <cell r="AD2064" t="str">
            <v/>
          </cell>
          <cell r="AE2064">
            <v>0</v>
          </cell>
          <cell r="AF2064" t="str">
            <v/>
          </cell>
          <cell r="AG2064" t="str">
            <v>0876363</v>
          </cell>
          <cell r="AH2064">
            <v>45001.834722222222</v>
          </cell>
          <cell r="AI2064" t="str">
            <v>N52</v>
          </cell>
          <cell r="AJ2064" t="str">
            <v>F</v>
          </cell>
          <cell r="AK2064" t="str">
            <v/>
          </cell>
        </row>
        <row r="2065">
          <cell r="A2065" t="str">
            <v>1126129</v>
          </cell>
          <cell r="B2065" t="e">
            <v>#N/A</v>
          </cell>
          <cell r="C2065" t="e">
            <v>#N/A</v>
          </cell>
          <cell r="D2065" t="str">
            <v>EK65</v>
          </cell>
          <cell r="E2065" t="str">
            <v>718523</v>
          </cell>
          <cell r="F2065" t="str">
            <v>B</v>
          </cell>
          <cell r="G2065" t="str">
            <v>1126129</v>
          </cell>
          <cell r="H2065" t="str">
            <v>Schlauchhalter 3er Oberteil</v>
          </cell>
          <cell r="I2065">
            <v>20</v>
          </cell>
          <cell r="J2065" t="str">
            <v>Stk</v>
          </cell>
          <cell r="K2065">
            <v>45003</v>
          </cell>
          <cell r="L2065" t="str">
            <v/>
          </cell>
          <cell r="M2065" t="str">
            <v/>
          </cell>
          <cell r="N2065" t="str">
            <v/>
          </cell>
          <cell r="O2065" t="str">
            <v/>
          </cell>
          <cell r="P2065" t="str">
            <v/>
          </cell>
          <cell r="Q2065" t="str">
            <v/>
          </cell>
          <cell r="R2065" t="str">
            <v/>
          </cell>
          <cell r="S2065" t="str">
            <v/>
          </cell>
          <cell r="T2065" t="str">
            <v/>
          </cell>
          <cell r="U2065" t="str">
            <v/>
          </cell>
          <cell r="V2065" t="str">
            <v>N52</v>
          </cell>
          <cell r="W2065" t="str">
            <v/>
          </cell>
          <cell r="X2065" t="str">
            <v/>
          </cell>
          <cell r="Y2065" t="str">
            <v/>
          </cell>
          <cell r="Z2065" t="str">
            <v/>
          </cell>
          <cell r="AA2065" t="str">
            <v/>
          </cell>
          <cell r="AB2065" t="str">
            <v>PA_2211909-UA.7500-3</v>
          </cell>
          <cell r="AC2065">
            <v>4</v>
          </cell>
          <cell r="AD2065" t="str">
            <v/>
          </cell>
          <cell r="AE2065">
            <v>0</v>
          </cell>
          <cell r="AF2065" t="str">
            <v/>
          </cell>
          <cell r="AG2065" t="str">
            <v>1126129</v>
          </cell>
          <cell r="AH2065">
            <v>45001.835069444445</v>
          </cell>
          <cell r="AI2065" t="str">
            <v>N52</v>
          </cell>
          <cell r="AJ2065" t="str">
            <v>F</v>
          </cell>
          <cell r="AK2065" t="str">
            <v/>
          </cell>
        </row>
        <row r="2066">
          <cell r="A2066" t="str">
            <v>1126130</v>
          </cell>
          <cell r="B2066" t="e">
            <v>#N/A</v>
          </cell>
          <cell r="C2066" t="e">
            <v>#N/A</v>
          </cell>
          <cell r="D2066" t="str">
            <v>EK65</v>
          </cell>
          <cell r="E2066" t="str">
            <v>718524</v>
          </cell>
          <cell r="F2066" t="str">
            <v>B</v>
          </cell>
          <cell r="G2066" t="str">
            <v>1126130</v>
          </cell>
          <cell r="H2066" t="str">
            <v>Schlauchhalter 3er Unterteil</v>
          </cell>
          <cell r="I2066">
            <v>20</v>
          </cell>
          <cell r="J2066" t="str">
            <v>Stk</v>
          </cell>
          <cell r="K2066">
            <v>45003</v>
          </cell>
          <cell r="L2066" t="str">
            <v/>
          </cell>
          <cell r="M2066" t="str">
            <v/>
          </cell>
          <cell r="N2066" t="str">
            <v/>
          </cell>
          <cell r="O2066" t="str">
            <v/>
          </cell>
          <cell r="P2066" t="str">
            <v/>
          </cell>
          <cell r="Q2066" t="str">
            <v/>
          </cell>
          <cell r="R2066" t="str">
            <v/>
          </cell>
          <cell r="S2066" t="str">
            <v/>
          </cell>
          <cell r="T2066" t="str">
            <v/>
          </cell>
          <cell r="U2066" t="str">
            <v/>
          </cell>
          <cell r="V2066" t="str">
            <v>N52</v>
          </cell>
          <cell r="W2066" t="str">
            <v/>
          </cell>
          <cell r="X2066" t="str">
            <v/>
          </cell>
          <cell r="Y2066" t="str">
            <v/>
          </cell>
          <cell r="Z2066" t="str">
            <v/>
          </cell>
          <cell r="AA2066" t="str">
            <v/>
          </cell>
          <cell r="AB2066" t="str">
            <v>PA_2211911-UA.7500-3</v>
          </cell>
          <cell r="AC2066">
            <v>4</v>
          </cell>
          <cell r="AD2066" t="str">
            <v/>
          </cell>
          <cell r="AE2066">
            <v>0</v>
          </cell>
          <cell r="AF2066" t="str">
            <v/>
          </cell>
          <cell r="AG2066" t="str">
            <v>1126130</v>
          </cell>
          <cell r="AH2066">
            <v>45001.835069444445</v>
          </cell>
          <cell r="AI2066" t="str">
            <v>N52</v>
          </cell>
          <cell r="AJ2066" t="str">
            <v>F</v>
          </cell>
          <cell r="AK2066" t="str">
            <v/>
          </cell>
        </row>
        <row r="2067">
          <cell r="A2067" t="str">
            <v>1319789</v>
          </cell>
          <cell r="B2067" t="str">
            <v>BL20230413-2</v>
          </cell>
          <cell r="C2067" t="e">
            <v>#N/A</v>
          </cell>
          <cell r="D2067" t="str">
            <v>EK65</v>
          </cell>
          <cell r="E2067" t="str">
            <v>718528</v>
          </cell>
          <cell r="F2067" t="str">
            <v>B</v>
          </cell>
          <cell r="G2067" t="str">
            <v>1319789</v>
          </cell>
          <cell r="H2067" t="str">
            <v>Beilage 2 mm</v>
          </cell>
          <cell r="I2067">
            <v>150</v>
          </cell>
          <cell r="J2067" t="str">
            <v>Stk</v>
          </cell>
          <cell r="K2067">
            <v>45003</v>
          </cell>
          <cell r="L2067" t="str">
            <v/>
          </cell>
          <cell r="M2067" t="str">
            <v/>
          </cell>
          <cell r="N2067" t="str">
            <v/>
          </cell>
          <cell r="O2067" t="str">
            <v/>
          </cell>
          <cell r="P2067" t="str">
            <v/>
          </cell>
          <cell r="Q2067" t="str">
            <v/>
          </cell>
          <cell r="R2067" t="str">
            <v/>
          </cell>
          <cell r="S2067" t="str">
            <v/>
          </cell>
          <cell r="T2067" t="str">
            <v/>
          </cell>
          <cell r="U2067" t="str">
            <v/>
          </cell>
          <cell r="V2067" t="str">
            <v>N52</v>
          </cell>
          <cell r="W2067" t="str">
            <v/>
          </cell>
          <cell r="X2067" t="str">
            <v/>
          </cell>
          <cell r="Y2067" t="str">
            <v/>
          </cell>
          <cell r="Z2067" t="str">
            <v/>
          </cell>
          <cell r="AA2067" t="str">
            <v/>
          </cell>
          <cell r="AB2067" t="str">
            <v>PA_2195538-UA.7500-4</v>
          </cell>
          <cell r="AC2067">
            <v>4</v>
          </cell>
          <cell r="AD2067" t="str">
            <v/>
          </cell>
          <cell r="AE2067">
            <v>0</v>
          </cell>
          <cell r="AF2067" t="str">
            <v/>
          </cell>
          <cell r="AG2067" t="str">
            <v>1319789</v>
          </cell>
          <cell r="AH2067">
            <v>45001.835462962961</v>
          </cell>
          <cell r="AI2067" t="str">
            <v>N52</v>
          </cell>
          <cell r="AJ2067" t="str">
            <v>F</v>
          </cell>
          <cell r="AK2067" t="str">
            <v/>
          </cell>
        </row>
        <row r="2068">
          <cell r="A2068" t="str">
            <v>0540140831003</v>
          </cell>
          <cell r="B2068" t="e">
            <v>#N/A</v>
          </cell>
          <cell r="C2068" t="e">
            <v>#N/A</v>
          </cell>
          <cell r="D2068" t="str">
            <v>EK65</v>
          </cell>
          <cell r="E2068" t="str">
            <v>718565</v>
          </cell>
          <cell r="F2068" t="str">
            <v>E</v>
          </cell>
          <cell r="G2068" t="str">
            <v>0540140</v>
          </cell>
          <cell r="H2068" t="str">
            <v>Riffelblech Trittstufe oben</v>
          </cell>
          <cell r="I2068">
            <v>2</v>
          </cell>
          <cell r="J2068" t="str">
            <v>Stk</v>
          </cell>
          <cell r="K2068">
            <v>44998</v>
          </cell>
          <cell r="L2068" t="str">
            <v>831003</v>
          </cell>
          <cell r="M2068" t="str">
            <v/>
          </cell>
          <cell r="N2068" t="str">
            <v/>
          </cell>
          <cell r="O2068" t="str">
            <v/>
          </cell>
          <cell r="P2068" t="str">
            <v/>
          </cell>
          <cell r="Q2068" t="str">
            <v/>
          </cell>
          <cell r="R2068" t="str">
            <v/>
          </cell>
          <cell r="S2068" t="str">
            <v/>
          </cell>
          <cell r="T2068" t="str">
            <v/>
          </cell>
          <cell r="U2068" t="str">
            <v/>
          </cell>
          <cell r="V2068" t="str">
            <v>N52</v>
          </cell>
          <cell r="W2068" t="str">
            <v/>
          </cell>
          <cell r="X2068" t="str">
            <v/>
          </cell>
          <cell r="Y2068" t="str">
            <v/>
          </cell>
          <cell r="Z2068" t="str">
            <v/>
          </cell>
          <cell r="AA2068" t="str">
            <v/>
          </cell>
          <cell r="AB2068" t="str">
            <v>PA_2140733-NA.7500-3</v>
          </cell>
          <cell r="AC2068">
            <v>1</v>
          </cell>
          <cell r="AD2068" t="str">
            <v/>
          </cell>
          <cell r="AE2068">
            <v>0</v>
          </cell>
          <cell r="AF2068" t="str">
            <v/>
          </cell>
          <cell r="AG2068" t="str">
            <v>0540140</v>
          </cell>
          <cell r="AH2068">
            <v>45001.866053240738</v>
          </cell>
          <cell r="AI2068" t="str">
            <v>N52</v>
          </cell>
          <cell r="AJ2068" t="str">
            <v>F</v>
          </cell>
          <cell r="AK2068" t="str">
            <v>A</v>
          </cell>
        </row>
        <row r="2069">
          <cell r="A2069" t="str">
            <v>12519774829052</v>
          </cell>
          <cell r="B2069" t="str">
            <v>Übergabe Task Force</v>
          </cell>
          <cell r="C2069">
            <v>24</v>
          </cell>
          <cell r="D2069" t="str">
            <v>EK65</v>
          </cell>
          <cell r="E2069" t="str">
            <v>718593</v>
          </cell>
          <cell r="F2069" t="str">
            <v>E</v>
          </cell>
          <cell r="G2069" t="str">
            <v>12519774</v>
          </cell>
          <cell r="H2069" t="str">
            <v>Schirmblech E6Mod</v>
          </cell>
          <cell r="I2069">
            <v>60</v>
          </cell>
          <cell r="J2069" t="str">
            <v>Stk</v>
          </cell>
          <cell r="K2069">
            <v>45296</v>
          </cell>
          <cell r="L2069" t="str">
            <v>829052</v>
          </cell>
          <cell r="M2069" t="str">
            <v/>
          </cell>
          <cell r="N2069" t="str">
            <v/>
          </cell>
          <cell r="O2069" t="str">
            <v/>
          </cell>
          <cell r="P2069" t="str">
            <v/>
          </cell>
          <cell r="Q2069" t="str">
            <v/>
          </cell>
          <cell r="R2069" t="str">
            <v/>
          </cell>
          <cell r="S2069" t="str">
            <v/>
          </cell>
          <cell r="T2069" t="str">
            <v/>
          </cell>
          <cell r="U2069" t="str">
            <v/>
          </cell>
          <cell r="V2069" t="str">
            <v>N52</v>
          </cell>
          <cell r="W2069" t="str">
            <v/>
          </cell>
          <cell r="X2069" t="str">
            <v/>
          </cell>
          <cell r="Y2069" t="str">
            <v/>
          </cell>
          <cell r="Z2069" t="str">
            <v/>
          </cell>
          <cell r="AA2069" t="str">
            <v/>
          </cell>
          <cell r="AB2069" t="str">
            <v>PA_4571755-UA.7005-2</v>
          </cell>
          <cell r="AC2069">
            <v>1</v>
          </cell>
          <cell r="AD2069" t="str">
            <v/>
          </cell>
          <cell r="AE2069">
            <v>0</v>
          </cell>
          <cell r="AF2069" t="str">
            <v/>
          </cell>
          <cell r="AG2069" t="str">
            <v>12519774</v>
          </cell>
          <cell r="AH2069">
            <v>45001.879062499997</v>
          </cell>
          <cell r="AI2069" t="str">
            <v>N52</v>
          </cell>
          <cell r="AJ2069" t="str">
            <v>F</v>
          </cell>
          <cell r="AK2069" t="str">
            <v/>
          </cell>
        </row>
        <row r="2070">
          <cell r="A2070" t="str">
            <v>12589487820541</v>
          </cell>
          <cell r="B2070" t="e">
            <v>#N/A</v>
          </cell>
          <cell r="C2070" t="e">
            <v>#N/A</v>
          </cell>
          <cell r="D2070" t="str">
            <v>EK65</v>
          </cell>
          <cell r="E2070" t="str">
            <v>718836</v>
          </cell>
          <cell r="F2070" t="str">
            <v>E</v>
          </cell>
          <cell r="G2070" t="str">
            <v>12589487</v>
          </cell>
          <cell r="H2070" t="str">
            <v>C-Schiene 4382IN L=70</v>
          </cell>
          <cell r="I2070">
            <v>55</v>
          </cell>
          <cell r="J2070" t="str">
            <v>Stk</v>
          </cell>
          <cell r="K2070">
            <v>45166</v>
          </cell>
          <cell r="L2070" t="str">
            <v>820541</v>
          </cell>
          <cell r="M2070" t="str">
            <v/>
          </cell>
          <cell r="N2070" t="str">
            <v/>
          </cell>
          <cell r="O2070" t="str">
            <v/>
          </cell>
          <cell r="P2070" t="str">
            <v/>
          </cell>
          <cell r="Q2070" t="str">
            <v/>
          </cell>
          <cell r="R2070" t="str">
            <v/>
          </cell>
          <cell r="S2070" t="str">
            <v/>
          </cell>
          <cell r="T2070" t="str">
            <v/>
          </cell>
          <cell r="U2070" t="str">
            <v/>
          </cell>
          <cell r="V2070" t="str">
            <v>N52</v>
          </cell>
          <cell r="W2070" t="str">
            <v/>
          </cell>
          <cell r="X2070" t="str">
            <v/>
          </cell>
          <cell r="Y2070" t="str">
            <v/>
          </cell>
          <cell r="Z2070" t="str">
            <v/>
          </cell>
          <cell r="AA2070" t="str">
            <v/>
          </cell>
          <cell r="AB2070" t="str">
            <v>PA_4883844-BG.3048-4</v>
          </cell>
          <cell r="AC2070">
            <v>1</v>
          </cell>
          <cell r="AD2070" t="str">
            <v/>
          </cell>
          <cell r="AE2070">
            <v>0</v>
          </cell>
          <cell r="AF2070" t="str">
            <v/>
          </cell>
          <cell r="AG2070" t="str">
            <v>12589487</v>
          </cell>
          <cell r="AH2070">
            <v>45001.92496527778</v>
          </cell>
          <cell r="AI2070" t="str">
            <v>N52</v>
          </cell>
          <cell r="AJ2070" t="str">
            <v>F</v>
          </cell>
          <cell r="AK2070" t="str">
            <v/>
          </cell>
        </row>
        <row r="2071">
          <cell r="A2071" t="str">
            <v>12589503820541</v>
          </cell>
          <cell r="B2071" t="e">
            <v>#N/A</v>
          </cell>
          <cell r="C2071" t="e">
            <v>#N/A</v>
          </cell>
          <cell r="D2071" t="str">
            <v>EK65</v>
          </cell>
          <cell r="E2071" t="str">
            <v>718837</v>
          </cell>
          <cell r="F2071" t="str">
            <v>E</v>
          </cell>
          <cell r="G2071" t="str">
            <v>12589503</v>
          </cell>
          <cell r="H2071" t="str">
            <v>C-Schiene 4382IN L=150</v>
          </cell>
          <cell r="I2071">
            <v>90</v>
          </cell>
          <cell r="J2071" t="str">
            <v>Stk</v>
          </cell>
          <cell r="K2071">
            <v>45166</v>
          </cell>
          <cell r="L2071" t="str">
            <v>820541</v>
          </cell>
          <cell r="M2071" t="str">
            <v/>
          </cell>
          <cell r="N2071" t="str">
            <v/>
          </cell>
          <cell r="O2071" t="str">
            <v/>
          </cell>
          <cell r="P2071" t="str">
            <v/>
          </cell>
          <cell r="Q2071" t="str">
            <v/>
          </cell>
          <cell r="R2071" t="str">
            <v/>
          </cell>
          <cell r="S2071" t="str">
            <v/>
          </cell>
          <cell r="T2071" t="str">
            <v/>
          </cell>
          <cell r="U2071" t="str">
            <v/>
          </cell>
          <cell r="V2071" t="str">
            <v>N52</v>
          </cell>
          <cell r="W2071" t="str">
            <v/>
          </cell>
          <cell r="X2071" t="str">
            <v/>
          </cell>
          <cell r="Y2071" t="str">
            <v/>
          </cell>
          <cell r="Z2071" t="str">
            <v/>
          </cell>
          <cell r="AA2071" t="str">
            <v/>
          </cell>
          <cell r="AB2071" t="str">
            <v>PA_4883928-BG.3048-4</v>
          </cell>
          <cell r="AC2071">
            <v>1</v>
          </cell>
          <cell r="AD2071" t="str">
            <v/>
          </cell>
          <cell r="AE2071">
            <v>0</v>
          </cell>
          <cell r="AF2071" t="str">
            <v/>
          </cell>
          <cell r="AG2071" t="str">
            <v>12589503</v>
          </cell>
          <cell r="AH2071">
            <v>45001.92496527778</v>
          </cell>
          <cell r="AI2071" t="str">
            <v>N52</v>
          </cell>
          <cell r="AJ2071" t="str">
            <v>F</v>
          </cell>
          <cell r="AK2071" t="str">
            <v/>
          </cell>
        </row>
        <row r="2072">
          <cell r="A2072" t="str">
            <v>12589692820541</v>
          </cell>
          <cell r="B2072" t="e">
            <v>#N/A</v>
          </cell>
          <cell r="C2072" t="e">
            <v>#N/A</v>
          </cell>
          <cell r="D2072" t="str">
            <v>EK65</v>
          </cell>
          <cell r="E2072" t="str">
            <v>718838</v>
          </cell>
          <cell r="F2072" t="str">
            <v>E</v>
          </cell>
          <cell r="G2072" t="str">
            <v>12589692</v>
          </cell>
          <cell r="H2072" t="str">
            <v>C-Schiene 4382IN L=250</v>
          </cell>
          <cell r="I2072">
            <v>5</v>
          </cell>
          <cell r="J2072" t="str">
            <v>Stk</v>
          </cell>
          <cell r="K2072">
            <v>45166</v>
          </cell>
          <cell r="L2072" t="str">
            <v>820541</v>
          </cell>
          <cell r="M2072" t="str">
            <v/>
          </cell>
          <cell r="N2072" t="str">
            <v/>
          </cell>
          <cell r="O2072" t="str">
            <v/>
          </cell>
          <cell r="P2072" t="str">
            <v/>
          </cell>
          <cell r="Q2072" t="str">
            <v/>
          </cell>
          <cell r="R2072" t="str">
            <v/>
          </cell>
          <cell r="S2072" t="str">
            <v/>
          </cell>
          <cell r="T2072" t="str">
            <v/>
          </cell>
          <cell r="U2072" t="str">
            <v/>
          </cell>
          <cell r="V2072" t="str">
            <v>N52</v>
          </cell>
          <cell r="W2072" t="str">
            <v/>
          </cell>
          <cell r="X2072" t="str">
            <v/>
          </cell>
          <cell r="Y2072" t="str">
            <v/>
          </cell>
          <cell r="Z2072" t="str">
            <v/>
          </cell>
          <cell r="AA2072" t="str">
            <v/>
          </cell>
          <cell r="AB2072" t="str">
            <v>PA_4884552-BG.3048-4</v>
          </cell>
          <cell r="AC2072">
            <v>1</v>
          </cell>
          <cell r="AD2072" t="str">
            <v/>
          </cell>
          <cell r="AE2072">
            <v>0</v>
          </cell>
          <cell r="AF2072" t="str">
            <v/>
          </cell>
          <cell r="AG2072" t="str">
            <v>12589692</v>
          </cell>
          <cell r="AH2072">
            <v>45001.924976851849</v>
          </cell>
          <cell r="AI2072" t="str">
            <v>N52</v>
          </cell>
          <cell r="AJ2072" t="str">
            <v>F</v>
          </cell>
          <cell r="AK2072" t="str">
            <v/>
          </cell>
        </row>
        <row r="2073">
          <cell r="A2073" t="str">
            <v>12636513820541</v>
          </cell>
          <cell r="B2073" t="e">
            <v>#N/A</v>
          </cell>
          <cell r="C2073" t="e">
            <v>#N/A</v>
          </cell>
          <cell r="D2073" t="str">
            <v>EK65</v>
          </cell>
          <cell r="E2073" t="str">
            <v>718840</v>
          </cell>
          <cell r="F2073" t="str">
            <v>E</v>
          </cell>
          <cell r="G2073" t="str">
            <v>12636513</v>
          </cell>
          <cell r="H2073" t="str">
            <v>Hutprofil kpl.</v>
          </cell>
          <cell r="I2073">
            <v>10</v>
          </cell>
          <cell r="J2073" t="str">
            <v>Stk</v>
          </cell>
          <cell r="K2073">
            <v>45166</v>
          </cell>
          <cell r="L2073" t="str">
            <v>820541</v>
          </cell>
          <cell r="M2073" t="str">
            <v/>
          </cell>
          <cell r="N2073" t="str">
            <v/>
          </cell>
          <cell r="O2073" t="str">
            <v/>
          </cell>
          <cell r="P2073" t="str">
            <v/>
          </cell>
          <cell r="Q2073" t="str">
            <v/>
          </cell>
          <cell r="R2073" t="str">
            <v/>
          </cell>
          <cell r="S2073" t="str">
            <v/>
          </cell>
          <cell r="T2073" t="str">
            <v/>
          </cell>
          <cell r="U2073" t="str">
            <v/>
          </cell>
          <cell r="V2073" t="str">
            <v>N52</v>
          </cell>
          <cell r="W2073" t="str">
            <v/>
          </cell>
          <cell r="X2073" t="str">
            <v/>
          </cell>
          <cell r="Y2073" t="str">
            <v/>
          </cell>
          <cell r="Z2073" t="str">
            <v/>
          </cell>
          <cell r="AA2073" t="str">
            <v/>
          </cell>
          <cell r="AB2073" t="str">
            <v>PA_5128732-TB.3048-4</v>
          </cell>
          <cell r="AC2073">
            <v>1</v>
          </cell>
          <cell r="AD2073" t="str">
            <v/>
          </cell>
          <cell r="AE2073">
            <v>0</v>
          </cell>
          <cell r="AF2073" t="str">
            <v/>
          </cell>
          <cell r="AG2073" t="str">
            <v>12636513</v>
          </cell>
          <cell r="AH2073">
            <v>45001.926041666666</v>
          </cell>
          <cell r="AI2073" t="str">
            <v>N52</v>
          </cell>
          <cell r="AJ2073" t="str">
            <v>F</v>
          </cell>
          <cell r="AK2073" t="str">
            <v/>
          </cell>
        </row>
        <row r="2074">
          <cell r="A2074" t="str">
            <v>12636515820541</v>
          </cell>
          <cell r="B2074" t="e">
            <v>#N/A</v>
          </cell>
          <cell r="C2074" t="e">
            <v>#N/A</v>
          </cell>
          <cell r="D2074" t="str">
            <v>EK65</v>
          </cell>
          <cell r="E2074" t="str">
            <v>718841</v>
          </cell>
          <cell r="F2074" t="str">
            <v>E</v>
          </cell>
          <cell r="G2074" t="str">
            <v>12636515</v>
          </cell>
          <cell r="H2074" t="str">
            <v>Hutprofil kpl.</v>
          </cell>
          <cell r="I2074">
            <v>10</v>
          </cell>
          <cell r="J2074" t="str">
            <v>Stk</v>
          </cell>
          <cell r="K2074">
            <v>45166</v>
          </cell>
          <cell r="L2074" t="str">
            <v>820541</v>
          </cell>
          <cell r="M2074" t="str">
            <v/>
          </cell>
          <cell r="N2074" t="str">
            <v/>
          </cell>
          <cell r="O2074" t="str">
            <v/>
          </cell>
          <cell r="P2074" t="str">
            <v/>
          </cell>
          <cell r="Q2074" t="str">
            <v/>
          </cell>
          <cell r="R2074" t="str">
            <v/>
          </cell>
          <cell r="S2074" t="str">
            <v/>
          </cell>
          <cell r="T2074" t="str">
            <v/>
          </cell>
          <cell r="U2074" t="str">
            <v/>
          </cell>
          <cell r="V2074" t="str">
            <v>N52</v>
          </cell>
          <cell r="W2074" t="str">
            <v/>
          </cell>
          <cell r="X2074" t="str">
            <v/>
          </cell>
          <cell r="Y2074" t="str">
            <v/>
          </cell>
          <cell r="Z2074" t="str">
            <v/>
          </cell>
          <cell r="AA2074" t="str">
            <v/>
          </cell>
          <cell r="AB2074" t="str">
            <v>PA_5128765-TB.3048-4</v>
          </cell>
          <cell r="AC2074">
            <v>1</v>
          </cell>
          <cell r="AD2074" t="str">
            <v/>
          </cell>
          <cell r="AE2074">
            <v>0</v>
          </cell>
          <cell r="AF2074" t="str">
            <v/>
          </cell>
          <cell r="AG2074" t="str">
            <v>12636515</v>
          </cell>
          <cell r="AH2074">
            <v>45001.926041666666</v>
          </cell>
          <cell r="AI2074" t="str">
            <v>N52</v>
          </cell>
          <cell r="AJ2074" t="str">
            <v>F</v>
          </cell>
          <cell r="AK2074" t="str">
            <v/>
          </cell>
        </row>
        <row r="2075">
          <cell r="A2075" t="str">
            <v>12656857820541</v>
          </cell>
          <cell r="B2075" t="e">
            <v>#N/A</v>
          </cell>
          <cell r="C2075" t="e">
            <v>#N/A</v>
          </cell>
          <cell r="D2075" t="str">
            <v>EK65</v>
          </cell>
          <cell r="E2075" t="str">
            <v>718847</v>
          </cell>
          <cell r="F2075" t="str">
            <v>E</v>
          </cell>
          <cell r="G2075" t="str">
            <v>12656857</v>
          </cell>
          <cell r="H2075" t="str">
            <v>C- Schiene, L=200</v>
          </cell>
          <cell r="I2075">
            <v>20</v>
          </cell>
          <cell r="J2075" t="str">
            <v>Stk</v>
          </cell>
          <cell r="K2075">
            <v>45166</v>
          </cell>
          <cell r="L2075" t="str">
            <v>820541</v>
          </cell>
          <cell r="M2075" t="str">
            <v/>
          </cell>
          <cell r="N2075" t="str">
            <v/>
          </cell>
          <cell r="O2075" t="str">
            <v/>
          </cell>
          <cell r="P2075" t="str">
            <v/>
          </cell>
          <cell r="Q2075" t="str">
            <v/>
          </cell>
          <cell r="R2075" t="str">
            <v/>
          </cell>
          <cell r="S2075" t="str">
            <v/>
          </cell>
          <cell r="T2075" t="str">
            <v/>
          </cell>
          <cell r="U2075" t="str">
            <v/>
          </cell>
          <cell r="V2075" t="str">
            <v>N38</v>
          </cell>
          <cell r="W2075" t="str">
            <v/>
          </cell>
          <cell r="X2075" t="str">
            <v/>
          </cell>
          <cell r="Y2075" t="str">
            <v/>
          </cell>
          <cell r="Z2075" t="str">
            <v/>
          </cell>
          <cell r="AA2075" t="str">
            <v/>
          </cell>
          <cell r="AB2075" t="str">
            <v>PA_5212063-CA.3048-4</v>
          </cell>
          <cell r="AC2075">
            <v>1</v>
          </cell>
          <cell r="AD2075" t="str">
            <v/>
          </cell>
          <cell r="AE2075">
            <v>0</v>
          </cell>
          <cell r="AF2075" t="str">
            <v/>
          </cell>
          <cell r="AG2075" t="str">
            <v>12656857</v>
          </cell>
          <cell r="AH2075">
            <v>45001.927731481483</v>
          </cell>
          <cell r="AI2075" t="str">
            <v>N38</v>
          </cell>
          <cell r="AJ2075" t="str">
            <v>F</v>
          </cell>
          <cell r="AK2075" t="str">
            <v/>
          </cell>
        </row>
        <row r="2076">
          <cell r="A2076" t="str">
            <v>12656883820541</v>
          </cell>
          <cell r="B2076" t="e">
            <v>#N/A</v>
          </cell>
          <cell r="C2076" t="e">
            <v>#N/A</v>
          </cell>
          <cell r="D2076" t="str">
            <v>EK65</v>
          </cell>
          <cell r="E2076" t="str">
            <v>718848</v>
          </cell>
          <cell r="F2076" t="str">
            <v>E</v>
          </cell>
          <cell r="G2076" t="str">
            <v>12656883</v>
          </cell>
          <cell r="H2076" t="str">
            <v>C- Schiene, L=150</v>
          </cell>
          <cell r="I2076">
            <v>40</v>
          </cell>
          <cell r="J2076" t="str">
            <v>Stk</v>
          </cell>
          <cell r="K2076">
            <v>45166</v>
          </cell>
          <cell r="L2076" t="str">
            <v>820541</v>
          </cell>
          <cell r="M2076" t="str">
            <v/>
          </cell>
          <cell r="N2076" t="str">
            <v/>
          </cell>
          <cell r="O2076" t="str">
            <v/>
          </cell>
          <cell r="P2076" t="str">
            <v/>
          </cell>
          <cell r="Q2076" t="str">
            <v/>
          </cell>
          <cell r="R2076" t="str">
            <v/>
          </cell>
          <cell r="S2076" t="str">
            <v/>
          </cell>
          <cell r="T2076" t="str">
            <v/>
          </cell>
          <cell r="U2076" t="str">
            <v/>
          </cell>
          <cell r="V2076" t="str">
            <v>N38</v>
          </cell>
          <cell r="W2076" t="str">
            <v/>
          </cell>
          <cell r="X2076" t="str">
            <v/>
          </cell>
          <cell r="Y2076" t="str">
            <v/>
          </cell>
          <cell r="Z2076" t="str">
            <v/>
          </cell>
          <cell r="AA2076" t="str">
            <v/>
          </cell>
          <cell r="AB2076" t="str">
            <v>PA_5212240-CA.3048-4</v>
          </cell>
          <cell r="AC2076">
            <v>1</v>
          </cell>
          <cell r="AD2076" t="str">
            <v/>
          </cell>
          <cell r="AE2076">
            <v>0</v>
          </cell>
          <cell r="AF2076" t="str">
            <v/>
          </cell>
          <cell r="AG2076" t="str">
            <v>12656883</v>
          </cell>
          <cell r="AH2076">
            <v>45001.927743055552</v>
          </cell>
          <cell r="AI2076" t="str">
            <v>N38</v>
          </cell>
          <cell r="AJ2076" t="str">
            <v>F</v>
          </cell>
          <cell r="AK2076" t="str">
            <v/>
          </cell>
        </row>
        <row r="2077">
          <cell r="A2077" t="str">
            <v>12656918820541</v>
          </cell>
          <cell r="B2077" t="e">
            <v>#N/A</v>
          </cell>
          <cell r="C2077" t="e">
            <v>#N/A</v>
          </cell>
          <cell r="D2077" t="str">
            <v>EK65</v>
          </cell>
          <cell r="E2077" t="str">
            <v>718849</v>
          </cell>
          <cell r="F2077" t="str">
            <v>E</v>
          </cell>
          <cell r="G2077" t="str">
            <v>12656918</v>
          </cell>
          <cell r="H2077" t="str">
            <v>C-Schiene, L = 130</v>
          </cell>
          <cell r="I2077">
            <v>20</v>
          </cell>
          <cell r="J2077" t="str">
            <v>Stk</v>
          </cell>
          <cell r="K2077">
            <v>45166</v>
          </cell>
          <cell r="L2077" t="str">
            <v>820541</v>
          </cell>
          <cell r="M2077" t="str">
            <v/>
          </cell>
          <cell r="N2077" t="str">
            <v/>
          </cell>
          <cell r="O2077" t="str">
            <v/>
          </cell>
          <cell r="P2077" t="str">
            <v/>
          </cell>
          <cell r="Q2077" t="str">
            <v/>
          </cell>
          <cell r="R2077" t="str">
            <v/>
          </cell>
          <cell r="S2077" t="str">
            <v/>
          </cell>
          <cell r="T2077" t="str">
            <v/>
          </cell>
          <cell r="U2077" t="str">
            <v/>
          </cell>
          <cell r="V2077" t="str">
            <v>N38</v>
          </cell>
          <cell r="W2077" t="str">
            <v/>
          </cell>
          <cell r="X2077" t="str">
            <v/>
          </cell>
          <cell r="Y2077" t="str">
            <v/>
          </cell>
          <cell r="Z2077" t="str">
            <v/>
          </cell>
          <cell r="AA2077" t="str">
            <v/>
          </cell>
          <cell r="AB2077" t="str">
            <v>PA_5212324-CA.3048-4</v>
          </cell>
          <cell r="AC2077">
            <v>1</v>
          </cell>
          <cell r="AD2077" t="str">
            <v/>
          </cell>
          <cell r="AE2077">
            <v>0</v>
          </cell>
          <cell r="AF2077" t="str">
            <v/>
          </cell>
          <cell r="AG2077" t="str">
            <v>12656918</v>
          </cell>
          <cell r="AH2077">
            <v>45001.927743055552</v>
          </cell>
          <cell r="AI2077" t="str">
            <v>N38</v>
          </cell>
          <cell r="AJ2077" t="str">
            <v>F</v>
          </cell>
          <cell r="AK2077" t="str">
            <v/>
          </cell>
        </row>
        <row r="2078">
          <cell r="A2078" t="str">
            <v>12656934820541</v>
          </cell>
          <cell r="B2078" t="e">
            <v>#N/A</v>
          </cell>
          <cell r="C2078" t="e">
            <v>#N/A</v>
          </cell>
          <cell r="D2078" t="str">
            <v>EK65</v>
          </cell>
          <cell r="E2078" t="str">
            <v>718850</v>
          </cell>
          <cell r="F2078" t="str">
            <v>E</v>
          </cell>
          <cell r="G2078" t="str">
            <v>12656934</v>
          </cell>
          <cell r="H2078" t="str">
            <v>C-Schiene, L = 150</v>
          </cell>
          <cell r="I2078">
            <v>20</v>
          </cell>
          <cell r="J2078" t="str">
            <v>Stk</v>
          </cell>
          <cell r="K2078">
            <v>45166</v>
          </cell>
          <cell r="L2078" t="str">
            <v>820541</v>
          </cell>
          <cell r="M2078" t="str">
            <v/>
          </cell>
          <cell r="N2078" t="str">
            <v/>
          </cell>
          <cell r="O2078" t="str">
            <v/>
          </cell>
          <cell r="P2078" t="str">
            <v/>
          </cell>
          <cell r="Q2078" t="str">
            <v/>
          </cell>
          <cell r="R2078" t="str">
            <v/>
          </cell>
          <cell r="S2078" t="str">
            <v/>
          </cell>
          <cell r="T2078" t="str">
            <v/>
          </cell>
          <cell r="U2078" t="str">
            <v/>
          </cell>
          <cell r="V2078" t="str">
            <v>N38</v>
          </cell>
          <cell r="W2078" t="str">
            <v/>
          </cell>
          <cell r="X2078" t="str">
            <v/>
          </cell>
          <cell r="Y2078" t="str">
            <v/>
          </cell>
          <cell r="Z2078" t="str">
            <v/>
          </cell>
          <cell r="AA2078" t="str">
            <v/>
          </cell>
          <cell r="AB2078" t="str">
            <v>PA_5212411-CA.3048-4</v>
          </cell>
          <cell r="AC2078">
            <v>1</v>
          </cell>
          <cell r="AD2078" t="str">
            <v/>
          </cell>
          <cell r="AE2078">
            <v>0</v>
          </cell>
          <cell r="AF2078" t="str">
            <v/>
          </cell>
          <cell r="AG2078" t="str">
            <v>12656934</v>
          </cell>
          <cell r="AH2078">
            <v>45001.927743055552</v>
          </cell>
          <cell r="AI2078" t="str">
            <v>N38</v>
          </cell>
          <cell r="AJ2078" t="str">
            <v>F</v>
          </cell>
          <cell r="AK2078" t="str">
            <v/>
          </cell>
        </row>
        <row r="2079">
          <cell r="A2079" t="str">
            <v>12664999820541</v>
          </cell>
          <cell r="B2079" t="e">
            <v>#N/A</v>
          </cell>
          <cell r="C2079" t="e">
            <v>#N/A</v>
          </cell>
          <cell r="D2079" t="str">
            <v>EK65</v>
          </cell>
          <cell r="E2079" t="str">
            <v>718852</v>
          </cell>
          <cell r="F2079" t="str">
            <v>E</v>
          </cell>
          <cell r="G2079" t="str">
            <v>12664999</v>
          </cell>
          <cell r="H2079" t="str">
            <v>Halteblech vollst.</v>
          </cell>
          <cell r="I2079">
            <v>5</v>
          </cell>
          <cell r="J2079" t="str">
            <v>Stk</v>
          </cell>
          <cell r="K2079">
            <v>45166</v>
          </cell>
          <cell r="L2079" t="str">
            <v>820541</v>
          </cell>
          <cell r="M2079" t="str">
            <v/>
          </cell>
          <cell r="N2079" t="str">
            <v/>
          </cell>
          <cell r="O2079" t="str">
            <v/>
          </cell>
          <cell r="P2079" t="str">
            <v/>
          </cell>
          <cell r="Q2079" t="str">
            <v/>
          </cell>
          <cell r="R2079" t="str">
            <v/>
          </cell>
          <cell r="S2079" t="str">
            <v/>
          </cell>
          <cell r="T2079" t="str">
            <v/>
          </cell>
          <cell r="U2079" t="str">
            <v/>
          </cell>
          <cell r="V2079" t="str">
            <v>N52</v>
          </cell>
          <cell r="W2079" t="str">
            <v/>
          </cell>
          <cell r="X2079" t="str">
            <v/>
          </cell>
          <cell r="Y2079" t="str">
            <v/>
          </cell>
          <cell r="Z2079" t="str">
            <v/>
          </cell>
          <cell r="AA2079" t="str">
            <v/>
          </cell>
          <cell r="AB2079" t="str">
            <v>PA_4970796-QE.3048-4</v>
          </cell>
          <cell r="AC2079">
            <v>1</v>
          </cell>
          <cell r="AD2079" t="str">
            <v/>
          </cell>
          <cell r="AE2079">
            <v>0</v>
          </cell>
          <cell r="AF2079" t="str">
            <v/>
          </cell>
          <cell r="AG2079" t="str">
            <v>12664999</v>
          </cell>
          <cell r="AH2079">
            <v>45001.927951388891</v>
          </cell>
          <cell r="AI2079" t="str">
            <v>N52</v>
          </cell>
          <cell r="AJ2079" t="str">
            <v>F</v>
          </cell>
          <cell r="AK2079" t="str">
            <v/>
          </cell>
        </row>
        <row r="2080">
          <cell r="A2080" t="str">
            <v>12665001820541</v>
          </cell>
          <cell r="B2080" t="e">
            <v>#N/A</v>
          </cell>
          <cell r="C2080" t="e">
            <v>#N/A</v>
          </cell>
          <cell r="D2080" t="str">
            <v>EK65</v>
          </cell>
          <cell r="E2080" t="str">
            <v>718853</v>
          </cell>
          <cell r="F2080" t="str">
            <v>E</v>
          </cell>
          <cell r="G2080" t="str">
            <v>12665001</v>
          </cell>
          <cell r="H2080" t="str">
            <v>Halteblech vollst.</v>
          </cell>
          <cell r="I2080">
            <v>5</v>
          </cell>
          <cell r="J2080" t="str">
            <v>Stk</v>
          </cell>
          <cell r="K2080">
            <v>45166</v>
          </cell>
          <cell r="L2080" t="str">
            <v>820541</v>
          </cell>
          <cell r="M2080" t="str">
            <v/>
          </cell>
          <cell r="N2080" t="str">
            <v/>
          </cell>
          <cell r="O2080" t="str">
            <v/>
          </cell>
          <cell r="P2080" t="str">
            <v/>
          </cell>
          <cell r="Q2080" t="str">
            <v/>
          </cell>
          <cell r="R2080" t="str">
            <v/>
          </cell>
          <cell r="S2080" t="str">
            <v/>
          </cell>
          <cell r="T2080" t="str">
            <v/>
          </cell>
          <cell r="U2080" t="str">
            <v/>
          </cell>
          <cell r="V2080" t="str">
            <v>N52</v>
          </cell>
          <cell r="W2080" t="str">
            <v/>
          </cell>
          <cell r="X2080" t="str">
            <v/>
          </cell>
          <cell r="Y2080" t="str">
            <v/>
          </cell>
          <cell r="Z2080" t="str">
            <v/>
          </cell>
          <cell r="AA2080" t="str">
            <v/>
          </cell>
          <cell r="AB2080" t="str">
            <v>PA_4970793-QE.3048-4</v>
          </cell>
          <cell r="AC2080">
            <v>1</v>
          </cell>
          <cell r="AD2080" t="str">
            <v/>
          </cell>
          <cell r="AE2080">
            <v>0</v>
          </cell>
          <cell r="AF2080" t="str">
            <v/>
          </cell>
          <cell r="AG2080" t="str">
            <v>12665001</v>
          </cell>
          <cell r="AH2080">
            <v>45001.92796296296</v>
          </cell>
          <cell r="AI2080" t="str">
            <v>N52</v>
          </cell>
          <cell r="AJ2080" t="str">
            <v>F</v>
          </cell>
          <cell r="AK2080" t="str">
            <v/>
          </cell>
        </row>
        <row r="2081">
          <cell r="A2081" t="str">
            <v>12665003820541</v>
          </cell>
          <cell r="B2081" t="e">
            <v>#N/A</v>
          </cell>
          <cell r="C2081" t="e">
            <v>#N/A</v>
          </cell>
          <cell r="D2081" t="str">
            <v>EK65</v>
          </cell>
          <cell r="E2081" t="str">
            <v>718854</v>
          </cell>
          <cell r="F2081" t="str">
            <v>E</v>
          </cell>
          <cell r="G2081" t="str">
            <v>12665003</v>
          </cell>
          <cell r="H2081" t="str">
            <v>Halteblech vollst.</v>
          </cell>
          <cell r="I2081">
            <v>5</v>
          </cell>
          <cell r="J2081" t="str">
            <v>Stk</v>
          </cell>
          <cell r="K2081">
            <v>45166</v>
          </cell>
          <cell r="L2081" t="str">
            <v>820541</v>
          </cell>
          <cell r="M2081" t="str">
            <v/>
          </cell>
          <cell r="N2081" t="str">
            <v/>
          </cell>
          <cell r="O2081" t="str">
            <v/>
          </cell>
          <cell r="P2081" t="str">
            <v/>
          </cell>
          <cell r="Q2081" t="str">
            <v/>
          </cell>
          <cell r="R2081" t="str">
            <v/>
          </cell>
          <cell r="S2081" t="str">
            <v/>
          </cell>
          <cell r="T2081" t="str">
            <v/>
          </cell>
          <cell r="U2081" t="str">
            <v/>
          </cell>
          <cell r="V2081" t="str">
            <v>N52</v>
          </cell>
          <cell r="W2081" t="str">
            <v/>
          </cell>
          <cell r="X2081" t="str">
            <v/>
          </cell>
          <cell r="Y2081" t="str">
            <v/>
          </cell>
          <cell r="Z2081" t="str">
            <v/>
          </cell>
          <cell r="AA2081" t="str">
            <v/>
          </cell>
          <cell r="AB2081" t="str">
            <v>PA_4924749-QE.3048-4</v>
          </cell>
          <cell r="AC2081">
            <v>1</v>
          </cell>
          <cell r="AD2081" t="str">
            <v/>
          </cell>
          <cell r="AE2081">
            <v>0</v>
          </cell>
          <cell r="AF2081" t="str">
            <v/>
          </cell>
          <cell r="AG2081" t="str">
            <v>12665003</v>
          </cell>
          <cell r="AH2081">
            <v>45001.92796296296</v>
          </cell>
          <cell r="AI2081" t="str">
            <v>N52</v>
          </cell>
          <cell r="AJ2081" t="str">
            <v>F</v>
          </cell>
          <cell r="AK2081" t="str">
            <v/>
          </cell>
        </row>
        <row r="2082">
          <cell r="A2082" t="str">
            <v>12666821820541</v>
          </cell>
          <cell r="B2082" t="e">
            <v>#N/A</v>
          </cell>
          <cell r="C2082" t="e">
            <v>#N/A</v>
          </cell>
          <cell r="D2082" t="str">
            <v>EK65</v>
          </cell>
          <cell r="E2082" t="str">
            <v>718855</v>
          </cell>
          <cell r="F2082" t="str">
            <v>E</v>
          </cell>
          <cell r="G2082" t="str">
            <v>12666821</v>
          </cell>
          <cell r="H2082" t="str">
            <v>Halteblech vollst.</v>
          </cell>
          <cell r="I2082">
            <v>25</v>
          </cell>
          <cell r="J2082" t="str">
            <v>Stk</v>
          </cell>
          <cell r="K2082">
            <v>45167</v>
          </cell>
          <cell r="L2082" t="str">
            <v>820541</v>
          </cell>
          <cell r="M2082" t="str">
            <v/>
          </cell>
          <cell r="N2082" t="str">
            <v/>
          </cell>
          <cell r="O2082" t="str">
            <v/>
          </cell>
          <cell r="P2082" t="str">
            <v/>
          </cell>
          <cell r="Q2082" t="str">
            <v/>
          </cell>
          <cell r="R2082" t="str">
            <v/>
          </cell>
          <cell r="S2082" t="str">
            <v/>
          </cell>
          <cell r="T2082" t="str">
            <v/>
          </cell>
          <cell r="U2082" t="str">
            <v/>
          </cell>
          <cell r="V2082" t="str">
            <v>N38</v>
          </cell>
          <cell r="W2082" t="str">
            <v/>
          </cell>
          <cell r="X2082" t="str">
            <v/>
          </cell>
          <cell r="Y2082" t="str">
            <v/>
          </cell>
          <cell r="Z2082" t="str">
            <v/>
          </cell>
          <cell r="AA2082" t="str">
            <v/>
          </cell>
          <cell r="AB2082" t="str">
            <v>PA_5100918-FF.3048-4</v>
          </cell>
          <cell r="AC2082">
            <v>1</v>
          </cell>
          <cell r="AD2082" t="str">
            <v/>
          </cell>
          <cell r="AE2082">
            <v>0</v>
          </cell>
          <cell r="AF2082" t="str">
            <v/>
          </cell>
          <cell r="AG2082" t="str">
            <v>12666821</v>
          </cell>
          <cell r="AH2082">
            <v>45001.928020833337</v>
          </cell>
          <cell r="AI2082" t="str">
            <v>N38</v>
          </cell>
          <cell r="AJ2082" t="str">
            <v>F</v>
          </cell>
          <cell r="AK2082" t="str">
            <v/>
          </cell>
        </row>
        <row r="2083">
          <cell r="A2083" t="str">
            <v>12666823820541</v>
          </cell>
          <cell r="B2083" t="e">
            <v>#N/A</v>
          </cell>
          <cell r="C2083" t="e">
            <v>#N/A</v>
          </cell>
          <cell r="D2083" t="str">
            <v>EK65</v>
          </cell>
          <cell r="E2083" t="str">
            <v>718856</v>
          </cell>
          <cell r="F2083" t="str">
            <v>E</v>
          </cell>
          <cell r="G2083" t="str">
            <v>12666823</v>
          </cell>
          <cell r="H2083" t="str">
            <v>Halteblech vollst.</v>
          </cell>
          <cell r="I2083">
            <v>5</v>
          </cell>
          <cell r="J2083" t="str">
            <v>Stk</v>
          </cell>
          <cell r="K2083">
            <v>45167</v>
          </cell>
          <cell r="L2083" t="str">
            <v>820541</v>
          </cell>
          <cell r="M2083" t="str">
            <v/>
          </cell>
          <cell r="N2083" t="str">
            <v/>
          </cell>
          <cell r="O2083" t="str">
            <v/>
          </cell>
          <cell r="P2083" t="str">
            <v/>
          </cell>
          <cell r="Q2083" t="str">
            <v/>
          </cell>
          <cell r="R2083" t="str">
            <v/>
          </cell>
          <cell r="S2083" t="str">
            <v/>
          </cell>
          <cell r="T2083" t="str">
            <v/>
          </cell>
          <cell r="U2083" t="str">
            <v/>
          </cell>
          <cell r="V2083" t="str">
            <v>N38</v>
          </cell>
          <cell r="W2083" t="str">
            <v/>
          </cell>
          <cell r="X2083" t="str">
            <v/>
          </cell>
          <cell r="Y2083" t="str">
            <v/>
          </cell>
          <cell r="Z2083" t="str">
            <v/>
          </cell>
          <cell r="AA2083" t="str">
            <v/>
          </cell>
          <cell r="AB2083" t="str">
            <v>PA_5100883-FF.3048-4</v>
          </cell>
          <cell r="AC2083">
            <v>1</v>
          </cell>
          <cell r="AD2083" t="str">
            <v/>
          </cell>
          <cell r="AE2083">
            <v>0</v>
          </cell>
          <cell r="AF2083" t="str">
            <v/>
          </cell>
          <cell r="AG2083" t="str">
            <v>12666823</v>
          </cell>
          <cell r="AH2083">
            <v>45001.928032407406</v>
          </cell>
          <cell r="AI2083" t="str">
            <v>N38</v>
          </cell>
          <cell r="AJ2083" t="str">
            <v>F</v>
          </cell>
          <cell r="AK2083" t="str">
            <v/>
          </cell>
        </row>
        <row r="2084">
          <cell r="A2084" t="str">
            <v>12666825820541</v>
          </cell>
          <cell r="B2084" t="e">
            <v>#N/A</v>
          </cell>
          <cell r="C2084" t="e">
            <v>#N/A</v>
          </cell>
          <cell r="D2084" t="str">
            <v>EK65</v>
          </cell>
          <cell r="E2084" t="str">
            <v>718857</v>
          </cell>
          <cell r="F2084" t="str">
            <v>E</v>
          </cell>
          <cell r="G2084" t="str">
            <v>12666825</v>
          </cell>
          <cell r="H2084" t="str">
            <v>Halteblech vollst.</v>
          </cell>
          <cell r="I2084">
            <v>5</v>
          </cell>
          <cell r="J2084" t="str">
            <v>Stk</v>
          </cell>
          <cell r="K2084">
            <v>45167</v>
          </cell>
          <cell r="L2084" t="str">
            <v>820541</v>
          </cell>
          <cell r="M2084" t="str">
            <v/>
          </cell>
          <cell r="N2084" t="str">
            <v/>
          </cell>
          <cell r="O2084" t="str">
            <v/>
          </cell>
          <cell r="P2084" t="str">
            <v/>
          </cell>
          <cell r="Q2084" t="str">
            <v/>
          </cell>
          <cell r="R2084" t="str">
            <v/>
          </cell>
          <cell r="S2084" t="str">
            <v/>
          </cell>
          <cell r="T2084" t="str">
            <v/>
          </cell>
          <cell r="U2084" t="str">
            <v/>
          </cell>
          <cell r="V2084" t="str">
            <v>N38</v>
          </cell>
          <cell r="W2084" t="str">
            <v/>
          </cell>
          <cell r="X2084" t="str">
            <v/>
          </cell>
          <cell r="Y2084" t="str">
            <v/>
          </cell>
          <cell r="Z2084" t="str">
            <v/>
          </cell>
          <cell r="AA2084" t="str">
            <v/>
          </cell>
          <cell r="AB2084" t="str">
            <v>PA_4981076-QE.3048-3</v>
          </cell>
          <cell r="AC2084">
            <v>1</v>
          </cell>
          <cell r="AD2084" t="str">
            <v/>
          </cell>
          <cell r="AE2084">
            <v>0</v>
          </cell>
          <cell r="AF2084" t="str">
            <v/>
          </cell>
          <cell r="AG2084" t="str">
            <v>12666825</v>
          </cell>
          <cell r="AH2084">
            <v>45001.928032407406</v>
          </cell>
          <cell r="AI2084" t="str">
            <v>N38</v>
          </cell>
          <cell r="AJ2084" t="str">
            <v>F</v>
          </cell>
          <cell r="AK2084" t="str">
            <v/>
          </cell>
        </row>
        <row r="2085">
          <cell r="A2085" t="str">
            <v>12666827820541</v>
          </cell>
          <cell r="B2085" t="e">
            <v>#N/A</v>
          </cell>
          <cell r="C2085" t="e">
            <v>#N/A</v>
          </cell>
          <cell r="D2085" t="str">
            <v>EK65</v>
          </cell>
          <cell r="E2085" t="str">
            <v>718858</v>
          </cell>
          <cell r="F2085" t="str">
            <v>E</v>
          </cell>
          <cell r="G2085" t="str">
            <v>12666827</v>
          </cell>
          <cell r="H2085" t="str">
            <v>Halteblech vollst.</v>
          </cell>
          <cell r="I2085">
            <v>20</v>
          </cell>
          <cell r="J2085" t="str">
            <v>Stk</v>
          </cell>
          <cell r="K2085">
            <v>45167</v>
          </cell>
          <cell r="L2085" t="str">
            <v>820541</v>
          </cell>
          <cell r="M2085" t="str">
            <v/>
          </cell>
          <cell r="N2085" t="str">
            <v/>
          </cell>
          <cell r="O2085" t="str">
            <v/>
          </cell>
          <cell r="P2085" t="str">
            <v/>
          </cell>
          <cell r="Q2085" t="str">
            <v/>
          </cell>
          <cell r="R2085" t="str">
            <v/>
          </cell>
          <cell r="S2085" t="str">
            <v/>
          </cell>
          <cell r="T2085" t="str">
            <v/>
          </cell>
          <cell r="U2085" t="str">
            <v/>
          </cell>
          <cell r="V2085" t="str">
            <v>N38</v>
          </cell>
          <cell r="W2085" t="str">
            <v/>
          </cell>
          <cell r="X2085" t="str">
            <v/>
          </cell>
          <cell r="Y2085" t="str">
            <v/>
          </cell>
          <cell r="Z2085" t="str">
            <v/>
          </cell>
          <cell r="AA2085" t="str">
            <v/>
          </cell>
          <cell r="AB2085" t="str">
            <v>PA_4979055-QE.3048-4</v>
          </cell>
          <cell r="AC2085">
            <v>1</v>
          </cell>
          <cell r="AD2085" t="str">
            <v/>
          </cell>
          <cell r="AE2085">
            <v>0</v>
          </cell>
          <cell r="AF2085" t="str">
            <v/>
          </cell>
          <cell r="AG2085" t="str">
            <v>12666827</v>
          </cell>
          <cell r="AH2085">
            <v>45001.928032407406</v>
          </cell>
          <cell r="AI2085" t="str">
            <v>N38</v>
          </cell>
          <cell r="AJ2085" t="str">
            <v>F</v>
          </cell>
          <cell r="AK2085" t="str">
            <v/>
          </cell>
        </row>
        <row r="2086">
          <cell r="A2086" t="str">
            <v>12666829820541</v>
          </cell>
          <cell r="B2086" t="e">
            <v>#N/A</v>
          </cell>
          <cell r="C2086" t="e">
            <v>#N/A</v>
          </cell>
          <cell r="D2086" t="str">
            <v>EK65</v>
          </cell>
          <cell r="E2086" t="str">
            <v>718859</v>
          </cell>
          <cell r="F2086" t="str">
            <v>E</v>
          </cell>
          <cell r="G2086" t="str">
            <v>12666829</v>
          </cell>
          <cell r="H2086" t="str">
            <v>Halteblech vollst.</v>
          </cell>
          <cell r="I2086">
            <v>10</v>
          </cell>
          <cell r="J2086" t="str">
            <v>Stk</v>
          </cell>
          <cell r="K2086">
            <v>45167</v>
          </cell>
          <cell r="L2086" t="str">
            <v>820541</v>
          </cell>
          <cell r="M2086" t="str">
            <v/>
          </cell>
          <cell r="N2086" t="str">
            <v/>
          </cell>
          <cell r="O2086" t="str">
            <v/>
          </cell>
          <cell r="P2086" t="str">
            <v/>
          </cell>
          <cell r="Q2086" t="str">
            <v/>
          </cell>
          <cell r="R2086" t="str">
            <v/>
          </cell>
          <cell r="S2086" t="str">
            <v/>
          </cell>
          <cell r="T2086" t="str">
            <v/>
          </cell>
          <cell r="U2086" t="str">
            <v/>
          </cell>
          <cell r="V2086" t="str">
            <v>N38</v>
          </cell>
          <cell r="W2086" t="str">
            <v/>
          </cell>
          <cell r="X2086" t="str">
            <v/>
          </cell>
          <cell r="Y2086" t="str">
            <v/>
          </cell>
          <cell r="Z2086" t="str">
            <v/>
          </cell>
          <cell r="AA2086" t="str">
            <v/>
          </cell>
          <cell r="AB2086" t="str">
            <v>PA_4977954-QE.3048-4</v>
          </cell>
          <cell r="AC2086">
            <v>1</v>
          </cell>
          <cell r="AD2086" t="str">
            <v/>
          </cell>
          <cell r="AE2086">
            <v>0</v>
          </cell>
          <cell r="AF2086" t="str">
            <v/>
          </cell>
          <cell r="AG2086" t="str">
            <v>12666829</v>
          </cell>
          <cell r="AH2086">
            <v>45001.928043981483</v>
          </cell>
          <cell r="AI2086" t="str">
            <v>N38</v>
          </cell>
          <cell r="AJ2086" t="str">
            <v>F</v>
          </cell>
          <cell r="AK2086" t="str">
            <v/>
          </cell>
        </row>
        <row r="2087">
          <cell r="A2087" t="str">
            <v>12666857820541</v>
          </cell>
          <cell r="B2087" t="e">
            <v>#N/A</v>
          </cell>
          <cell r="C2087" t="e">
            <v>#N/A</v>
          </cell>
          <cell r="D2087" t="str">
            <v>EK65</v>
          </cell>
          <cell r="E2087" t="str">
            <v>718860</v>
          </cell>
          <cell r="F2087" t="str">
            <v>E</v>
          </cell>
          <cell r="G2087" t="str">
            <v>12666857</v>
          </cell>
          <cell r="H2087" t="str">
            <v>Halteblech vollst.</v>
          </cell>
          <cell r="I2087">
            <v>65</v>
          </cell>
          <cell r="J2087" t="str">
            <v>Stk</v>
          </cell>
          <cell r="K2087">
            <v>45167</v>
          </cell>
          <cell r="L2087" t="str">
            <v>820541</v>
          </cell>
          <cell r="M2087" t="str">
            <v/>
          </cell>
          <cell r="N2087" t="str">
            <v/>
          </cell>
          <cell r="O2087" t="str">
            <v/>
          </cell>
          <cell r="P2087" t="str">
            <v/>
          </cell>
          <cell r="Q2087" t="str">
            <v/>
          </cell>
          <cell r="R2087" t="str">
            <v/>
          </cell>
          <cell r="S2087" t="str">
            <v/>
          </cell>
          <cell r="T2087" t="str">
            <v/>
          </cell>
          <cell r="U2087" t="str">
            <v/>
          </cell>
          <cell r="V2087" t="str">
            <v>N38</v>
          </cell>
          <cell r="W2087" t="str">
            <v/>
          </cell>
          <cell r="X2087" t="str">
            <v/>
          </cell>
          <cell r="Y2087" t="str">
            <v/>
          </cell>
          <cell r="Z2087" t="str">
            <v/>
          </cell>
          <cell r="AA2087" t="str">
            <v/>
          </cell>
          <cell r="AB2087" t="str">
            <v>PA_4928459-FF.3048-4</v>
          </cell>
          <cell r="AC2087">
            <v>1</v>
          </cell>
          <cell r="AD2087" t="str">
            <v/>
          </cell>
          <cell r="AE2087">
            <v>0</v>
          </cell>
          <cell r="AF2087" t="str">
            <v/>
          </cell>
          <cell r="AG2087" t="str">
            <v>12666857</v>
          </cell>
          <cell r="AH2087">
            <v>45001.928043981483</v>
          </cell>
          <cell r="AI2087" t="str">
            <v>N38</v>
          </cell>
          <cell r="AJ2087" t="str">
            <v>F</v>
          </cell>
          <cell r="AK2087" t="str">
            <v/>
          </cell>
        </row>
        <row r="2088">
          <cell r="A2088" t="str">
            <v>0157235</v>
          </cell>
          <cell r="B2088" t="e">
            <v>#N/A</v>
          </cell>
          <cell r="C2088" t="e">
            <v>#N/A</v>
          </cell>
          <cell r="D2088" t="str">
            <v>EK65</v>
          </cell>
          <cell r="E2088" t="str">
            <v>719129</v>
          </cell>
          <cell r="F2088" t="str">
            <v>B</v>
          </cell>
          <cell r="G2088" t="str">
            <v>0157235</v>
          </cell>
          <cell r="H2088" t="str">
            <v>Distanzscheibe</v>
          </cell>
          <cell r="I2088">
            <v>200</v>
          </cell>
          <cell r="J2088" t="str">
            <v>Stk</v>
          </cell>
          <cell r="K2088">
            <v>45004</v>
          </cell>
          <cell r="L2088" t="str">
            <v/>
          </cell>
          <cell r="M2088" t="str">
            <v/>
          </cell>
          <cell r="N2088" t="str">
            <v/>
          </cell>
          <cell r="O2088" t="str">
            <v/>
          </cell>
          <cell r="P2088" t="str">
            <v/>
          </cell>
          <cell r="Q2088" t="str">
            <v/>
          </cell>
          <cell r="R2088" t="str">
            <v/>
          </cell>
          <cell r="S2088" t="str">
            <v/>
          </cell>
          <cell r="T2088" t="str">
            <v/>
          </cell>
          <cell r="U2088" t="str">
            <v/>
          </cell>
          <cell r="V2088" t="str">
            <v>N52</v>
          </cell>
          <cell r="W2088" t="str">
            <v/>
          </cell>
          <cell r="X2088" t="str">
            <v/>
          </cell>
          <cell r="Y2088" t="str">
            <v/>
          </cell>
          <cell r="Z2088" t="str">
            <v/>
          </cell>
          <cell r="AA2088" t="str">
            <v/>
          </cell>
          <cell r="AB2088" t="str">
            <v>PA_2087657-DF.6900-4</v>
          </cell>
          <cell r="AC2088">
            <v>4</v>
          </cell>
          <cell r="AD2088" t="str">
            <v/>
          </cell>
          <cell r="AE2088">
            <v>0</v>
          </cell>
          <cell r="AF2088" t="str">
            <v/>
          </cell>
          <cell r="AG2088" t="str">
            <v>0157235</v>
          </cell>
          <cell r="AH2088">
            <v>45002.83357638889</v>
          </cell>
          <cell r="AI2088" t="str">
            <v>N52</v>
          </cell>
          <cell r="AJ2088" t="str">
            <v>F</v>
          </cell>
          <cell r="AK2088" t="str">
            <v/>
          </cell>
        </row>
        <row r="2089">
          <cell r="A2089" t="str">
            <v>0158567</v>
          </cell>
          <cell r="B2089" t="e">
            <v>#N/A</v>
          </cell>
          <cell r="C2089" t="e">
            <v>#N/A</v>
          </cell>
          <cell r="D2089" t="str">
            <v>EK65</v>
          </cell>
          <cell r="E2089" t="str">
            <v>719131</v>
          </cell>
          <cell r="F2089" t="str">
            <v>B</v>
          </cell>
          <cell r="G2089" t="str">
            <v>0158567</v>
          </cell>
          <cell r="H2089" t="str">
            <v>Beilage</v>
          </cell>
          <cell r="I2089">
            <v>20</v>
          </cell>
          <cell r="J2089" t="str">
            <v>Stk</v>
          </cell>
          <cell r="K2089">
            <v>45004</v>
          </cell>
          <cell r="L2089" t="str">
            <v/>
          </cell>
          <cell r="M2089" t="str">
            <v/>
          </cell>
          <cell r="N2089" t="str">
            <v/>
          </cell>
          <cell r="O2089" t="str">
            <v/>
          </cell>
          <cell r="P2089" t="str">
            <v/>
          </cell>
          <cell r="Q2089" t="str">
            <v/>
          </cell>
          <cell r="R2089" t="str">
            <v/>
          </cell>
          <cell r="S2089" t="str">
            <v/>
          </cell>
          <cell r="T2089" t="str">
            <v/>
          </cell>
          <cell r="U2089" t="str">
            <v/>
          </cell>
          <cell r="V2089" t="str">
            <v>N52</v>
          </cell>
          <cell r="W2089" t="str">
            <v/>
          </cell>
          <cell r="X2089" t="str">
            <v/>
          </cell>
          <cell r="Y2089" t="str">
            <v/>
          </cell>
          <cell r="Z2089" t="str">
            <v/>
          </cell>
          <cell r="AA2089" t="str">
            <v/>
          </cell>
          <cell r="AB2089" t="str">
            <v>PA_2173881-TA.4016-4</v>
          </cell>
          <cell r="AC2089">
            <v>4</v>
          </cell>
          <cell r="AD2089" t="str">
            <v/>
          </cell>
          <cell r="AE2089">
            <v>0</v>
          </cell>
          <cell r="AF2089" t="str">
            <v/>
          </cell>
          <cell r="AG2089" t="str">
            <v>0158567</v>
          </cell>
          <cell r="AH2089">
            <v>45002.833587962959</v>
          </cell>
          <cell r="AI2089" t="str">
            <v>N52</v>
          </cell>
          <cell r="AJ2089" t="str">
            <v>F</v>
          </cell>
          <cell r="AK2089" t="str">
            <v/>
          </cell>
        </row>
        <row r="2090">
          <cell r="A2090" t="str">
            <v>0179799</v>
          </cell>
          <cell r="B2090" t="e">
            <v>#N/A</v>
          </cell>
          <cell r="C2090" t="e">
            <v>#N/A</v>
          </cell>
          <cell r="D2090" t="str">
            <v>EK65</v>
          </cell>
          <cell r="E2090" t="str">
            <v>719132</v>
          </cell>
          <cell r="F2090" t="str">
            <v>B</v>
          </cell>
          <cell r="G2090" t="str">
            <v>0179799</v>
          </cell>
          <cell r="H2090" t="str">
            <v>Beilage</v>
          </cell>
          <cell r="I2090">
            <v>10</v>
          </cell>
          <cell r="J2090" t="str">
            <v>Stk</v>
          </cell>
          <cell r="K2090">
            <v>45004</v>
          </cell>
          <cell r="L2090" t="str">
            <v/>
          </cell>
          <cell r="M2090" t="str">
            <v/>
          </cell>
          <cell r="N2090" t="str">
            <v/>
          </cell>
          <cell r="O2090" t="str">
            <v/>
          </cell>
          <cell r="P2090" t="str">
            <v/>
          </cell>
          <cell r="Q2090" t="str">
            <v/>
          </cell>
          <cell r="R2090" t="str">
            <v/>
          </cell>
          <cell r="S2090" t="str">
            <v/>
          </cell>
          <cell r="T2090" t="str">
            <v/>
          </cell>
          <cell r="U2090" t="str">
            <v/>
          </cell>
          <cell r="V2090" t="str">
            <v>N52</v>
          </cell>
          <cell r="W2090" t="str">
            <v/>
          </cell>
          <cell r="X2090" t="str">
            <v/>
          </cell>
          <cell r="Y2090" t="str">
            <v/>
          </cell>
          <cell r="Z2090" t="str">
            <v/>
          </cell>
          <cell r="AA2090" t="str">
            <v/>
          </cell>
          <cell r="AB2090" t="str">
            <v>PA_2155246-DC.6900-4P.1</v>
          </cell>
          <cell r="AC2090">
            <v>4</v>
          </cell>
          <cell r="AD2090" t="str">
            <v/>
          </cell>
          <cell r="AE2090">
            <v>0</v>
          </cell>
          <cell r="AF2090" t="str">
            <v/>
          </cell>
          <cell r="AG2090" t="str">
            <v>0179799</v>
          </cell>
          <cell r="AH2090">
            <v>45002.833668981482</v>
          </cell>
          <cell r="AI2090" t="str">
            <v>N52</v>
          </cell>
          <cell r="AJ2090" t="str">
            <v>F</v>
          </cell>
          <cell r="AK2090" t="str">
            <v/>
          </cell>
        </row>
        <row r="2091">
          <cell r="A2091" t="str">
            <v>0179802</v>
          </cell>
          <cell r="B2091" t="e">
            <v>#N/A</v>
          </cell>
          <cell r="C2091" t="e">
            <v>#N/A</v>
          </cell>
          <cell r="D2091" t="str">
            <v>EK65</v>
          </cell>
          <cell r="E2091" t="str">
            <v>719133</v>
          </cell>
          <cell r="F2091" t="str">
            <v>B</v>
          </cell>
          <cell r="G2091" t="str">
            <v>0179802</v>
          </cell>
          <cell r="H2091" t="str">
            <v>Beilage</v>
          </cell>
          <cell r="I2091">
            <v>10</v>
          </cell>
          <cell r="J2091" t="str">
            <v>Stk</v>
          </cell>
          <cell r="K2091">
            <v>45004</v>
          </cell>
          <cell r="L2091" t="str">
            <v/>
          </cell>
          <cell r="M2091" t="str">
            <v/>
          </cell>
          <cell r="N2091" t="str">
            <v/>
          </cell>
          <cell r="O2091" t="str">
            <v/>
          </cell>
          <cell r="P2091" t="str">
            <v/>
          </cell>
          <cell r="Q2091" t="str">
            <v/>
          </cell>
          <cell r="R2091" t="str">
            <v/>
          </cell>
          <cell r="S2091" t="str">
            <v/>
          </cell>
          <cell r="T2091" t="str">
            <v/>
          </cell>
          <cell r="U2091" t="str">
            <v/>
          </cell>
          <cell r="V2091" t="str">
            <v>N52</v>
          </cell>
          <cell r="W2091" t="str">
            <v/>
          </cell>
          <cell r="X2091" t="str">
            <v/>
          </cell>
          <cell r="Y2091" t="str">
            <v/>
          </cell>
          <cell r="Z2091" t="str">
            <v/>
          </cell>
          <cell r="AA2091" t="str">
            <v/>
          </cell>
          <cell r="AB2091" t="str">
            <v>PA_2155246-DC.6900-4P.2</v>
          </cell>
          <cell r="AC2091">
            <v>4</v>
          </cell>
          <cell r="AD2091" t="str">
            <v/>
          </cell>
          <cell r="AE2091">
            <v>0</v>
          </cell>
          <cell r="AF2091" t="str">
            <v/>
          </cell>
          <cell r="AG2091" t="str">
            <v>0179802</v>
          </cell>
          <cell r="AH2091">
            <v>45002.833668981482</v>
          </cell>
          <cell r="AI2091" t="str">
            <v>N52</v>
          </cell>
          <cell r="AJ2091" t="str">
            <v>F</v>
          </cell>
          <cell r="AK2091" t="str">
            <v/>
          </cell>
        </row>
        <row r="2092">
          <cell r="A2092" t="str">
            <v>0179813</v>
          </cell>
          <cell r="B2092" t="e">
            <v>#N/A</v>
          </cell>
          <cell r="C2092" t="e">
            <v>#N/A</v>
          </cell>
          <cell r="D2092" t="str">
            <v>EK65</v>
          </cell>
          <cell r="E2092" t="str">
            <v>719134</v>
          </cell>
          <cell r="F2092" t="str">
            <v>B</v>
          </cell>
          <cell r="G2092" t="str">
            <v>0179813</v>
          </cell>
          <cell r="H2092" t="str">
            <v>Beilage</v>
          </cell>
          <cell r="I2092">
            <v>20</v>
          </cell>
          <cell r="J2092" t="str">
            <v>Stk</v>
          </cell>
          <cell r="K2092">
            <v>45004</v>
          </cell>
          <cell r="L2092" t="str">
            <v/>
          </cell>
          <cell r="M2092" t="str">
            <v/>
          </cell>
          <cell r="N2092" t="str">
            <v/>
          </cell>
          <cell r="O2092" t="str">
            <v/>
          </cell>
          <cell r="P2092" t="str">
            <v/>
          </cell>
          <cell r="Q2092" t="str">
            <v/>
          </cell>
          <cell r="R2092" t="str">
            <v/>
          </cell>
          <cell r="S2092" t="str">
            <v/>
          </cell>
          <cell r="T2092" t="str">
            <v/>
          </cell>
          <cell r="U2092" t="str">
            <v/>
          </cell>
          <cell r="V2092" t="str">
            <v>N52</v>
          </cell>
          <cell r="W2092" t="str">
            <v/>
          </cell>
          <cell r="X2092" t="str">
            <v/>
          </cell>
          <cell r="Y2092" t="str">
            <v/>
          </cell>
          <cell r="Z2092" t="str">
            <v/>
          </cell>
          <cell r="AA2092" t="str">
            <v/>
          </cell>
          <cell r="AB2092" t="str">
            <v>PA_2155246-DC.6900-4P.3</v>
          </cell>
          <cell r="AC2092">
            <v>4</v>
          </cell>
          <cell r="AD2092" t="str">
            <v/>
          </cell>
          <cell r="AE2092">
            <v>0</v>
          </cell>
          <cell r="AF2092" t="str">
            <v/>
          </cell>
          <cell r="AG2092" t="str">
            <v>0179813</v>
          </cell>
          <cell r="AH2092">
            <v>45002.833668981482</v>
          </cell>
          <cell r="AI2092" t="str">
            <v>N52</v>
          </cell>
          <cell r="AJ2092" t="str">
            <v>F</v>
          </cell>
          <cell r="AK2092" t="str">
            <v/>
          </cell>
        </row>
        <row r="2093">
          <cell r="A2093" t="str">
            <v>0179824</v>
          </cell>
          <cell r="B2093" t="e">
            <v>#N/A</v>
          </cell>
          <cell r="C2093" t="e">
            <v>#N/A</v>
          </cell>
          <cell r="D2093" t="str">
            <v>EK65</v>
          </cell>
          <cell r="E2093" t="str">
            <v>719135</v>
          </cell>
          <cell r="F2093" t="str">
            <v>B</v>
          </cell>
          <cell r="G2093" t="str">
            <v>0179824</v>
          </cell>
          <cell r="H2093" t="str">
            <v>Beilage</v>
          </cell>
          <cell r="I2093">
            <v>20</v>
          </cell>
          <cell r="J2093" t="str">
            <v>Stk</v>
          </cell>
          <cell r="K2093">
            <v>45006</v>
          </cell>
          <cell r="L2093" t="str">
            <v/>
          </cell>
          <cell r="M2093" t="str">
            <v/>
          </cell>
          <cell r="N2093" t="str">
            <v/>
          </cell>
          <cell r="O2093" t="str">
            <v/>
          </cell>
          <cell r="P2093" t="str">
            <v/>
          </cell>
          <cell r="Q2093" t="str">
            <v/>
          </cell>
          <cell r="R2093" t="str">
            <v/>
          </cell>
          <cell r="S2093" t="str">
            <v/>
          </cell>
          <cell r="T2093" t="str">
            <v/>
          </cell>
          <cell r="U2093" t="str">
            <v/>
          </cell>
          <cell r="V2093" t="str">
            <v>N52</v>
          </cell>
          <cell r="W2093" t="str">
            <v/>
          </cell>
          <cell r="X2093" t="str">
            <v/>
          </cell>
          <cell r="Y2093" t="str">
            <v/>
          </cell>
          <cell r="Z2093" t="str">
            <v/>
          </cell>
          <cell r="AA2093" t="str">
            <v/>
          </cell>
          <cell r="AB2093" t="str">
            <v>PA_2155246-DC.6900-4P.4</v>
          </cell>
          <cell r="AC2093">
            <v>4</v>
          </cell>
          <cell r="AD2093" t="str">
            <v/>
          </cell>
          <cell r="AE2093">
            <v>0</v>
          </cell>
          <cell r="AF2093" t="str">
            <v/>
          </cell>
          <cell r="AG2093" t="str">
            <v>0179824</v>
          </cell>
          <cell r="AH2093">
            <v>45002.833680555559</v>
          </cell>
          <cell r="AI2093" t="str">
            <v>N52</v>
          </cell>
          <cell r="AJ2093" t="str">
            <v>F</v>
          </cell>
          <cell r="AK2093" t="str">
            <v/>
          </cell>
        </row>
        <row r="2094">
          <cell r="A2094" t="str">
            <v>0179857</v>
          </cell>
          <cell r="B2094" t="e">
            <v>#N/A</v>
          </cell>
          <cell r="C2094" t="e">
            <v>#N/A</v>
          </cell>
          <cell r="D2094" t="str">
            <v>EK65</v>
          </cell>
          <cell r="E2094" t="str">
            <v>719136</v>
          </cell>
          <cell r="F2094" t="str">
            <v>B</v>
          </cell>
          <cell r="G2094" t="str">
            <v>0179857</v>
          </cell>
          <cell r="H2094" t="str">
            <v>Beilage</v>
          </cell>
          <cell r="I2094">
            <v>5</v>
          </cell>
          <cell r="J2094" t="str">
            <v>Stk</v>
          </cell>
          <cell r="K2094">
            <v>45004</v>
          </cell>
          <cell r="L2094" t="str">
            <v/>
          </cell>
          <cell r="M2094" t="str">
            <v/>
          </cell>
          <cell r="N2094" t="str">
            <v/>
          </cell>
          <cell r="O2094" t="str">
            <v/>
          </cell>
          <cell r="P2094" t="str">
            <v/>
          </cell>
          <cell r="Q2094" t="str">
            <v/>
          </cell>
          <cell r="R2094" t="str">
            <v/>
          </cell>
          <cell r="S2094" t="str">
            <v/>
          </cell>
          <cell r="T2094" t="str">
            <v/>
          </cell>
          <cell r="U2094" t="str">
            <v/>
          </cell>
          <cell r="V2094" t="str">
            <v>N52</v>
          </cell>
          <cell r="W2094" t="str">
            <v/>
          </cell>
          <cell r="X2094" t="str">
            <v/>
          </cell>
          <cell r="Y2094" t="str">
            <v/>
          </cell>
          <cell r="Z2094" t="str">
            <v/>
          </cell>
          <cell r="AA2094" t="str">
            <v/>
          </cell>
          <cell r="AB2094" t="str">
            <v>PA_2153215-DC.6900-4P.1</v>
          </cell>
          <cell r="AC2094">
            <v>4</v>
          </cell>
          <cell r="AD2094" t="str">
            <v/>
          </cell>
          <cell r="AE2094">
            <v>0</v>
          </cell>
          <cell r="AF2094" t="str">
            <v/>
          </cell>
          <cell r="AG2094" t="str">
            <v>0179857</v>
          </cell>
          <cell r="AH2094">
            <v>45002.833680555559</v>
          </cell>
          <cell r="AI2094" t="str">
            <v>N52</v>
          </cell>
          <cell r="AJ2094" t="str">
            <v>F</v>
          </cell>
          <cell r="AK2094" t="str">
            <v/>
          </cell>
        </row>
        <row r="2095">
          <cell r="A2095" t="str">
            <v>0179868</v>
          </cell>
          <cell r="B2095" t="e">
            <v>#N/A</v>
          </cell>
          <cell r="C2095" t="e">
            <v>#N/A</v>
          </cell>
          <cell r="D2095" t="str">
            <v>EK65</v>
          </cell>
          <cell r="E2095" t="str">
            <v>719137</v>
          </cell>
          <cell r="F2095" t="str">
            <v>B</v>
          </cell>
          <cell r="G2095" t="str">
            <v>0179868</v>
          </cell>
          <cell r="H2095" t="str">
            <v>Beilage</v>
          </cell>
          <cell r="I2095">
            <v>20</v>
          </cell>
          <cell r="J2095" t="str">
            <v>Stk</v>
          </cell>
          <cell r="K2095">
            <v>45004</v>
          </cell>
          <cell r="L2095" t="str">
            <v/>
          </cell>
          <cell r="M2095" t="str">
            <v/>
          </cell>
          <cell r="N2095" t="str">
            <v/>
          </cell>
          <cell r="O2095" t="str">
            <v/>
          </cell>
          <cell r="P2095" t="str">
            <v/>
          </cell>
          <cell r="Q2095" t="str">
            <v/>
          </cell>
          <cell r="R2095" t="str">
            <v/>
          </cell>
          <cell r="S2095" t="str">
            <v/>
          </cell>
          <cell r="T2095" t="str">
            <v/>
          </cell>
          <cell r="U2095" t="str">
            <v/>
          </cell>
          <cell r="V2095" t="str">
            <v>N52</v>
          </cell>
          <cell r="W2095" t="str">
            <v/>
          </cell>
          <cell r="X2095" t="str">
            <v/>
          </cell>
          <cell r="Y2095" t="str">
            <v/>
          </cell>
          <cell r="Z2095" t="str">
            <v/>
          </cell>
          <cell r="AA2095" t="str">
            <v/>
          </cell>
          <cell r="AB2095" t="str">
            <v>PA_2153215-DC.6900-4P.2</v>
          </cell>
          <cell r="AC2095">
            <v>4</v>
          </cell>
          <cell r="AD2095" t="str">
            <v/>
          </cell>
          <cell r="AE2095">
            <v>0</v>
          </cell>
          <cell r="AF2095" t="str">
            <v/>
          </cell>
          <cell r="AG2095" t="str">
            <v>0179868</v>
          </cell>
          <cell r="AH2095">
            <v>45002.833680555559</v>
          </cell>
          <cell r="AI2095" t="str">
            <v>N52</v>
          </cell>
          <cell r="AJ2095" t="str">
            <v>F</v>
          </cell>
          <cell r="AK2095" t="str">
            <v/>
          </cell>
        </row>
        <row r="2096">
          <cell r="A2096" t="str">
            <v>0179880</v>
          </cell>
          <cell r="B2096" t="e">
            <v>#N/A</v>
          </cell>
          <cell r="C2096" t="e">
            <v>#N/A</v>
          </cell>
          <cell r="D2096" t="str">
            <v>EK65</v>
          </cell>
          <cell r="E2096" t="str">
            <v>719138</v>
          </cell>
          <cell r="F2096" t="str">
            <v>B</v>
          </cell>
          <cell r="G2096" t="str">
            <v>0179880</v>
          </cell>
          <cell r="H2096" t="str">
            <v>Beilage</v>
          </cell>
          <cell r="I2096">
            <v>20</v>
          </cell>
          <cell r="J2096" t="str">
            <v>Stk</v>
          </cell>
          <cell r="K2096">
            <v>45004</v>
          </cell>
          <cell r="L2096" t="str">
            <v/>
          </cell>
          <cell r="M2096" t="str">
            <v/>
          </cell>
          <cell r="N2096" t="str">
            <v/>
          </cell>
          <cell r="O2096" t="str">
            <v/>
          </cell>
          <cell r="P2096" t="str">
            <v/>
          </cell>
          <cell r="Q2096" t="str">
            <v/>
          </cell>
          <cell r="R2096" t="str">
            <v/>
          </cell>
          <cell r="S2096" t="str">
            <v/>
          </cell>
          <cell r="T2096" t="str">
            <v/>
          </cell>
          <cell r="U2096" t="str">
            <v/>
          </cell>
          <cell r="V2096" t="str">
            <v>N52</v>
          </cell>
          <cell r="W2096" t="str">
            <v/>
          </cell>
          <cell r="X2096" t="str">
            <v/>
          </cell>
          <cell r="Y2096" t="str">
            <v/>
          </cell>
          <cell r="Z2096" t="str">
            <v/>
          </cell>
          <cell r="AA2096" t="str">
            <v/>
          </cell>
          <cell r="AB2096" t="str">
            <v>PA_2153215-DC.6900-4P.3</v>
          </cell>
          <cell r="AC2096">
            <v>4</v>
          </cell>
          <cell r="AD2096" t="str">
            <v/>
          </cell>
          <cell r="AE2096">
            <v>0</v>
          </cell>
          <cell r="AF2096" t="str">
            <v/>
          </cell>
          <cell r="AG2096" t="str">
            <v>0179880</v>
          </cell>
          <cell r="AH2096">
            <v>45002.833680555559</v>
          </cell>
          <cell r="AI2096" t="str">
            <v>N52</v>
          </cell>
          <cell r="AJ2096" t="str">
            <v>F</v>
          </cell>
          <cell r="AK2096" t="str">
            <v/>
          </cell>
        </row>
        <row r="2097">
          <cell r="A2097" t="str">
            <v>0179891</v>
          </cell>
          <cell r="B2097" t="e">
            <v>#N/A</v>
          </cell>
          <cell r="C2097" t="e">
            <v>#N/A</v>
          </cell>
          <cell r="D2097" t="str">
            <v>EK65</v>
          </cell>
          <cell r="E2097" t="str">
            <v>719139</v>
          </cell>
          <cell r="F2097" t="str">
            <v>B</v>
          </cell>
          <cell r="G2097" t="str">
            <v>0179891</v>
          </cell>
          <cell r="H2097" t="str">
            <v>Beilage</v>
          </cell>
          <cell r="I2097">
            <v>20</v>
          </cell>
          <cell r="J2097" t="str">
            <v>Stk</v>
          </cell>
          <cell r="K2097">
            <v>45006</v>
          </cell>
          <cell r="L2097" t="str">
            <v/>
          </cell>
          <cell r="M2097" t="str">
            <v/>
          </cell>
          <cell r="N2097" t="str">
            <v/>
          </cell>
          <cell r="O2097" t="str">
            <v/>
          </cell>
          <cell r="P2097" t="str">
            <v/>
          </cell>
          <cell r="Q2097" t="str">
            <v/>
          </cell>
          <cell r="R2097" t="str">
            <v/>
          </cell>
          <cell r="S2097" t="str">
            <v/>
          </cell>
          <cell r="T2097" t="str">
            <v/>
          </cell>
          <cell r="U2097" t="str">
            <v/>
          </cell>
          <cell r="V2097" t="str">
            <v>N52</v>
          </cell>
          <cell r="W2097" t="str">
            <v/>
          </cell>
          <cell r="X2097" t="str">
            <v/>
          </cell>
          <cell r="Y2097" t="str">
            <v/>
          </cell>
          <cell r="Z2097" t="str">
            <v/>
          </cell>
          <cell r="AA2097" t="str">
            <v/>
          </cell>
          <cell r="AB2097" t="str">
            <v>PA_2153215-DC.6900-4P.4</v>
          </cell>
          <cell r="AC2097">
            <v>4</v>
          </cell>
          <cell r="AD2097" t="str">
            <v/>
          </cell>
          <cell r="AE2097">
            <v>0</v>
          </cell>
          <cell r="AF2097" t="str">
            <v/>
          </cell>
          <cell r="AG2097" t="str">
            <v>0179891</v>
          </cell>
          <cell r="AH2097">
            <v>45002.833680555559</v>
          </cell>
          <cell r="AI2097" t="str">
            <v>N52</v>
          </cell>
          <cell r="AJ2097" t="str">
            <v>F</v>
          </cell>
          <cell r="AK2097" t="str">
            <v/>
          </cell>
        </row>
        <row r="2098">
          <cell r="A2098" t="str">
            <v>0179926</v>
          </cell>
          <cell r="B2098" t="e">
            <v>#N/A</v>
          </cell>
          <cell r="C2098" t="e">
            <v>#N/A</v>
          </cell>
          <cell r="D2098" t="str">
            <v>EK65</v>
          </cell>
          <cell r="E2098" t="str">
            <v>719140</v>
          </cell>
          <cell r="F2098" t="str">
            <v>B</v>
          </cell>
          <cell r="G2098" t="str">
            <v>0179926</v>
          </cell>
          <cell r="H2098" t="str">
            <v>Beilage</v>
          </cell>
          <cell r="I2098">
            <v>70</v>
          </cell>
          <cell r="J2098" t="str">
            <v>Stk</v>
          </cell>
          <cell r="K2098">
            <v>45004</v>
          </cell>
          <cell r="L2098" t="str">
            <v/>
          </cell>
          <cell r="M2098" t="str">
            <v/>
          </cell>
          <cell r="N2098" t="str">
            <v/>
          </cell>
          <cell r="O2098" t="str">
            <v/>
          </cell>
          <cell r="P2098" t="str">
            <v/>
          </cell>
          <cell r="Q2098" t="str">
            <v/>
          </cell>
          <cell r="R2098" t="str">
            <v/>
          </cell>
          <cell r="S2098" t="str">
            <v/>
          </cell>
          <cell r="T2098" t="str">
            <v/>
          </cell>
          <cell r="U2098" t="str">
            <v/>
          </cell>
          <cell r="V2098" t="str">
            <v>N52</v>
          </cell>
          <cell r="W2098" t="str">
            <v/>
          </cell>
          <cell r="X2098" t="str">
            <v/>
          </cell>
          <cell r="Y2098" t="str">
            <v/>
          </cell>
          <cell r="Z2098" t="str">
            <v/>
          </cell>
          <cell r="AA2098" t="str">
            <v/>
          </cell>
          <cell r="AB2098" t="str">
            <v>PA_2155597-DC.6900-4P.1</v>
          </cell>
          <cell r="AC2098">
            <v>4</v>
          </cell>
          <cell r="AD2098" t="str">
            <v/>
          </cell>
          <cell r="AE2098">
            <v>0</v>
          </cell>
          <cell r="AF2098" t="str">
            <v/>
          </cell>
          <cell r="AG2098" t="str">
            <v>0179926</v>
          </cell>
          <cell r="AH2098">
            <v>45002.833680555559</v>
          </cell>
          <cell r="AI2098" t="str">
            <v>N52</v>
          </cell>
          <cell r="AJ2098" t="str">
            <v>F</v>
          </cell>
          <cell r="AK2098" t="str">
            <v/>
          </cell>
        </row>
        <row r="2099">
          <cell r="A2099" t="str">
            <v>0179948</v>
          </cell>
          <cell r="B2099" t="e">
            <v>#N/A</v>
          </cell>
          <cell r="C2099" t="e">
            <v>#N/A</v>
          </cell>
          <cell r="D2099" t="str">
            <v>EK65</v>
          </cell>
          <cell r="E2099" t="str">
            <v>719141</v>
          </cell>
          <cell r="F2099" t="str">
            <v>B</v>
          </cell>
          <cell r="G2099" t="str">
            <v>0179948</v>
          </cell>
          <cell r="H2099" t="str">
            <v>Beilage</v>
          </cell>
          <cell r="I2099">
            <v>30</v>
          </cell>
          <cell r="J2099" t="str">
            <v>Stk</v>
          </cell>
          <cell r="K2099">
            <v>45004</v>
          </cell>
          <cell r="L2099" t="str">
            <v/>
          </cell>
          <cell r="M2099" t="str">
            <v/>
          </cell>
          <cell r="N2099" t="str">
            <v/>
          </cell>
          <cell r="O2099" t="str">
            <v/>
          </cell>
          <cell r="P2099" t="str">
            <v/>
          </cell>
          <cell r="Q2099" t="str">
            <v/>
          </cell>
          <cell r="R2099" t="str">
            <v/>
          </cell>
          <cell r="S2099" t="str">
            <v/>
          </cell>
          <cell r="T2099" t="str">
            <v/>
          </cell>
          <cell r="U2099" t="str">
            <v/>
          </cell>
          <cell r="V2099" t="str">
            <v>N52</v>
          </cell>
          <cell r="W2099" t="str">
            <v/>
          </cell>
          <cell r="X2099" t="str">
            <v/>
          </cell>
          <cell r="Y2099" t="str">
            <v/>
          </cell>
          <cell r="Z2099" t="str">
            <v/>
          </cell>
          <cell r="AA2099" t="str">
            <v/>
          </cell>
          <cell r="AB2099" t="str">
            <v>PA_2155597-DC.6900-4P.2</v>
          </cell>
          <cell r="AC2099">
            <v>4</v>
          </cell>
          <cell r="AD2099" t="str">
            <v/>
          </cell>
          <cell r="AE2099">
            <v>0</v>
          </cell>
          <cell r="AF2099" t="str">
            <v/>
          </cell>
          <cell r="AG2099" t="str">
            <v>0179948</v>
          </cell>
          <cell r="AH2099">
            <v>45002.833680555559</v>
          </cell>
          <cell r="AI2099" t="str">
            <v>N52</v>
          </cell>
          <cell r="AJ2099" t="str">
            <v>F</v>
          </cell>
          <cell r="AK2099" t="str">
            <v/>
          </cell>
        </row>
        <row r="2100">
          <cell r="A2100" t="str">
            <v>0179959</v>
          </cell>
          <cell r="B2100" t="e">
            <v>#N/A</v>
          </cell>
          <cell r="C2100" t="e">
            <v>#N/A</v>
          </cell>
          <cell r="D2100" t="str">
            <v>EK65</v>
          </cell>
          <cell r="E2100" t="str">
            <v>719142</v>
          </cell>
          <cell r="F2100" t="str">
            <v>B</v>
          </cell>
          <cell r="G2100" t="str">
            <v>0179959</v>
          </cell>
          <cell r="H2100" t="str">
            <v>Beilage</v>
          </cell>
          <cell r="I2100">
            <v>30</v>
          </cell>
          <cell r="J2100" t="str">
            <v>Stk</v>
          </cell>
          <cell r="K2100">
            <v>45004</v>
          </cell>
          <cell r="L2100" t="str">
            <v/>
          </cell>
          <cell r="M2100" t="str">
            <v/>
          </cell>
          <cell r="N2100" t="str">
            <v/>
          </cell>
          <cell r="O2100" t="str">
            <v/>
          </cell>
          <cell r="P2100" t="str">
            <v/>
          </cell>
          <cell r="Q2100" t="str">
            <v/>
          </cell>
          <cell r="R2100" t="str">
            <v/>
          </cell>
          <cell r="S2100" t="str">
            <v/>
          </cell>
          <cell r="T2100" t="str">
            <v/>
          </cell>
          <cell r="U2100" t="str">
            <v/>
          </cell>
          <cell r="V2100" t="str">
            <v>N52</v>
          </cell>
          <cell r="W2100" t="str">
            <v/>
          </cell>
          <cell r="X2100" t="str">
            <v/>
          </cell>
          <cell r="Y2100" t="str">
            <v/>
          </cell>
          <cell r="Z2100" t="str">
            <v/>
          </cell>
          <cell r="AA2100" t="str">
            <v/>
          </cell>
          <cell r="AB2100" t="str">
            <v>PA_2155597-DC.6900-4P.3</v>
          </cell>
          <cell r="AC2100">
            <v>4</v>
          </cell>
          <cell r="AD2100" t="str">
            <v/>
          </cell>
          <cell r="AE2100">
            <v>0</v>
          </cell>
          <cell r="AF2100" t="str">
            <v/>
          </cell>
          <cell r="AG2100" t="str">
            <v>0179959</v>
          </cell>
          <cell r="AH2100">
            <v>45002.833692129629</v>
          </cell>
          <cell r="AI2100" t="str">
            <v>N52</v>
          </cell>
          <cell r="AJ2100" t="str">
            <v>F</v>
          </cell>
          <cell r="AK2100" t="str">
            <v/>
          </cell>
        </row>
        <row r="2101">
          <cell r="A2101" t="str">
            <v>0179960</v>
          </cell>
          <cell r="B2101" t="e">
            <v>#N/A</v>
          </cell>
          <cell r="C2101" t="e">
            <v>#N/A</v>
          </cell>
          <cell r="D2101" t="str">
            <v>EK65</v>
          </cell>
          <cell r="E2101" t="str">
            <v>719143</v>
          </cell>
          <cell r="F2101" t="str">
            <v>B</v>
          </cell>
          <cell r="G2101" t="str">
            <v>0179960</v>
          </cell>
          <cell r="H2101" t="str">
            <v>Beilage</v>
          </cell>
          <cell r="I2101">
            <v>30</v>
          </cell>
          <cell r="J2101" t="str">
            <v>Stk</v>
          </cell>
          <cell r="K2101">
            <v>45006</v>
          </cell>
          <cell r="L2101" t="str">
            <v/>
          </cell>
          <cell r="M2101" t="str">
            <v/>
          </cell>
          <cell r="N2101" t="str">
            <v/>
          </cell>
          <cell r="O2101" t="str">
            <v/>
          </cell>
          <cell r="P2101" t="str">
            <v/>
          </cell>
          <cell r="Q2101" t="str">
            <v/>
          </cell>
          <cell r="R2101" t="str">
            <v/>
          </cell>
          <cell r="S2101" t="str">
            <v/>
          </cell>
          <cell r="T2101" t="str">
            <v/>
          </cell>
          <cell r="U2101" t="str">
            <v/>
          </cell>
          <cell r="V2101" t="str">
            <v>N52</v>
          </cell>
          <cell r="W2101" t="str">
            <v/>
          </cell>
          <cell r="X2101" t="str">
            <v/>
          </cell>
          <cell r="Y2101" t="str">
            <v/>
          </cell>
          <cell r="Z2101" t="str">
            <v/>
          </cell>
          <cell r="AA2101" t="str">
            <v/>
          </cell>
          <cell r="AB2101" t="str">
            <v>PA_2155597-DC.6900-4P.4</v>
          </cell>
          <cell r="AC2101">
            <v>4</v>
          </cell>
          <cell r="AD2101" t="str">
            <v/>
          </cell>
          <cell r="AE2101">
            <v>0</v>
          </cell>
          <cell r="AF2101" t="str">
            <v/>
          </cell>
          <cell r="AG2101" t="str">
            <v>0179960</v>
          </cell>
          <cell r="AH2101">
            <v>45002.833692129629</v>
          </cell>
          <cell r="AI2101" t="str">
            <v>N52</v>
          </cell>
          <cell r="AJ2101" t="str">
            <v>F</v>
          </cell>
          <cell r="AK2101" t="str">
            <v/>
          </cell>
        </row>
        <row r="2102">
          <cell r="A2102" t="str">
            <v>0179993</v>
          </cell>
          <cell r="B2102" t="e">
            <v>#N/A</v>
          </cell>
          <cell r="C2102" t="e">
            <v>#N/A</v>
          </cell>
          <cell r="D2102" t="str">
            <v>EK65</v>
          </cell>
          <cell r="E2102" t="str">
            <v>719144</v>
          </cell>
          <cell r="F2102" t="str">
            <v>B</v>
          </cell>
          <cell r="G2102" t="str">
            <v>0179993</v>
          </cell>
          <cell r="H2102" t="str">
            <v>Beilage</v>
          </cell>
          <cell r="I2102">
            <v>30</v>
          </cell>
          <cell r="J2102" t="str">
            <v>Stk</v>
          </cell>
          <cell r="K2102">
            <v>45004</v>
          </cell>
          <cell r="L2102" t="str">
            <v/>
          </cell>
          <cell r="M2102" t="str">
            <v/>
          </cell>
          <cell r="N2102" t="str">
            <v/>
          </cell>
          <cell r="O2102" t="str">
            <v/>
          </cell>
          <cell r="P2102" t="str">
            <v/>
          </cell>
          <cell r="Q2102" t="str">
            <v/>
          </cell>
          <cell r="R2102" t="str">
            <v/>
          </cell>
          <cell r="S2102" t="str">
            <v/>
          </cell>
          <cell r="T2102" t="str">
            <v/>
          </cell>
          <cell r="U2102" t="str">
            <v/>
          </cell>
          <cell r="V2102" t="str">
            <v>N52</v>
          </cell>
          <cell r="W2102" t="str">
            <v/>
          </cell>
          <cell r="X2102" t="str">
            <v/>
          </cell>
          <cell r="Y2102" t="str">
            <v/>
          </cell>
          <cell r="Z2102" t="str">
            <v/>
          </cell>
          <cell r="AA2102" t="str">
            <v/>
          </cell>
          <cell r="AB2102" t="str">
            <v>PA_2155580-DC.6900-4P.1</v>
          </cell>
          <cell r="AC2102">
            <v>4</v>
          </cell>
          <cell r="AD2102" t="str">
            <v/>
          </cell>
          <cell r="AE2102">
            <v>0</v>
          </cell>
          <cell r="AF2102" t="str">
            <v/>
          </cell>
          <cell r="AG2102" t="str">
            <v>0179993</v>
          </cell>
          <cell r="AH2102">
            <v>45002.833692129629</v>
          </cell>
          <cell r="AI2102" t="str">
            <v>N52</v>
          </cell>
          <cell r="AJ2102" t="str">
            <v>F</v>
          </cell>
          <cell r="AK2102" t="str">
            <v/>
          </cell>
        </row>
        <row r="2103">
          <cell r="A2103" t="str">
            <v>0180077</v>
          </cell>
          <cell r="B2103" t="e">
            <v>#N/A</v>
          </cell>
          <cell r="C2103" t="e">
            <v>#N/A</v>
          </cell>
          <cell r="D2103" t="str">
            <v>EK65</v>
          </cell>
          <cell r="E2103" t="str">
            <v>719145</v>
          </cell>
          <cell r="F2103" t="str">
            <v>B</v>
          </cell>
          <cell r="G2103" t="str">
            <v>0180077</v>
          </cell>
          <cell r="H2103" t="str">
            <v>Beilage</v>
          </cell>
          <cell r="I2103">
            <v>70</v>
          </cell>
          <cell r="J2103" t="str">
            <v>Stk</v>
          </cell>
          <cell r="K2103">
            <v>45004</v>
          </cell>
          <cell r="L2103" t="str">
            <v/>
          </cell>
          <cell r="M2103" t="str">
            <v/>
          </cell>
          <cell r="N2103" t="str">
            <v/>
          </cell>
          <cell r="O2103" t="str">
            <v/>
          </cell>
          <cell r="P2103" t="str">
            <v/>
          </cell>
          <cell r="Q2103" t="str">
            <v/>
          </cell>
          <cell r="R2103" t="str">
            <v/>
          </cell>
          <cell r="S2103" t="str">
            <v/>
          </cell>
          <cell r="T2103" t="str">
            <v/>
          </cell>
          <cell r="U2103" t="str">
            <v/>
          </cell>
          <cell r="V2103" t="str">
            <v>N52</v>
          </cell>
          <cell r="W2103" t="str">
            <v/>
          </cell>
          <cell r="X2103" t="str">
            <v/>
          </cell>
          <cell r="Y2103" t="str">
            <v/>
          </cell>
          <cell r="Z2103" t="str">
            <v/>
          </cell>
          <cell r="AA2103" t="str">
            <v/>
          </cell>
          <cell r="AB2103" t="str">
            <v>PA_2155580-DC.6900-4P.2</v>
          </cell>
          <cell r="AC2103">
            <v>4</v>
          </cell>
          <cell r="AD2103" t="str">
            <v/>
          </cell>
          <cell r="AE2103">
            <v>0</v>
          </cell>
          <cell r="AF2103" t="str">
            <v/>
          </cell>
          <cell r="AG2103" t="str">
            <v>0180077</v>
          </cell>
          <cell r="AH2103">
            <v>45002.833692129629</v>
          </cell>
          <cell r="AI2103" t="str">
            <v>N52</v>
          </cell>
          <cell r="AJ2103" t="str">
            <v>F</v>
          </cell>
          <cell r="AK2103" t="str">
            <v/>
          </cell>
        </row>
        <row r="2104">
          <cell r="A2104" t="str">
            <v>0180088</v>
          </cell>
          <cell r="B2104" t="e">
            <v>#N/A</v>
          </cell>
          <cell r="C2104" t="e">
            <v>#N/A</v>
          </cell>
          <cell r="D2104" t="str">
            <v>EK65</v>
          </cell>
          <cell r="E2104" t="str">
            <v>719146</v>
          </cell>
          <cell r="F2104" t="str">
            <v>B</v>
          </cell>
          <cell r="G2104" t="str">
            <v>0180088</v>
          </cell>
          <cell r="H2104" t="str">
            <v>Beilage</v>
          </cell>
          <cell r="I2104">
            <v>30</v>
          </cell>
          <cell r="J2104" t="str">
            <v>Stk</v>
          </cell>
          <cell r="K2104">
            <v>45004</v>
          </cell>
          <cell r="L2104" t="str">
            <v/>
          </cell>
          <cell r="M2104" t="str">
            <v/>
          </cell>
          <cell r="N2104" t="str">
            <v/>
          </cell>
          <cell r="O2104" t="str">
            <v/>
          </cell>
          <cell r="P2104" t="str">
            <v/>
          </cell>
          <cell r="Q2104" t="str">
            <v/>
          </cell>
          <cell r="R2104" t="str">
            <v/>
          </cell>
          <cell r="S2104" t="str">
            <v/>
          </cell>
          <cell r="T2104" t="str">
            <v/>
          </cell>
          <cell r="U2104" t="str">
            <v/>
          </cell>
          <cell r="V2104" t="str">
            <v>N52</v>
          </cell>
          <cell r="W2104" t="str">
            <v/>
          </cell>
          <cell r="X2104" t="str">
            <v/>
          </cell>
          <cell r="Y2104" t="str">
            <v/>
          </cell>
          <cell r="Z2104" t="str">
            <v/>
          </cell>
          <cell r="AA2104" t="str">
            <v/>
          </cell>
          <cell r="AB2104" t="str">
            <v>PA_2155580-DC.6900-4P.3</v>
          </cell>
          <cell r="AC2104">
            <v>4</v>
          </cell>
          <cell r="AD2104" t="str">
            <v/>
          </cell>
          <cell r="AE2104">
            <v>0</v>
          </cell>
          <cell r="AF2104" t="str">
            <v/>
          </cell>
          <cell r="AG2104" t="str">
            <v>0180088</v>
          </cell>
          <cell r="AH2104">
            <v>45002.833692129629</v>
          </cell>
          <cell r="AI2104" t="str">
            <v>N52</v>
          </cell>
          <cell r="AJ2104" t="str">
            <v>F</v>
          </cell>
          <cell r="AK2104" t="str">
            <v/>
          </cell>
        </row>
        <row r="2105">
          <cell r="A2105" t="str">
            <v>0180099</v>
          </cell>
          <cell r="B2105" t="e">
            <v>#N/A</v>
          </cell>
          <cell r="C2105" t="e">
            <v>#N/A</v>
          </cell>
          <cell r="D2105" t="str">
            <v>EK65</v>
          </cell>
          <cell r="E2105" t="str">
            <v>719147</v>
          </cell>
          <cell r="F2105" t="str">
            <v>B</v>
          </cell>
          <cell r="G2105" t="str">
            <v>0180099</v>
          </cell>
          <cell r="H2105" t="str">
            <v>Beilage</v>
          </cell>
          <cell r="I2105">
            <v>30</v>
          </cell>
          <cell r="J2105" t="str">
            <v>Stk</v>
          </cell>
          <cell r="K2105">
            <v>45006</v>
          </cell>
          <cell r="L2105" t="str">
            <v/>
          </cell>
          <cell r="M2105" t="str">
            <v/>
          </cell>
          <cell r="N2105" t="str">
            <v/>
          </cell>
          <cell r="O2105" t="str">
            <v/>
          </cell>
          <cell r="P2105" t="str">
            <v/>
          </cell>
          <cell r="Q2105" t="str">
            <v/>
          </cell>
          <cell r="R2105" t="str">
            <v/>
          </cell>
          <cell r="S2105" t="str">
            <v/>
          </cell>
          <cell r="T2105" t="str">
            <v/>
          </cell>
          <cell r="U2105" t="str">
            <v/>
          </cell>
          <cell r="V2105" t="str">
            <v>N52</v>
          </cell>
          <cell r="W2105" t="str">
            <v/>
          </cell>
          <cell r="X2105" t="str">
            <v/>
          </cell>
          <cell r="Y2105" t="str">
            <v/>
          </cell>
          <cell r="Z2105" t="str">
            <v/>
          </cell>
          <cell r="AA2105" t="str">
            <v/>
          </cell>
          <cell r="AB2105" t="str">
            <v>PA_2155580-DC.6900-4P.4</v>
          </cell>
          <cell r="AC2105">
            <v>4</v>
          </cell>
          <cell r="AD2105" t="str">
            <v/>
          </cell>
          <cell r="AE2105">
            <v>0</v>
          </cell>
          <cell r="AF2105" t="str">
            <v/>
          </cell>
          <cell r="AG2105" t="str">
            <v>0180099</v>
          </cell>
          <cell r="AH2105">
            <v>45002.833692129629</v>
          </cell>
          <cell r="AI2105" t="str">
            <v>N52</v>
          </cell>
          <cell r="AJ2105" t="str">
            <v>F</v>
          </cell>
          <cell r="AK2105" t="str">
            <v/>
          </cell>
        </row>
        <row r="2106">
          <cell r="A2106" t="str">
            <v>0405309</v>
          </cell>
          <cell r="B2106" t="e">
            <v>#N/A</v>
          </cell>
          <cell r="C2106" t="e">
            <v>#N/A</v>
          </cell>
          <cell r="D2106" t="str">
            <v>EK65</v>
          </cell>
          <cell r="E2106" t="str">
            <v>719150</v>
          </cell>
          <cell r="F2106" t="str">
            <v>B</v>
          </cell>
          <cell r="G2106" t="str">
            <v>0405309</v>
          </cell>
          <cell r="H2106" t="str">
            <v>Distanzscheibe</v>
          </cell>
          <cell r="I2106">
            <v>300</v>
          </cell>
          <cell r="J2106" t="str">
            <v>Stk</v>
          </cell>
          <cell r="K2106">
            <v>45006</v>
          </cell>
          <cell r="L2106" t="str">
            <v/>
          </cell>
          <cell r="M2106" t="str">
            <v/>
          </cell>
          <cell r="N2106" t="str">
            <v/>
          </cell>
          <cell r="O2106" t="str">
            <v/>
          </cell>
          <cell r="P2106" t="str">
            <v/>
          </cell>
          <cell r="Q2106" t="str">
            <v/>
          </cell>
          <cell r="R2106" t="str">
            <v/>
          </cell>
          <cell r="S2106" t="str">
            <v/>
          </cell>
          <cell r="T2106" t="str">
            <v/>
          </cell>
          <cell r="U2106" t="str">
            <v/>
          </cell>
          <cell r="V2106" t="str">
            <v>N52</v>
          </cell>
          <cell r="W2106" t="str">
            <v/>
          </cell>
          <cell r="X2106" t="str">
            <v/>
          </cell>
          <cell r="Y2106" t="str">
            <v/>
          </cell>
          <cell r="Z2106" t="str">
            <v/>
          </cell>
          <cell r="AA2106" t="str">
            <v/>
          </cell>
          <cell r="AB2106" t="str">
            <v>PA_2182032-DF.7001-4</v>
          </cell>
          <cell r="AC2106">
            <v>4</v>
          </cell>
          <cell r="AD2106" t="str">
            <v/>
          </cell>
          <cell r="AE2106">
            <v>0</v>
          </cell>
          <cell r="AF2106" t="str">
            <v/>
          </cell>
          <cell r="AG2106" t="str">
            <v>0405309</v>
          </cell>
          <cell r="AH2106">
            <v>45002.83394675926</v>
          </cell>
          <cell r="AI2106" t="str">
            <v>N52</v>
          </cell>
          <cell r="AJ2106" t="str">
            <v>F</v>
          </cell>
          <cell r="AK2106" t="str">
            <v/>
          </cell>
        </row>
        <row r="2107">
          <cell r="A2107" t="str">
            <v>0415253</v>
          </cell>
          <cell r="B2107" t="e">
            <v>#N/A</v>
          </cell>
          <cell r="C2107" t="e">
            <v>#N/A</v>
          </cell>
          <cell r="D2107" t="str">
            <v>EK65</v>
          </cell>
          <cell r="E2107" t="str">
            <v>719151</v>
          </cell>
          <cell r="F2107" t="str">
            <v>B</v>
          </cell>
          <cell r="G2107" t="str">
            <v>0415253</v>
          </cell>
          <cell r="H2107" t="str">
            <v>Beilage 2mm</v>
          </cell>
          <cell r="I2107">
            <v>62</v>
          </cell>
          <cell r="J2107" t="str">
            <v>Stk</v>
          </cell>
          <cell r="K2107">
            <v>45004</v>
          </cell>
          <cell r="L2107" t="str">
            <v/>
          </cell>
          <cell r="M2107" t="str">
            <v/>
          </cell>
          <cell r="N2107" t="str">
            <v/>
          </cell>
          <cell r="O2107" t="str">
            <v/>
          </cell>
          <cell r="P2107" t="str">
            <v/>
          </cell>
          <cell r="Q2107" t="str">
            <v/>
          </cell>
          <cell r="R2107" t="str">
            <v/>
          </cell>
          <cell r="S2107" t="str">
            <v/>
          </cell>
          <cell r="T2107" t="str">
            <v/>
          </cell>
          <cell r="U2107" t="str">
            <v/>
          </cell>
          <cell r="V2107" t="str">
            <v>N52</v>
          </cell>
          <cell r="W2107" t="str">
            <v/>
          </cell>
          <cell r="X2107" t="str">
            <v/>
          </cell>
          <cell r="Y2107" t="str">
            <v/>
          </cell>
          <cell r="Z2107" t="str">
            <v/>
          </cell>
          <cell r="AA2107" t="str">
            <v/>
          </cell>
          <cell r="AB2107" t="str">
            <v>PA_2153420-PB.7500-4</v>
          </cell>
          <cell r="AC2107">
            <v>4</v>
          </cell>
          <cell r="AD2107" t="str">
            <v/>
          </cell>
          <cell r="AE2107">
            <v>0</v>
          </cell>
          <cell r="AF2107" t="str">
            <v/>
          </cell>
          <cell r="AG2107" t="str">
            <v>0415253</v>
          </cell>
          <cell r="AH2107">
            <v>45002.833981481483</v>
          </cell>
          <cell r="AI2107" t="str">
            <v>N52</v>
          </cell>
          <cell r="AJ2107" t="str">
            <v>F</v>
          </cell>
          <cell r="AK2107" t="str">
            <v/>
          </cell>
        </row>
        <row r="2108">
          <cell r="A2108" t="str">
            <v>0509609</v>
          </cell>
          <cell r="B2108" t="e">
            <v>#N/A</v>
          </cell>
          <cell r="C2108" t="e">
            <v>#N/A</v>
          </cell>
          <cell r="D2108" t="str">
            <v>EK65</v>
          </cell>
          <cell r="E2108" t="str">
            <v>719152</v>
          </cell>
          <cell r="F2108" t="str">
            <v>B</v>
          </cell>
          <cell r="G2108" t="str">
            <v>0509609</v>
          </cell>
          <cell r="H2108" t="str">
            <v>Distanzstueck</v>
          </cell>
          <cell r="I2108">
            <v>90</v>
          </cell>
          <cell r="J2108" t="str">
            <v>Stk</v>
          </cell>
          <cell r="K2108">
            <v>45004</v>
          </cell>
          <cell r="L2108" t="str">
            <v/>
          </cell>
          <cell r="M2108" t="str">
            <v/>
          </cell>
          <cell r="N2108" t="str">
            <v/>
          </cell>
          <cell r="O2108" t="str">
            <v/>
          </cell>
          <cell r="P2108" t="str">
            <v/>
          </cell>
          <cell r="Q2108" t="str">
            <v/>
          </cell>
          <cell r="R2108" t="str">
            <v/>
          </cell>
          <cell r="S2108" t="str">
            <v/>
          </cell>
          <cell r="T2108" t="str">
            <v/>
          </cell>
          <cell r="U2108" t="str">
            <v/>
          </cell>
          <cell r="V2108" t="str">
            <v>N52</v>
          </cell>
          <cell r="W2108" t="str">
            <v/>
          </cell>
          <cell r="X2108" t="str">
            <v/>
          </cell>
          <cell r="Y2108" t="str">
            <v/>
          </cell>
          <cell r="Z2108" t="str">
            <v/>
          </cell>
          <cell r="AA2108" t="str">
            <v/>
          </cell>
          <cell r="AB2108" t="str">
            <v>PA_2115843-CA.6900-4P.2</v>
          </cell>
          <cell r="AC2108">
            <v>4</v>
          </cell>
          <cell r="AD2108" t="str">
            <v/>
          </cell>
          <cell r="AE2108">
            <v>0</v>
          </cell>
          <cell r="AF2108" t="str">
            <v/>
          </cell>
          <cell r="AG2108" t="str">
            <v>0509609</v>
          </cell>
          <cell r="AH2108">
            <v>45002.834097222221</v>
          </cell>
          <cell r="AI2108" t="str">
            <v>N52</v>
          </cell>
          <cell r="AJ2108" t="str">
            <v>F</v>
          </cell>
          <cell r="AK2108" t="str">
            <v/>
          </cell>
        </row>
        <row r="2109">
          <cell r="A2109" t="str">
            <v>0675504</v>
          </cell>
          <cell r="B2109" t="e">
            <v>#N/A</v>
          </cell>
          <cell r="C2109" t="e">
            <v>#N/A</v>
          </cell>
          <cell r="D2109" t="str">
            <v>EK65</v>
          </cell>
          <cell r="E2109" t="str">
            <v>719157</v>
          </cell>
          <cell r="F2109" t="str">
            <v>B</v>
          </cell>
          <cell r="G2109" t="str">
            <v>0675504</v>
          </cell>
          <cell r="H2109" t="str">
            <v>Beilage</v>
          </cell>
          <cell r="I2109">
            <v>50</v>
          </cell>
          <cell r="J2109" t="str">
            <v>Stk</v>
          </cell>
          <cell r="K2109">
            <v>45004</v>
          </cell>
          <cell r="L2109" t="str">
            <v/>
          </cell>
          <cell r="M2109" t="str">
            <v/>
          </cell>
          <cell r="N2109" t="str">
            <v/>
          </cell>
          <cell r="O2109" t="str">
            <v/>
          </cell>
          <cell r="P2109" t="str">
            <v/>
          </cell>
          <cell r="Q2109" t="str">
            <v/>
          </cell>
          <cell r="R2109" t="str">
            <v/>
          </cell>
          <cell r="S2109" t="str">
            <v/>
          </cell>
          <cell r="T2109" t="str">
            <v/>
          </cell>
          <cell r="U2109" t="str">
            <v/>
          </cell>
          <cell r="V2109" t="str">
            <v>N52</v>
          </cell>
          <cell r="W2109" t="str">
            <v/>
          </cell>
          <cell r="X2109" t="str">
            <v/>
          </cell>
          <cell r="Y2109" t="str">
            <v/>
          </cell>
          <cell r="Z2109" t="str">
            <v/>
          </cell>
          <cell r="AA2109" t="str">
            <v/>
          </cell>
          <cell r="AB2109" t="str">
            <v>PA_2204301-CD.7001-4P.1</v>
          </cell>
          <cell r="AC2109">
            <v>4</v>
          </cell>
          <cell r="AD2109" t="str">
            <v/>
          </cell>
          <cell r="AE2109">
            <v>0</v>
          </cell>
          <cell r="AF2109" t="str">
            <v/>
          </cell>
          <cell r="AG2109" t="str">
            <v>0675504</v>
          </cell>
          <cell r="AH2109">
            <v>45002.834467592591</v>
          </cell>
          <cell r="AI2109" t="str">
            <v>N52</v>
          </cell>
          <cell r="AJ2109" t="str">
            <v>F</v>
          </cell>
          <cell r="AK2109" t="str">
            <v/>
          </cell>
        </row>
        <row r="2110">
          <cell r="A2110" t="str">
            <v>0675526</v>
          </cell>
          <cell r="B2110" t="e">
            <v>#N/A</v>
          </cell>
          <cell r="C2110" t="e">
            <v>#N/A</v>
          </cell>
          <cell r="D2110" t="str">
            <v>EK65</v>
          </cell>
          <cell r="E2110" t="str">
            <v>719158</v>
          </cell>
          <cell r="F2110" t="str">
            <v>B</v>
          </cell>
          <cell r="G2110" t="str">
            <v>0675526</v>
          </cell>
          <cell r="H2110" t="str">
            <v>Beilage</v>
          </cell>
          <cell r="I2110">
            <v>50</v>
          </cell>
          <cell r="J2110" t="str">
            <v>Stk</v>
          </cell>
          <cell r="K2110">
            <v>45004</v>
          </cell>
          <cell r="L2110" t="str">
            <v/>
          </cell>
          <cell r="M2110" t="str">
            <v/>
          </cell>
          <cell r="N2110" t="str">
            <v/>
          </cell>
          <cell r="O2110" t="str">
            <v/>
          </cell>
          <cell r="P2110" t="str">
            <v/>
          </cell>
          <cell r="Q2110" t="str">
            <v/>
          </cell>
          <cell r="R2110" t="str">
            <v/>
          </cell>
          <cell r="S2110" t="str">
            <v/>
          </cell>
          <cell r="T2110" t="str">
            <v/>
          </cell>
          <cell r="U2110" t="str">
            <v/>
          </cell>
          <cell r="V2110" t="str">
            <v>N52</v>
          </cell>
          <cell r="W2110" t="str">
            <v/>
          </cell>
          <cell r="X2110" t="str">
            <v/>
          </cell>
          <cell r="Y2110" t="str">
            <v/>
          </cell>
          <cell r="Z2110" t="str">
            <v/>
          </cell>
          <cell r="AA2110" t="str">
            <v/>
          </cell>
          <cell r="AB2110" t="str">
            <v>PA_2204301-CD.7001-4P.2</v>
          </cell>
          <cell r="AC2110">
            <v>4</v>
          </cell>
          <cell r="AD2110" t="str">
            <v/>
          </cell>
          <cell r="AE2110">
            <v>0</v>
          </cell>
          <cell r="AF2110" t="str">
            <v/>
          </cell>
          <cell r="AG2110" t="str">
            <v>0675526</v>
          </cell>
          <cell r="AH2110">
            <v>45002.834467592591</v>
          </cell>
          <cell r="AI2110" t="str">
            <v>N52</v>
          </cell>
          <cell r="AJ2110" t="str">
            <v>F</v>
          </cell>
          <cell r="AK2110" t="str">
            <v/>
          </cell>
        </row>
        <row r="2111">
          <cell r="A2111" t="str">
            <v>1576326</v>
          </cell>
          <cell r="B2111" t="e">
            <v>#N/A</v>
          </cell>
          <cell r="C2111" t="e">
            <v>#N/A</v>
          </cell>
          <cell r="D2111" t="str">
            <v>EK65</v>
          </cell>
          <cell r="E2111" t="str">
            <v>719201</v>
          </cell>
          <cell r="F2111" t="str">
            <v>B</v>
          </cell>
          <cell r="G2111" t="str">
            <v>1576326</v>
          </cell>
          <cell r="H2111" t="str">
            <v>UNTERLEGBLECH</v>
          </cell>
          <cell r="I2111">
            <v>100</v>
          </cell>
          <cell r="J2111" t="str">
            <v>Stk</v>
          </cell>
          <cell r="K2111">
            <v>45006</v>
          </cell>
          <cell r="L2111" t="str">
            <v/>
          </cell>
          <cell r="M2111" t="str">
            <v/>
          </cell>
          <cell r="N2111" t="str">
            <v/>
          </cell>
          <cell r="O2111" t="str">
            <v/>
          </cell>
          <cell r="P2111" t="str">
            <v/>
          </cell>
          <cell r="Q2111" t="str">
            <v/>
          </cell>
          <cell r="R2111" t="str">
            <v/>
          </cell>
          <cell r="S2111" t="str">
            <v/>
          </cell>
          <cell r="T2111" t="str">
            <v/>
          </cell>
          <cell r="U2111" t="str">
            <v/>
          </cell>
          <cell r="V2111" t="str">
            <v>N52</v>
          </cell>
          <cell r="W2111" t="str">
            <v/>
          </cell>
          <cell r="X2111" t="str">
            <v/>
          </cell>
          <cell r="Y2111" t="str">
            <v/>
          </cell>
          <cell r="Z2111" t="str">
            <v/>
          </cell>
          <cell r="AA2111" t="str">
            <v/>
          </cell>
          <cell r="AB2111" t="str">
            <v>PA_1148299-CD.4004-4P.1(A</v>
          </cell>
          <cell r="AC2111">
            <v>4</v>
          </cell>
          <cell r="AD2111" t="str">
            <v/>
          </cell>
          <cell r="AE2111">
            <v>0</v>
          </cell>
          <cell r="AF2111" t="str">
            <v/>
          </cell>
          <cell r="AG2111" t="str">
            <v>1576326</v>
          </cell>
          <cell r="AH2111">
            <v>45002.835578703707</v>
          </cell>
          <cell r="AI2111" t="str">
            <v>N52</v>
          </cell>
          <cell r="AJ2111" t="str">
            <v>F</v>
          </cell>
          <cell r="AK2111" t="str">
            <v>A</v>
          </cell>
        </row>
        <row r="2112">
          <cell r="A2112" t="str">
            <v>2463850</v>
          </cell>
          <cell r="B2112" t="e">
            <v>#N/A</v>
          </cell>
          <cell r="C2112" t="e">
            <v>#N/A</v>
          </cell>
          <cell r="D2112" t="str">
            <v>EK65</v>
          </cell>
          <cell r="E2112" t="str">
            <v>719208</v>
          </cell>
          <cell r="F2112" t="str">
            <v>B</v>
          </cell>
          <cell r="G2112" t="str">
            <v>2463850</v>
          </cell>
          <cell r="H2112" t="str">
            <v>Keilbeilage M6</v>
          </cell>
          <cell r="I2112">
            <v>200</v>
          </cell>
          <cell r="J2112" t="str">
            <v>Stk</v>
          </cell>
          <cell r="K2112">
            <v>45006</v>
          </cell>
          <cell r="L2112" t="str">
            <v/>
          </cell>
          <cell r="M2112" t="str">
            <v/>
          </cell>
          <cell r="N2112" t="str">
            <v/>
          </cell>
          <cell r="O2112" t="str">
            <v/>
          </cell>
          <cell r="P2112" t="str">
            <v/>
          </cell>
          <cell r="Q2112" t="str">
            <v/>
          </cell>
          <cell r="R2112" t="str">
            <v/>
          </cell>
          <cell r="S2112" t="str">
            <v/>
          </cell>
          <cell r="T2112" t="str">
            <v/>
          </cell>
          <cell r="U2112" t="str">
            <v/>
          </cell>
          <cell r="V2112" t="str">
            <v>N52</v>
          </cell>
          <cell r="W2112" t="str">
            <v/>
          </cell>
          <cell r="X2112" t="str">
            <v/>
          </cell>
          <cell r="Y2112" t="str">
            <v/>
          </cell>
          <cell r="Z2112" t="str">
            <v/>
          </cell>
          <cell r="AA2112" t="str">
            <v/>
          </cell>
          <cell r="AB2112" t="str">
            <v>PA_2192519-CD.7002-4</v>
          </cell>
          <cell r="AC2112">
            <v>4</v>
          </cell>
          <cell r="AD2112" t="str">
            <v/>
          </cell>
          <cell r="AE2112">
            <v>0</v>
          </cell>
          <cell r="AF2112" t="str">
            <v/>
          </cell>
          <cell r="AG2112" t="str">
            <v>2463850</v>
          </cell>
          <cell r="AH2112">
            <v>45002.835972222223</v>
          </cell>
          <cell r="AI2112" t="str">
            <v>N52</v>
          </cell>
          <cell r="AJ2112" t="str">
            <v>F</v>
          </cell>
          <cell r="AK2112" t="str">
            <v>A</v>
          </cell>
        </row>
        <row r="2113">
          <cell r="A2113" t="str">
            <v>4410545</v>
          </cell>
          <cell r="B2113" t="e">
            <v>#N/A</v>
          </cell>
          <cell r="C2113" t="e">
            <v>#N/A</v>
          </cell>
          <cell r="D2113" t="str">
            <v>EK65</v>
          </cell>
          <cell r="E2113" t="str">
            <v>719224</v>
          </cell>
          <cell r="F2113" t="str">
            <v>B</v>
          </cell>
          <cell r="G2113" t="str">
            <v>4410545</v>
          </cell>
          <cell r="H2113" t="str">
            <v>Distanzstueck</v>
          </cell>
          <cell r="I2113">
            <v>75</v>
          </cell>
          <cell r="J2113" t="str">
            <v>Stk</v>
          </cell>
          <cell r="K2113">
            <v>45006</v>
          </cell>
          <cell r="L2113" t="str">
            <v/>
          </cell>
          <cell r="M2113" t="str">
            <v/>
          </cell>
          <cell r="N2113" t="str">
            <v/>
          </cell>
          <cell r="O2113" t="str">
            <v/>
          </cell>
          <cell r="P2113" t="str">
            <v/>
          </cell>
          <cell r="Q2113" t="str">
            <v/>
          </cell>
          <cell r="R2113" t="str">
            <v/>
          </cell>
          <cell r="S2113" t="str">
            <v/>
          </cell>
          <cell r="T2113" t="str">
            <v/>
          </cell>
          <cell r="U2113" t="str">
            <v/>
          </cell>
          <cell r="V2113" t="str">
            <v>N52</v>
          </cell>
          <cell r="W2113" t="str">
            <v/>
          </cell>
          <cell r="X2113" t="str">
            <v/>
          </cell>
          <cell r="Y2113" t="str">
            <v/>
          </cell>
          <cell r="Z2113" t="str">
            <v/>
          </cell>
          <cell r="AA2113" t="str">
            <v/>
          </cell>
          <cell r="AB2113" t="str">
            <v>PA_2130149-CD.6900-4P.1</v>
          </cell>
          <cell r="AC2113">
            <v>4</v>
          </cell>
          <cell r="AD2113" t="str">
            <v/>
          </cell>
          <cell r="AE2113">
            <v>0</v>
          </cell>
          <cell r="AF2113" t="str">
            <v/>
          </cell>
          <cell r="AG2113" t="str">
            <v>4410545</v>
          </cell>
          <cell r="AH2113">
            <v>45002.836527777778</v>
          </cell>
          <cell r="AI2113" t="str">
            <v>N52</v>
          </cell>
          <cell r="AJ2113" t="str">
            <v>F</v>
          </cell>
          <cell r="AK2113" t="str">
            <v/>
          </cell>
        </row>
        <row r="2114">
          <cell r="A2114" t="str">
            <v>4410556</v>
          </cell>
          <cell r="B2114" t="e">
            <v>#N/A</v>
          </cell>
          <cell r="C2114" t="e">
            <v>#N/A</v>
          </cell>
          <cell r="D2114" t="str">
            <v>EK65</v>
          </cell>
          <cell r="E2114" t="str">
            <v>719225</v>
          </cell>
          <cell r="F2114" t="str">
            <v>B</v>
          </cell>
          <cell r="G2114" t="str">
            <v>4410556</v>
          </cell>
          <cell r="H2114" t="str">
            <v>Distanzstueck</v>
          </cell>
          <cell r="I2114">
            <v>75</v>
          </cell>
          <cell r="J2114" t="str">
            <v>Stk</v>
          </cell>
          <cell r="K2114">
            <v>45006</v>
          </cell>
          <cell r="L2114" t="str">
            <v/>
          </cell>
          <cell r="M2114" t="str">
            <v/>
          </cell>
          <cell r="N2114" t="str">
            <v/>
          </cell>
          <cell r="O2114" t="str">
            <v/>
          </cell>
          <cell r="P2114" t="str">
            <v/>
          </cell>
          <cell r="Q2114" t="str">
            <v/>
          </cell>
          <cell r="R2114" t="str">
            <v/>
          </cell>
          <cell r="S2114" t="str">
            <v/>
          </cell>
          <cell r="T2114" t="str">
            <v/>
          </cell>
          <cell r="U2114" t="str">
            <v/>
          </cell>
          <cell r="V2114" t="str">
            <v>N52</v>
          </cell>
          <cell r="W2114" t="str">
            <v/>
          </cell>
          <cell r="X2114" t="str">
            <v/>
          </cell>
          <cell r="Y2114" t="str">
            <v/>
          </cell>
          <cell r="Z2114" t="str">
            <v/>
          </cell>
          <cell r="AA2114" t="str">
            <v/>
          </cell>
          <cell r="AB2114" t="str">
            <v>PA_2130149-CD.6900-4P.2</v>
          </cell>
          <cell r="AC2114">
            <v>4</v>
          </cell>
          <cell r="AD2114" t="str">
            <v/>
          </cell>
          <cell r="AE2114">
            <v>0</v>
          </cell>
          <cell r="AF2114" t="str">
            <v/>
          </cell>
          <cell r="AG2114" t="str">
            <v>4410556</v>
          </cell>
          <cell r="AH2114">
            <v>45002.836527777778</v>
          </cell>
          <cell r="AI2114" t="str">
            <v>N52</v>
          </cell>
          <cell r="AJ2114" t="str">
            <v>F</v>
          </cell>
          <cell r="AK2114" t="str">
            <v/>
          </cell>
        </row>
        <row r="2115">
          <cell r="A2115" t="str">
            <v>4410567</v>
          </cell>
          <cell r="B2115" t="e">
            <v>#N/A</v>
          </cell>
          <cell r="C2115" t="e">
            <v>#N/A</v>
          </cell>
          <cell r="D2115" t="str">
            <v>EK65</v>
          </cell>
          <cell r="E2115" t="str">
            <v>719226</v>
          </cell>
          <cell r="F2115" t="str">
            <v>B</v>
          </cell>
          <cell r="G2115" t="str">
            <v>4410567</v>
          </cell>
          <cell r="H2115" t="str">
            <v>Distanzstueck</v>
          </cell>
          <cell r="I2115">
            <v>200</v>
          </cell>
          <cell r="J2115" t="str">
            <v>Stk</v>
          </cell>
          <cell r="K2115">
            <v>45006</v>
          </cell>
          <cell r="L2115" t="str">
            <v/>
          </cell>
          <cell r="M2115" t="str">
            <v/>
          </cell>
          <cell r="N2115" t="str">
            <v/>
          </cell>
          <cell r="O2115" t="str">
            <v/>
          </cell>
          <cell r="P2115" t="str">
            <v/>
          </cell>
          <cell r="Q2115" t="str">
            <v/>
          </cell>
          <cell r="R2115" t="str">
            <v/>
          </cell>
          <cell r="S2115" t="str">
            <v/>
          </cell>
          <cell r="T2115" t="str">
            <v/>
          </cell>
          <cell r="U2115" t="str">
            <v/>
          </cell>
          <cell r="V2115" t="str">
            <v>N52</v>
          </cell>
          <cell r="W2115" t="str">
            <v/>
          </cell>
          <cell r="X2115" t="str">
            <v/>
          </cell>
          <cell r="Y2115" t="str">
            <v/>
          </cell>
          <cell r="Z2115" t="str">
            <v/>
          </cell>
          <cell r="AA2115" t="str">
            <v/>
          </cell>
          <cell r="AB2115" t="str">
            <v>PA_2130149-CD.6900-4P.3</v>
          </cell>
          <cell r="AC2115">
            <v>4</v>
          </cell>
          <cell r="AD2115" t="str">
            <v/>
          </cell>
          <cell r="AE2115">
            <v>0</v>
          </cell>
          <cell r="AF2115" t="str">
            <v/>
          </cell>
          <cell r="AG2115" t="str">
            <v>4410567</v>
          </cell>
          <cell r="AH2115">
            <v>45002.836527777778</v>
          </cell>
          <cell r="AI2115" t="str">
            <v>N52</v>
          </cell>
          <cell r="AJ2115" t="str">
            <v>F</v>
          </cell>
          <cell r="AK2115" t="str">
            <v/>
          </cell>
        </row>
        <row r="2116">
          <cell r="A2116" t="str">
            <v>4410578</v>
          </cell>
          <cell r="B2116" t="e">
            <v>#N/A</v>
          </cell>
          <cell r="C2116" t="e">
            <v>#N/A</v>
          </cell>
          <cell r="D2116" t="str">
            <v>EK65</v>
          </cell>
          <cell r="E2116" t="str">
            <v>719227</v>
          </cell>
          <cell r="F2116" t="str">
            <v>B</v>
          </cell>
          <cell r="G2116" t="str">
            <v>4410578</v>
          </cell>
          <cell r="H2116" t="str">
            <v>Distanzstueck</v>
          </cell>
          <cell r="I2116">
            <v>200</v>
          </cell>
          <cell r="J2116" t="str">
            <v>Stk</v>
          </cell>
          <cell r="K2116">
            <v>45006</v>
          </cell>
          <cell r="L2116" t="str">
            <v/>
          </cell>
          <cell r="M2116" t="str">
            <v/>
          </cell>
          <cell r="N2116" t="str">
            <v/>
          </cell>
          <cell r="O2116" t="str">
            <v/>
          </cell>
          <cell r="P2116" t="str">
            <v/>
          </cell>
          <cell r="Q2116" t="str">
            <v/>
          </cell>
          <cell r="R2116" t="str">
            <v/>
          </cell>
          <cell r="S2116" t="str">
            <v/>
          </cell>
          <cell r="T2116" t="str">
            <v/>
          </cell>
          <cell r="U2116" t="str">
            <v/>
          </cell>
          <cell r="V2116" t="str">
            <v>N52</v>
          </cell>
          <cell r="W2116" t="str">
            <v/>
          </cell>
          <cell r="X2116" t="str">
            <v/>
          </cell>
          <cell r="Y2116" t="str">
            <v/>
          </cell>
          <cell r="Z2116" t="str">
            <v/>
          </cell>
          <cell r="AA2116" t="str">
            <v/>
          </cell>
          <cell r="AB2116" t="str">
            <v>PA_2130149-CD.6900-4P.4</v>
          </cell>
          <cell r="AC2116">
            <v>4</v>
          </cell>
          <cell r="AD2116" t="str">
            <v/>
          </cell>
          <cell r="AE2116">
            <v>0</v>
          </cell>
          <cell r="AF2116" t="str">
            <v/>
          </cell>
          <cell r="AG2116" t="str">
            <v>4410578</v>
          </cell>
          <cell r="AH2116">
            <v>45002.836527777778</v>
          </cell>
          <cell r="AI2116" t="str">
            <v>N52</v>
          </cell>
          <cell r="AJ2116" t="str">
            <v>F</v>
          </cell>
          <cell r="AK2116" t="str">
            <v/>
          </cell>
        </row>
        <row r="2117">
          <cell r="A2117" t="str">
            <v>5112231</v>
          </cell>
          <cell r="B2117" t="e">
            <v>#N/A</v>
          </cell>
          <cell r="C2117" t="e">
            <v>#N/A</v>
          </cell>
          <cell r="D2117" t="str">
            <v>EK65</v>
          </cell>
          <cell r="E2117" t="str">
            <v>719230</v>
          </cell>
          <cell r="F2117" t="str">
            <v>B</v>
          </cell>
          <cell r="G2117" t="str">
            <v>5112231</v>
          </cell>
          <cell r="H2117" t="str">
            <v>BEILAGE 3MM</v>
          </cell>
          <cell r="I2117">
            <v>20</v>
          </cell>
          <cell r="J2117" t="str">
            <v>Stk</v>
          </cell>
          <cell r="K2117">
            <v>45006</v>
          </cell>
          <cell r="L2117" t="str">
            <v/>
          </cell>
          <cell r="M2117" t="str">
            <v/>
          </cell>
          <cell r="N2117" t="str">
            <v/>
          </cell>
          <cell r="O2117" t="str">
            <v/>
          </cell>
          <cell r="P2117" t="str">
            <v/>
          </cell>
          <cell r="Q2117" t="str">
            <v/>
          </cell>
          <cell r="R2117" t="str">
            <v/>
          </cell>
          <cell r="S2117" t="str">
            <v/>
          </cell>
          <cell r="T2117" t="str">
            <v/>
          </cell>
          <cell r="U2117" t="str">
            <v/>
          </cell>
          <cell r="V2117" t="str">
            <v>N52</v>
          </cell>
          <cell r="W2117" t="str">
            <v/>
          </cell>
          <cell r="X2117" t="str">
            <v/>
          </cell>
          <cell r="Y2117" t="str">
            <v/>
          </cell>
          <cell r="Z2117" t="str">
            <v/>
          </cell>
          <cell r="AA2117" t="str">
            <v/>
          </cell>
          <cell r="AB2117" t="str">
            <v>PA_1213685-CD.4007-4P.2</v>
          </cell>
          <cell r="AC2117">
            <v>4</v>
          </cell>
          <cell r="AD2117" t="str">
            <v/>
          </cell>
          <cell r="AE2117">
            <v>0</v>
          </cell>
          <cell r="AF2117" t="str">
            <v/>
          </cell>
          <cell r="AG2117" t="str">
            <v>5112231</v>
          </cell>
          <cell r="AH2117">
            <v>45002.83666666667</v>
          </cell>
          <cell r="AI2117" t="str">
            <v>N52</v>
          </cell>
          <cell r="AJ2117" t="str">
            <v>F</v>
          </cell>
          <cell r="AK2117" t="str">
            <v/>
          </cell>
        </row>
        <row r="2118">
          <cell r="A2118" t="str">
            <v>5182103</v>
          </cell>
          <cell r="B2118" t="e">
            <v>#N/A</v>
          </cell>
          <cell r="C2118" t="e">
            <v>#N/A</v>
          </cell>
          <cell r="D2118" t="str">
            <v>EK65</v>
          </cell>
          <cell r="E2118" t="str">
            <v>719232</v>
          </cell>
          <cell r="F2118" t="str">
            <v>B</v>
          </cell>
          <cell r="G2118" t="str">
            <v>5182103</v>
          </cell>
          <cell r="H2118" t="str">
            <v>BEILAGE 5MM</v>
          </cell>
          <cell r="I2118">
            <v>20</v>
          </cell>
          <cell r="J2118" t="str">
            <v>Stk</v>
          </cell>
          <cell r="K2118">
            <v>45006</v>
          </cell>
          <cell r="L2118" t="str">
            <v/>
          </cell>
          <cell r="M2118" t="str">
            <v/>
          </cell>
          <cell r="N2118" t="str">
            <v/>
          </cell>
          <cell r="O2118" t="str">
            <v/>
          </cell>
          <cell r="P2118" t="str">
            <v/>
          </cell>
          <cell r="Q2118" t="str">
            <v/>
          </cell>
          <cell r="R2118" t="str">
            <v/>
          </cell>
          <cell r="S2118" t="str">
            <v/>
          </cell>
          <cell r="T2118" t="str">
            <v/>
          </cell>
          <cell r="U2118" t="str">
            <v/>
          </cell>
          <cell r="V2118" t="str">
            <v>N52</v>
          </cell>
          <cell r="W2118" t="str">
            <v/>
          </cell>
          <cell r="X2118" t="str">
            <v/>
          </cell>
          <cell r="Y2118" t="str">
            <v/>
          </cell>
          <cell r="Z2118" t="str">
            <v/>
          </cell>
          <cell r="AA2118" t="str">
            <v/>
          </cell>
          <cell r="AB2118" t="str">
            <v>PA_1226420-CD.4009-4P.3</v>
          </cell>
          <cell r="AC2118">
            <v>4</v>
          </cell>
          <cell r="AD2118" t="str">
            <v/>
          </cell>
          <cell r="AE2118">
            <v>0</v>
          </cell>
          <cell r="AF2118" t="str">
            <v/>
          </cell>
          <cell r="AG2118" t="str">
            <v>5182103</v>
          </cell>
          <cell r="AH2118">
            <v>45002.836759259262</v>
          </cell>
          <cell r="AI2118" t="str">
            <v>N52</v>
          </cell>
          <cell r="AJ2118" t="str">
            <v>F</v>
          </cell>
          <cell r="AK2118" t="str">
            <v/>
          </cell>
        </row>
        <row r="2119">
          <cell r="A2119" t="str">
            <v>5447791</v>
          </cell>
          <cell r="B2119" t="e">
            <v>#N/A</v>
          </cell>
          <cell r="C2119" t="e">
            <v>#N/A</v>
          </cell>
          <cell r="D2119" t="str">
            <v>EK65</v>
          </cell>
          <cell r="E2119" t="str">
            <v>719241</v>
          </cell>
          <cell r="F2119" t="str">
            <v>B</v>
          </cell>
          <cell r="G2119" t="str">
            <v>5447791</v>
          </cell>
          <cell r="H2119" t="str">
            <v>BUCHSE</v>
          </cell>
          <cell r="I2119">
            <v>1000</v>
          </cell>
          <cell r="J2119" t="str">
            <v>Stk</v>
          </cell>
          <cell r="K2119">
            <v>45018</v>
          </cell>
          <cell r="L2119" t="str">
            <v/>
          </cell>
          <cell r="M2119" t="str">
            <v/>
          </cell>
          <cell r="N2119" t="str">
            <v/>
          </cell>
          <cell r="O2119" t="str">
            <v/>
          </cell>
          <cell r="P2119" t="str">
            <v/>
          </cell>
          <cell r="Q2119" t="str">
            <v/>
          </cell>
          <cell r="R2119" t="str">
            <v/>
          </cell>
          <cell r="S2119" t="str">
            <v/>
          </cell>
          <cell r="T2119" t="str">
            <v/>
          </cell>
          <cell r="U2119" t="str">
            <v/>
          </cell>
          <cell r="V2119" t="str">
            <v>N52</v>
          </cell>
          <cell r="W2119" t="str">
            <v/>
          </cell>
          <cell r="X2119" t="str">
            <v/>
          </cell>
          <cell r="Y2119" t="str">
            <v/>
          </cell>
          <cell r="Z2119" t="str">
            <v/>
          </cell>
          <cell r="AA2119" t="str">
            <v/>
          </cell>
          <cell r="AB2119" t="str">
            <v>PA_1275148-DC.6001-4</v>
          </cell>
          <cell r="AC2119">
            <v>4</v>
          </cell>
          <cell r="AD2119" t="str">
            <v/>
          </cell>
          <cell r="AE2119">
            <v>0</v>
          </cell>
          <cell r="AF2119" t="str">
            <v/>
          </cell>
          <cell r="AG2119" t="str">
            <v>5447791</v>
          </cell>
          <cell r="AH2119">
            <v>45002.837141203701</v>
          </cell>
          <cell r="AI2119" t="str">
            <v>N52</v>
          </cell>
          <cell r="AJ2119" t="str">
            <v>F</v>
          </cell>
          <cell r="AK2119" t="str">
            <v/>
          </cell>
        </row>
        <row r="2120">
          <cell r="A2120" t="str">
            <v>5732724</v>
          </cell>
          <cell r="B2120" t="e">
            <v>#N/A</v>
          </cell>
          <cell r="C2120" t="e">
            <v>#N/A</v>
          </cell>
          <cell r="D2120" t="str">
            <v>EK65</v>
          </cell>
          <cell r="E2120" t="str">
            <v>719244</v>
          </cell>
          <cell r="F2120" t="str">
            <v>B</v>
          </cell>
          <cell r="G2120" t="str">
            <v>5732724</v>
          </cell>
          <cell r="H2120" t="str">
            <v>DISTANZHUELSE</v>
          </cell>
          <cell r="I2120">
            <v>17</v>
          </cell>
          <cell r="J2120" t="str">
            <v>Stk</v>
          </cell>
          <cell r="K2120">
            <v>45006</v>
          </cell>
          <cell r="L2120" t="str">
            <v/>
          </cell>
          <cell r="M2120" t="str">
            <v/>
          </cell>
          <cell r="N2120" t="str">
            <v/>
          </cell>
          <cell r="O2120" t="str">
            <v/>
          </cell>
          <cell r="P2120" t="str">
            <v/>
          </cell>
          <cell r="Q2120" t="str">
            <v/>
          </cell>
          <cell r="R2120" t="str">
            <v/>
          </cell>
          <cell r="S2120" t="str">
            <v/>
          </cell>
          <cell r="T2120" t="str">
            <v/>
          </cell>
          <cell r="U2120" t="str">
            <v/>
          </cell>
          <cell r="V2120" t="str">
            <v>N32</v>
          </cell>
          <cell r="W2120" t="str">
            <v/>
          </cell>
          <cell r="X2120" t="str">
            <v/>
          </cell>
          <cell r="Y2120" t="str">
            <v/>
          </cell>
          <cell r="Z2120" t="str">
            <v/>
          </cell>
          <cell r="AA2120" t="str">
            <v/>
          </cell>
          <cell r="AB2120" t="str">
            <v>PA_1491407-CA.3021-4</v>
          </cell>
          <cell r="AC2120">
            <v>4</v>
          </cell>
          <cell r="AD2120" t="str">
            <v/>
          </cell>
          <cell r="AE2120">
            <v>0</v>
          </cell>
          <cell r="AF2120" t="str">
            <v/>
          </cell>
          <cell r="AG2120" t="str">
            <v>5732724</v>
          </cell>
          <cell r="AH2120">
            <v>45002.837476851855</v>
          </cell>
          <cell r="AI2120" t="str">
            <v>N32</v>
          </cell>
          <cell r="AJ2120" t="str">
            <v>F</v>
          </cell>
          <cell r="AK2120" t="str">
            <v/>
          </cell>
        </row>
        <row r="2121">
          <cell r="A2121" t="str">
            <v>5813465</v>
          </cell>
          <cell r="B2121" t="e">
            <v>#N/A</v>
          </cell>
          <cell r="C2121" t="e">
            <v>#N/A</v>
          </cell>
          <cell r="D2121" t="str">
            <v>EK65</v>
          </cell>
          <cell r="E2121" t="str">
            <v>719246</v>
          </cell>
          <cell r="F2121" t="str">
            <v>B</v>
          </cell>
          <cell r="G2121" t="str">
            <v>5813465</v>
          </cell>
          <cell r="H2121" t="str">
            <v>BEILAGE</v>
          </cell>
          <cell r="I2121">
            <v>20</v>
          </cell>
          <cell r="J2121" t="str">
            <v>Stk</v>
          </cell>
          <cell r="K2121">
            <v>45004</v>
          </cell>
          <cell r="L2121" t="str">
            <v/>
          </cell>
          <cell r="M2121" t="str">
            <v/>
          </cell>
          <cell r="N2121" t="str">
            <v/>
          </cell>
          <cell r="O2121" t="str">
            <v/>
          </cell>
          <cell r="P2121" t="str">
            <v/>
          </cell>
          <cell r="Q2121" t="str">
            <v/>
          </cell>
          <cell r="R2121" t="str">
            <v/>
          </cell>
          <cell r="S2121" t="str">
            <v/>
          </cell>
          <cell r="T2121" t="str">
            <v/>
          </cell>
          <cell r="U2121" t="str">
            <v/>
          </cell>
          <cell r="V2121" t="str">
            <v>N52</v>
          </cell>
          <cell r="W2121" t="str">
            <v/>
          </cell>
          <cell r="X2121" t="str">
            <v/>
          </cell>
          <cell r="Y2121" t="str">
            <v/>
          </cell>
          <cell r="Z2121" t="str">
            <v/>
          </cell>
          <cell r="AA2121" t="str">
            <v/>
          </cell>
          <cell r="AB2121" t="str">
            <v>PA_2005258-LA.3021-2</v>
          </cell>
          <cell r="AC2121">
            <v>4</v>
          </cell>
          <cell r="AD2121" t="str">
            <v/>
          </cell>
          <cell r="AE2121">
            <v>0</v>
          </cell>
          <cell r="AF2121" t="str">
            <v/>
          </cell>
          <cell r="AG2121" t="str">
            <v>5813465</v>
          </cell>
          <cell r="AH2121">
            <v>45002.837581018517</v>
          </cell>
          <cell r="AI2121" t="str">
            <v>N52</v>
          </cell>
          <cell r="AJ2121" t="str">
            <v>F</v>
          </cell>
          <cell r="AK2121" t="str">
            <v/>
          </cell>
        </row>
        <row r="2122">
          <cell r="A2122" t="str">
            <v>5915918</v>
          </cell>
          <cell r="B2122" t="e">
            <v>#N/A</v>
          </cell>
          <cell r="C2122" t="e">
            <v>#N/A</v>
          </cell>
          <cell r="D2122" t="str">
            <v>EK65</v>
          </cell>
          <cell r="E2122" t="str">
            <v>719247</v>
          </cell>
          <cell r="F2122" t="str">
            <v>B</v>
          </cell>
          <cell r="G2122" t="str">
            <v>5915918</v>
          </cell>
          <cell r="H2122" t="str">
            <v>DISTANZSTUECK</v>
          </cell>
          <cell r="I2122">
            <v>100</v>
          </cell>
          <cell r="J2122" t="str">
            <v>Stk</v>
          </cell>
          <cell r="K2122">
            <v>45006</v>
          </cell>
          <cell r="L2122" t="str">
            <v/>
          </cell>
          <cell r="M2122" t="str">
            <v/>
          </cell>
          <cell r="N2122" t="str">
            <v/>
          </cell>
          <cell r="O2122" t="str">
            <v/>
          </cell>
          <cell r="P2122" t="str">
            <v/>
          </cell>
          <cell r="Q2122" t="str">
            <v/>
          </cell>
          <cell r="R2122" t="str">
            <v/>
          </cell>
          <cell r="S2122" t="str">
            <v/>
          </cell>
          <cell r="T2122" t="str">
            <v/>
          </cell>
          <cell r="U2122" t="str">
            <v/>
          </cell>
          <cell r="V2122" t="str">
            <v>N52</v>
          </cell>
          <cell r="W2122" t="str">
            <v/>
          </cell>
          <cell r="X2122" t="str">
            <v/>
          </cell>
          <cell r="Y2122" t="str">
            <v/>
          </cell>
          <cell r="Z2122" t="str">
            <v/>
          </cell>
          <cell r="AA2122" t="str">
            <v/>
          </cell>
          <cell r="AB2122" t="str">
            <v>PA_2030451-DF.6002-4</v>
          </cell>
          <cell r="AC2122">
            <v>4</v>
          </cell>
          <cell r="AD2122" t="str">
            <v/>
          </cell>
          <cell r="AE2122">
            <v>0</v>
          </cell>
          <cell r="AF2122" t="str">
            <v/>
          </cell>
          <cell r="AG2122" t="str">
            <v>5915918</v>
          </cell>
          <cell r="AH2122">
            <v>45002.837650462963</v>
          </cell>
          <cell r="AI2122" t="str">
            <v>N52</v>
          </cell>
          <cell r="AJ2122" t="str">
            <v>F</v>
          </cell>
          <cell r="AK2122" t="str">
            <v/>
          </cell>
        </row>
        <row r="2123">
          <cell r="A2123" t="str">
            <v>6012527</v>
          </cell>
          <cell r="B2123" t="e">
            <v>#N/A</v>
          </cell>
          <cell r="C2123" t="e">
            <v>#N/A</v>
          </cell>
          <cell r="D2123" t="str">
            <v>EK65</v>
          </cell>
          <cell r="E2123" t="str">
            <v>719248</v>
          </cell>
          <cell r="F2123" t="str">
            <v>B</v>
          </cell>
          <cell r="G2123" t="str">
            <v>6012527</v>
          </cell>
          <cell r="H2123" t="str">
            <v>UNTERLAGE 4MM</v>
          </cell>
          <cell r="I2123">
            <v>100</v>
          </cell>
          <cell r="J2123" t="str">
            <v>Stk</v>
          </cell>
          <cell r="K2123">
            <v>45004</v>
          </cell>
          <cell r="L2123" t="str">
            <v/>
          </cell>
          <cell r="M2123" t="str">
            <v/>
          </cell>
          <cell r="N2123" t="str">
            <v/>
          </cell>
          <cell r="O2123" t="str">
            <v/>
          </cell>
          <cell r="P2123" t="str">
            <v/>
          </cell>
          <cell r="Q2123" t="str">
            <v/>
          </cell>
          <cell r="R2123" t="str">
            <v/>
          </cell>
          <cell r="S2123" t="str">
            <v/>
          </cell>
          <cell r="T2123" t="str">
            <v/>
          </cell>
          <cell r="U2123" t="str">
            <v/>
          </cell>
          <cell r="V2123" t="str">
            <v>N52</v>
          </cell>
          <cell r="W2123" t="str">
            <v/>
          </cell>
          <cell r="X2123" t="str">
            <v/>
          </cell>
          <cell r="Y2123" t="str">
            <v/>
          </cell>
          <cell r="Z2123" t="str">
            <v/>
          </cell>
          <cell r="AA2123" t="str">
            <v/>
          </cell>
          <cell r="AB2123" t="str">
            <v>PA_2028098-NB.7000-4</v>
          </cell>
          <cell r="AC2123">
            <v>4</v>
          </cell>
          <cell r="AD2123" t="str">
            <v/>
          </cell>
          <cell r="AE2123">
            <v>0</v>
          </cell>
          <cell r="AF2123" t="str">
            <v/>
          </cell>
          <cell r="AG2123" t="str">
            <v>6012527</v>
          </cell>
          <cell r="AH2123">
            <v>45002.837708333333</v>
          </cell>
          <cell r="AI2123" t="str">
            <v>N52</v>
          </cell>
          <cell r="AJ2123" t="str">
            <v>F</v>
          </cell>
          <cell r="AK2123" t="str">
            <v/>
          </cell>
        </row>
        <row r="2124">
          <cell r="A2124" t="str">
            <v>6012538</v>
          </cell>
          <cell r="B2124" t="e">
            <v>#N/A</v>
          </cell>
          <cell r="C2124" t="e">
            <v>#N/A</v>
          </cell>
          <cell r="D2124" t="str">
            <v>EK65</v>
          </cell>
          <cell r="E2124" t="str">
            <v>719249</v>
          </cell>
          <cell r="F2124" t="str">
            <v>B</v>
          </cell>
          <cell r="G2124" t="str">
            <v>6012538</v>
          </cell>
          <cell r="H2124" t="str">
            <v>UNTERLAGE 3MM</v>
          </cell>
          <cell r="I2124">
            <v>100</v>
          </cell>
          <cell r="J2124" t="str">
            <v>Stk</v>
          </cell>
          <cell r="K2124">
            <v>45004</v>
          </cell>
          <cell r="L2124" t="str">
            <v/>
          </cell>
          <cell r="M2124" t="str">
            <v/>
          </cell>
          <cell r="N2124" t="str">
            <v/>
          </cell>
          <cell r="O2124" t="str">
            <v/>
          </cell>
          <cell r="P2124" t="str">
            <v/>
          </cell>
          <cell r="Q2124" t="str">
            <v/>
          </cell>
          <cell r="R2124" t="str">
            <v/>
          </cell>
          <cell r="S2124" t="str">
            <v/>
          </cell>
          <cell r="T2124" t="str">
            <v/>
          </cell>
          <cell r="U2124" t="str">
            <v/>
          </cell>
          <cell r="V2124" t="str">
            <v>N52</v>
          </cell>
          <cell r="W2124" t="str">
            <v/>
          </cell>
          <cell r="X2124" t="str">
            <v/>
          </cell>
          <cell r="Y2124" t="str">
            <v/>
          </cell>
          <cell r="Z2124" t="str">
            <v/>
          </cell>
          <cell r="AA2124" t="str">
            <v/>
          </cell>
          <cell r="AB2124" t="str">
            <v>PA_2028099-NB.7000-4</v>
          </cell>
          <cell r="AC2124">
            <v>4</v>
          </cell>
          <cell r="AD2124" t="str">
            <v/>
          </cell>
          <cell r="AE2124">
            <v>0</v>
          </cell>
          <cell r="AF2124" t="str">
            <v/>
          </cell>
          <cell r="AG2124" t="str">
            <v>6012538</v>
          </cell>
          <cell r="AH2124">
            <v>45002.837719907409</v>
          </cell>
          <cell r="AI2124" t="str">
            <v>N52</v>
          </cell>
          <cell r="AJ2124" t="str">
            <v>F</v>
          </cell>
          <cell r="AK2124" t="str">
            <v/>
          </cell>
        </row>
        <row r="2125">
          <cell r="A2125" t="str">
            <v>6012549</v>
          </cell>
          <cell r="B2125" t="e">
            <v>#N/A</v>
          </cell>
          <cell r="C2125" t="e">
            <v>#N/A</v>
          </cell>
          <cell r="D2125" t="str">
            <v>EK65</v>
          </cell>
          <cell r="E2125" t="str">
            <v>719250</v>
          </cell>
          <cell r="F2125" t="str">
            <v>B</v>
          </cell>
          <cell r="G2125" t="str">
            <v>6012549</v>
          </cell>
          <cell r="H2125" t="str">
            <v>UNTERLAGE 1MM</v>
          </cell>
          <cell r="I2125">
            <v>100</v>
          </cell>
          <cell r="J2125" t="str">
            <v>Stk</v>
          </cell>
          <cell r="K2125">
            <v>45004</v>
          </cell>
          <cell r="L2125" t="str">
            <v/>
          </cell>
          <cell r="M2125" t="str">
            <v/>
          </cell>
          <cell r="N2125" t="str">
            <v/>
          </cell>
          <cell r="O2125" t="str">
            <v/>
          </cell>
          <cell r="P2125" t="str">
            <v/>
          </cell>
          <cell r="Q2125" t="str">
            <v/>
          </cell>
          <cell r="R2125" t="str">
            <v/>
          </cell>
          <cell r="S2125" t="str">
            <v/>
          </cell>
          <cell r="T2125" t="str">
            <v/>
          </cell>
          <cell r="U2125" t="str">
            <v/>
          </cell>
          <cell r="V2125" t="str">
            <v>N52</v>
          </cell>
          <cell r="W2125" t="str">
            <v/>
          </cell>
          <cell r="X2125" t="str">
            <v/>
          </cell>
          <cell r="Y2125" t="str">
            <v/>
          </cell>
          <cell r="Z2125" t="str">
            <v/>
          </cell>
          <cell r="AA2125" t="str">
            <v/>
          </cell>
          <cell r="AB2125" t="str">
            <v>PA_2048849-NB.7000-4</v>
          </cell>
          <cell r="AC2125">
            <v>4</v>
          </cell>
          <cell r="AD2125" t="str">
            <v/>
          </cell>
          <cell r="AE2125">
            <v>0</v>
          </cell>
          <cell r="AF2125" t="str">
            <v/>
          </cell>
          <cell r="AG2125" t="str">
            <v>6012549</v>
          </cell>
          <cell r="AH2125">
            <v>45002.837719907409</v>
          </cell>
          <cell r="AI2125" t="str">
            <v>N52</v>
          </cell>
          <cell r="AJ2125" t="str">
            <v>F</v>
          </cell>
          <cell r="AK2125" t="str">
            <v/>
          </cell>
        </row>
        <row r="2126">
          <cell r="A2126" t="str">
            <v>6123385</v>
          </cell>
          <cell r="B2126" t="e">
            <v>#N/A</v>
          </cell>
          <cell r="C2126" t="e">
            <v>#N/A</v>
          </cell>
          <cell r="D2126" t="str">
            <v>EK65</v>
          </cell>
          <cell r="E2126" t="str">
            <v>719257</v>
          </cell>
          <cell r="F2126" t="str">
            <v>B</v>
          </cell>
          <cell r="G2126" t="str">
            <v>6123385</v>
          </cell>
          <cell r="H2126" t="str">
            <v>Buchse</v>
          </cell>
          <cell r="I2126">
            <v>80</v>
          </cell>
          <cell r="J2126" t="str">
            <v>Stk</v>
          </cell>
          <cell r="K2126">
            <v>45006</v>
          </cell>
          <cell r="L2126" t="str">
            <v/>
          </cell>
          <cell r="M2126" t="str">
            <v/>
          </cell>
          <cell r="N2126" t="str">
            <v/>
          </cell>
          <cell r="O2126" t="str">
            <v/>
          </cell>
          <cell r="P2126" t="str">
            <v/>
          </cell>
          <cell r="Q2126" t="str">
            <v/>
          </cell>
          <cell r="R2126" t="str">
            <v/>
          </cell>
          <cell r="S2126" t="str">
            <v/>
          </cell>
          <cell r="T2126" t="str">
            <v/>
          </cell>
          <cell r="U2126" t="str">
            <v/>
          </cell>
          <cell r="V2126" t="str">
            <v>N52</v>
          </cell>
          <cell r="W2126" t="str">
            <v>3.1</v>
          </cell>
          <cell r="X2126" t="str">
            <v/>
          </cell>
          <cell r="Y2126" t="str">
            <v/>
          </cell>
          <cell r="Z2126" t="str">
            <v/>
          </cell>
          <cell r="AA2126" t="str">
            <v/>
          </cell>
          <cell r="AB2126" t="str">
            <v>PA_2064622-CF.3027-4</v>
          </cell>
          <cell r="AC2126">
            <v>4</v>
          </cell>
          <cell r="AD2126" t="str">
            <v/>
          </cell>
          <cell r="AE2126">
            <v>0</v>
          </cell>
          <cell r="AF2126" t="str">
            <v/>
          </cell>
          <cell r="AG2126" t="str">
            <v>6123385</v>
          </cell>
          <cell r="AH2126">
            <v>45002.837812500002</v>
          </cell>
          <cell r="AI2126" t="str">
            <v>N52</v>
          </cell>
          <cell r="AJ2126" t="str">
            <v>F</v>
          </cell>
          <cell r="AK2126" t="str">
            <v/>
          </cell>
        </row>
        <row r="2127">
          <cell r="A2127" t="str">
            <v>70001940828521</v>
          </cell>
          <cell r="B2127">
            <v>0</v>
          </cell>
          <cell r="C2127" t="e">
            <v>#N/A</v>
          </cell>
          <cell r="D2127" t="str">
            <v>EK65</v>
          </cell>
          <cell r="E2127" t="str">
            <v>706892</v>
          </cell>
          <cell r="F2127" t="str">
            <v>E</v>
          </cell>
          <cell r="G2127" t="str">
            <v>70001940</v>
          </cell>
          <cell r="H2127" t="str">
            <v>SHIM 1 MM</v>
          </cell>
          <cell r="I2127">
            <v>1080</v>
          </cell>
          <cell r="J2127" t="str">
            <v>Stk</v>
          </cell>
          <cell r="K2127">
            <v>45112</v>
          </cell>
          <cell r="L2127" t="str">
            <v>828521</v>
          </cell>
          <cell r="M2127" t="str">
            <v/>
          </cell>
          <cell r="N2127" t="str">
            <v/>
          </cell>
          <cell r="O2127" t="str">
            <v/>
          </cell>
          <cell r="P2127" t="str">
            <v/>
          </cell>
          <cell r="Q2127" t="str">
            <v/>
          </cell>
          <cell r="R2127" t="str">
            <v/>
          </cell>
          <cell r="S2127" t="str">
            <v/>
          </cell>
          <cell r="T2127" t="str">
            <v/>
          </cell>
          <cell r="U2127" t="str">
            <v>BB20037010016</v>
          </cell>
          <cell r="V2127" t="str">
            <v>B00</v>
          </cell>
          <cell r="W2127" t="str">
            <v/>
          </cell>
          <cell r="X2127" t="str">
            <v/>
          </cell>
          <cell r="Y2127" t="str">
            <v/>
          </cell>
          <cell r="Z2127" t="str">
            <v/>
          </cell>
          <cell r="AA2127" t="str">
            <v/>
          </cell>
          <cell r="AB2127" t="str">
            <v>70001940</v>
          </cell>
          <cell r="AC2127">
            <v>1</v>
          </cell>
          <cell r="AD2127" t="str">
            <v/>
          </cell>
          <cell r="AE2127">
            <v>0</v>
          </cell>
          <cell r="AF2127" t="str">
            <v/>
          </cell>
          <cell r="AG2127" t="str">
            <v>70001940</v>
          </cell>
          <cell r="AH2127">
            <v>44961.012418981481</v>
          </cell>
          <cell r="AI2127" t="str">
            <v>B00</v>
          </cell>
          <cell r="AJ2127" t="str">
            <v>F</v>
          </cell>
          <cell r="AK2127" t="str">
            <v>--</v>
          </cell>
        </row>
        <row r="2128">
          <cell r="A2128" t="str">
            <v>12662283820541</v>
          </cell>
          <cell r="B2128" t="e">
            <v>#N/A</v>
          </cell>
          <cell r="C2128" t="e">
            <v>#N/A</v>
          </cell>
          <cell r="D2128" t="str">
            <v>EK65</v>
          </cell>
          <cell r="E2128" t="str">
            <v>719407</v>
          </cell>
          <cell r="F2128" t="str">
            <v>E</v>
          </cell>
          <cell r="G2128" t="str">
            <v>12662283</v>
          </cell>
          <cell r="H2128" t="str">
            <v>Klemmelement komplett Heizerabdeckung</v>
          </cell>
          <cell r="I2128">
            <v>308</v>
          </cell>
          <cell r="J2128" t="str">
            <v>Stk</v>
          </cell>
          <cell r="K2128">
            <v>45187</v>
          </cell>
          <cell r="L2128" t="str">
            <v>820541</v>
          </cell>
          <cell r="M2128" t="str">
            <v/>
          </cell>
          <cell r="N2128" t="str">
            <v/>
          </cell>
          <cell r="O2128" t="str">
            <v/>
          </cell>
          <cell r="P2128" t="str">
            <v/>
          </cell>
          <cell r="Q2128" t="str">
            <v/>
          </cell>
          <cell r="R2128" t="str">
            <v/>
          </cell>
          <cell r="S2128" t="str">
            <v/>
          </cell>
          <cell r="T2128" t="str">
            <v/>
          </cell>
          <cell r="U2128" t="str">
            <v/>
          </cell>
          <cell r="V2128" t="str">
            <v>N38</v>
          </cell>
          <cell r="W2128" t="str">
            <v/>
          </cell>
          <cell r="X2128" t="str">
            <v/>
          </cell>
          <cell r="Y2128" t="str">
            <v/>
          </cell>
          <cell r="Z2128" t="str">
            <v/>
          </cell>
          <cell r="AA2128" t="str">
            <v/>
          </cell>
          <cell r="AB2128" t="str">
            <v>PA_5078136-CD.3048-3</v>
          </cell>
          <cell r="AC2128">
            <v>1</v>
          </cell>
          <cell r="AD2128" t="str">
            <v/>
          </cell>
          <cell r="AE2128">
            <v>0</v>
          </cell>
          <cell r="AF2128" t="str">
            <v/>
          </cell>
          <cell r="AG2128" t="str">
            <v>12662283</v>
          </cell>
          <cell r="AH2128">
            <v>45002.902349537035</v>
          </cell>
          <cell r="AI2128" t="str">
            <v>N38</v>
          </cell>
          <cell r="AJ2128" t="str">
            <v>F</v>
          </cell>
          <cell r="AK2128" t="str">
            <v/>
          </cell>
        </row>
        <row r="2129">
          <cell r="A2129" t="str">
            <v>0282519820531</v>
          </cell>
          <cell r="B2129" t="e">
            <v>#N/A</v>
          </cell>
          <cell r="C2129" t="e">
            <v>#N/A</v>
          </cell>
          <cell r="D2129" t="str">
            <v>EK65</v>
          </cell>
          <cell r="E2129" t="str">
            <v>719599</v>
          </cell>
          <cell r="F2129" t="str">
            <v>E</v>
          </cell>
          <cell r="G2129" t="str">
            <v>0282519</v>
          </cell>
          <cell r="H2129" t="str">
            <v>Bodenprofil</v>
          </cell>
          <cell r="I2129">
            <v>4</v>
          </cell>
          <cell r="J2129" t="str">
            <v>Stk</v>
          </cell>
          <cell r="K2129">
            <v>45215</v>
          </cell>
          <cell r="L2129" t="str">
            <v>820531</v>
          </cell>
          <cell r="M2129" t="str">
            <v/>
          </cell>
          <cell r="N2129" t="str">
            <v/>
          </cell>
          <cell r="O2129" t="str">
            <v/>
          </cell>
          <cell r="P2129" t="str">
            <v/>
          </cell>
          <cell r="Q2129" t="str">
            <v/>
          </cell>
          <cell r="R2129" t="str">
            <v/>
          </cell>
          <cell r="S2129" t="str">
            <v/>
          </cell>
          <cell r="T2129" t="str">
            <v/>
          </cell>
          <cell r="U2129" t="str">
            <v/>
          </cell>
          <cell r="V2129" t="str">
            <v>N52</v>
          </cell>
          <cell r="W2129" t="str">
            <v/>
          </cell>
          <cell r="X2129" t="str">
            <v/>
          </cell>
          <cell r="Y2129" t="str">
            <v/>
          </cell>
          <cell r="Z2129" t="str">
            <v/>
          </cell>
          <cell r="AA2129" t="str">
            <v/>
          </cell>
          <cell r="AB2129" t="str">
            <v>PA_2300413-CC.3046-3</v>
          </cell>
          <cell r="AC2129">
            <v>1</v>
          </cell>
          <cell r="AD2129" t="str">
            <v/>
          </cell>
          <cell r="AE2129">
            <v>0</v>
          </cell>
          <cell r="AF2129" t="str">
            <v/>
          </cell>
          <cell r="AG2129" t="str">
            <v>0282519</v>
          </cell>
          <cell r="AH2129">
            <v>45005.578043981484</v>
          </cell>
          <cell r="AI2129" t="str">
            <v>N52</v>
          </cell>
          <cell r="AJ2129" t="str">
            <v>F</v>
          </cell>
          <cell r="AK2129" t="str">
            <v/>
          </cell>
        </row>
        <row r="2130">
          <cell r="A2130" t="str">
            <v>12576565829540</v>
          </cell>
          <cell r="B2130" t="str">
            <v>Übergabe Task Force</v>
          </cell>
          <cell r="C2130" t="e">
            <v>#N/A</v>
          </cell>
          <cell r="D2130" t="str">
            <v>EK65</v>
          </cell>
          <cell r="E2130" t="str">
            <v>719603</v>
          </cell>
          <cell r="F2130" t="str">
            <v>E</v>
          </cell>
          <cell r="G2130" t="str">
            <v>12576565</v>
          </cell>
          <cell r="H2130" t="str">
            <v>Beilage</v>
          </cell>
          <cell r="I2130">
            <v>96</v>
          </cell>
          <cell r="J2130" t="str">
            <v>Stk</v>
          </cell>
          <cell r="K2130">
            <v>44981</v>
          </cell>
          <cell r="L2130" t="str">
            <v>829540</v>
          </cell>
          <cell r="M2130" t="str">
            <v/>
          </cell>
          <cell r="N2130" t="str">
            <v/>
          </cell>
          <cell r="O2130" t="str">
            <v/>
          </cell>
          <cell r="P2130" t="str">
            <v/>
          </cell>
          <cell r="Q2130" t="str">
            <v/>
          </cell>
          <cell r="R2130" t="str">
            <v/>
          </cell>
          <cell r="S2130" t="str">
            <v/>
          </cell>
          <cell r="T2130" t="str">
            <v/>
          </cell>
          <cell r="U2130" t="str">
            <v/>
          </cell>
          <cell r="V2130" t="str">
            <v>N52</v>
          </cell>
          <cell r="W2130" t="str">
            <v/>
          </cell>
          <cell r="X2130" t="str">
            <v/>
          </cell>
          <cell r="Y2130" t="str">
            <v/>
          </cell>
          <cell r="Z2130" t="str">
            <v/>
          </cell>
          <cell r="AA2130" t="str">
            <v/>
          </cell>
          <cell r="AB2130" t="str">
            <v>PA_4823121-ED.7004-4</v>
          </cell>
          <cell r="AC2130">
            <v>1</v>
          </cell>
          <cell r="AD2130" t="str">
            <v/>
          </cell>
          <cell r="AE2130">
            <v>0</v>
          </cell>
          <cell r="AF2130" t="str">
            <v/>
          </cell>
          <cell r="AG2130" t="str">
            <v>12576565</v>
          </cell>
          <cell r="AH2130">
            <v>45005.671018518522</v>
          </cell>
          <cell r="AI2130" t="str">
            <v>N52</v>
          </cell>
          <cell r="AJ2130" t="str">
            <v>F</v>
          </cell>
          <cell r="AK2130" t="str">
            <v/>
          </cell>
        </row>
        <row r="2131">
          <cell r="A2131" t="str">
            <v>0281936820531</v>
          </cell>
          <cell r="B2131" t="e">
            <v>#N/A</v>
          </cell>
          <cell r="C2131" t="e">
            <v>#N/A</v>
          </cell>
          <cell r="D2131" t="str">
            <v>EK65</v>
          </cell>
          <cell r="E2131" t="str">
            <v>719610</v>
          </cell>
          <cell r="F2131" t="str">
            <v>E</v>
          </cell>
          <cell r="G2131" t="str">
            <v>0281936</v>
          </cell>
          <cell r="H2131" t="str">
            <v>Strebe</v>
          </cell>
          <cell r="I2131">
            <v>4</v>
          </cell>
          <cell r="J2131" t="str">
            <v>Stk</v>
          </cell>
          <cell r="K2131">
            <v>45210</v>
          </cell>
          <cell r="L2131" t="str">
            <v>820531</v>
          </cell>
          <cell r="M2131" t="str">
            <v/>
          </cell>
          <cell r="N2131" t="str">
            <v/>
          </cell>
          <cell r="O2131" t="str">
            <v/>
          </cell>
          <cell r="P2131" t="str">
            <v/>
          </cell>
          <cell r="Q2131" t="str">
            <v/>
          </cell>
          <cell r="R2131" t="str">
            <v/>
          </cell>
          <cell r="S2131" t="str">
            <v/>
          </cell>
          <cell r="T2131" t="str">
            <v/>
          </cell>
          <cell r="U2131" t="str">
            <v/>
          </cell>
          <cell r="V2131" t="str">
            <v>N52</v>
          </cell>
          <cell r="W2131" t="str">
            <v/>
          </cell>
          <cell r="X2131" t="str">
            <v/>
          </cell>
          <cell r="Y2131" t="str">
            <v/>
          </cell>
          <cell r="Z2131" t="str">
            <v/>
          </cell>
          <cell r="AA2131" t="str">
            <v/>
          </cell>
          <cell r="AB2131" t="str">
            <v>PA_2304831-CC.3046-3</v>
          </cell>
          <cell r="AC2131">
            <v>1</v>
          </cell>
          <cell r="AD2131" t="str">
            <v/>
          </cell>
          <cell r="AE2131">
            <v>0</v>
          </cell>
          <cell r="AF2131" t="str">
            <v/>
          </cell>
          <cell r="AG2131" t="str">
            <v>0281936</v>
          </cell>
          <cell r="AH2131">
            <v>45005.699548611112</v>
          </cell>
          <cell r="AI2131" t="str">
            <v>N52</v>
          </cell>
          <cell r="AJ2131" t="str">
            <v>F</v>
          </cell>
          <cell r="AK2131" t="str">
            <v/>
          </cell>
        </row>
        <row r="2132">
          <cell r="A2132" t="str">
            <v>1239007820531</v>
          </cell>
          <cell r="B2132" t="e">
            <v>#N/A</v>
          </cell>
          <cell r="C2132" t="e">
            <v>#N/A</v>
          </cell>
          <cell r="D2132" t="str">
            <v>EK65</v>
          </cell>
          <cell r="E2132" t="str">
            <v>719612</v>
          </cell>
          <cell r="F2132" t="str">
            <v>E</v>
          </cell>
          <cell r="G2132" t="str">
            <v>1239007</v>
          </cell>
          <cell r="H2132" t="str">
            <v>Stuetze kpl.</v>
          </cell>
          <cell r="I2132">
            <v>1</v>
          </cell>
          <cell r="J2132" t="str">
            <v>Stk</v>
          </cell>
          <cell r="K2132">
            <v>45224</v>
          </cell>
          <cell r="L2132" t="str">
            <v>820531</v>
          </cell>
          <cell r="M2132" t="str">
            <v/>
          </cell>
          <cell r="N2132" t="str">
            <v/>
          </cell>
          <cell r="O2132" t="str">
            <v/>
          </cell>
          <cell r="P2132" t="str">
            <v/>
          </cell>
          <cell r="Q2132" t="str">
            <v/>
          </cell>
          <cell r="R2132" t="str">
            <v/>
          </cell>
          <cell r="S2132" t="str">
            <v/>
          </cell>
          <cell r="T2132" t="str">
            <v/>
          </cell>
          <cell r="U2132" t="str">
            <v/>
          </cell>
          <cell r="V2132" t="str">
            <v>N52</v>
          </cell>
          <cell r="W2132" t="str">
            <v/>
          </cell>
          <cell r="X2132" t="str">
            <v/>
          </cell>
          <cell r="Y2132" t="str">
            <v/>
          </cell>
          <cell r="Z2132" t="str">
            <v/>
          </cell>
          <cell r="AA2132" t="str">
            <v/>
          </cell>
          <cell r="AB2132" t="str">
            <v>PA_2316638-CF.3046-4</v>
          </cell>
          <cell r="AC2132">
            <v>1</v>
          </cell>
          <cell r="AD2132" t="str">
            <v/>
          </cell>
          <cell r="AE2132">
            <v>0</v>
          </cell>
          <cell r="AF2132" t="str">
            <v/>
          </cell>
          <cell r="AG2132" t="str">
            <v>1239007</v>
          </cell>
          <cell r="AH2132">
            <v>45005.701608796298</v>
          </cell>
          <cell r="AI2132" t="str">
            <v>N52</v>
          </cell>
          <cell r="AJ2132" t="str">
            <v>F</v>
          </cell>
          <cell r="AK2132" t="str">
            <v/>
          </cell>
        </row>
        <row r="2133">
          <cell r="A2133" t="str">
            <v>0537059820531</v>
          </cell>
          <cell r="B2133">
            <v>0</v>
          </cell>
          <cell r="C2133" t="e">
            <v>#N/A</v>
          </cell>
          <cell r="D2133" t="str">
            <v>EK65</v>
          </cell>
          <cell r="E2133" t="str">
            <v>719613</v>
          </cell>
          <cell r="F2133" t="str">
            <v>E</v>
          </cell>
          <cell r="G2133" t="str">
            <v>0537059</v>
          </cell>
          <cell r="H2133" t="str">
            <v>Halter Verkleidung</v>
          </cell>
          <cell r="I2133">
            <v>4</v>
          </cell>
          <cell r="J2133" t="str">
            <v>Stk</v>
          </cell>
          <cell r="K2133">
            <v>45188</v>
          </cell>
          <cell r="L2133" t="str">
            <v>820531</v>
          </cell>
          <cell r="M2133" t="str">
            <v/>
          </cell>
          <cell r="N2133" t="str">
            <v/>
          </cell>
          <cell r="O2133" t="str">
            <v/>
          </cell>
          <cell r="P2133" t="str">
            <v/>
          </cell>
          <cell r="Q2133" t="str">
            <v/>
          </cell>
          <cell r="R2133" t="str">
            <v/>
          </cell>
          <cell r="S2133" t="str">
            <v/>
          </cell>
          <cell r="T2133" t="str">
            <v/>
          </cell>
          <cell r="U2133" t="str">
            <v/>
          </cell>
          <cell r="V2133" t="str">
            <v>N32</v>
          </cell>
          <cell r="W2133" t="str">
            <v/>
          </cell>
          <cell r="X2133" t="str">
            <v/>
          </cell>
          <cell r="Y2133" t="str">
            <v/>
          </cell>
          <cell r="Z2133" t="str">
            <v/>
          </cell>
          <cell r="AA2133" t="str">
            <v/>
          </cell>
          <cell r="AB2133" t="str">
            <v>PA_2159429-CD.3038-4</v>
          </cell>
          <cell r="AC2133">
            <v>1</v>
          </cell>
          <cell r="AD2133" t="str">
            <v/>
          </cell>
          <cell r="AE2133">
            <v>0</v>
          </cell>
          <cell r="AF2133" t="str">
            <v/>
          </cell>
          <cell r="AG2133" t="str">
            <v>0537059</v>
          </cell>
          <cell r="AH2133">
            <v>45005.705405092594</v>
          </cell>
          <cell r="AI2133" t="str">
            <v>N32</v>
          </cell>
          <cell r="AJ2133" t="str">
            <v>F</v>
          </cell>
          <cell r="AK2133" t="str">
            <v/>
          </cell>
        </row>
        <row r="2134">
          <cell r="A2134" t="str">
            <v>1077352820531</v>
          </cell>
          <cell r="B2134">
            <v>0</v>
          </cell>
          <cell r="C2134" t="e">
            <v>#N/A</v>
          </cell>
          <cell r="D2134" t="str">
            <v>EK65</v>
          </cell>
          <cell r="E2134" t="str">
            <v>719614</v>
          </cell>
          <cell r="F2134" t="str">
            <v>E</v>
          </cell>
          <cell r="G2134" t="str">
            <v>1077352</v>
          </cell>
          <cell r="H2134" t="str">
            <v>Beilage</v>
          </cell>
          <cell r="I2134">
            <v>240</v>
          </cell>
          <cell r="J2134" t="str">
            <v>Stk</v>
          </cell>
          <cell r="K2134">
            <v>45161</v>
          </cell>
          <cell r="L2134" t="str">
            <v>820531</v>
          </cell>
          <cell r="M2134" t="str">
            <v/>
          </cell>
          <cell r="N2134" t="str">
            <v/>
          </cell>
          <cell r="O2134" t="str">
            <v/>
          </cell>
          <cell r="P2134" t="str">
            <v/>
          </cell>
          <cell r="Q2134" t="str">
            <v/>
          </cell>
          <cell r="R2134" t="str">
            <v/>
          </cell>
          <cell r="S2134" t="str">
            <v/>
          </cell>
          <cell r="T2134" t="str">
            <v/>
          </cell>
          <cell r="U2134" t="str">
            <v/>
          </cell>
          <cell r="V2134" t="str">
            <v>N52</v>
          </cell>
          <cell r="W2134" t="str">
            <v/>
          </cell>
          <cell r="X2134" t="str">
            <v/>
          </cell>
          <cell r="Y2134" t="str">
            <v/>
          </cell>
          <cell r="Z2134" t="str">
            <v/>
          </cell>
          <cell r="AA2134" t="str">
            <v/>
          </cell>
          <cell r="AB2134" t="str">
            <v>PA_2245579-UA.3044-4</v>
          </cell>
          <cell r="AC2134">
            <v>1</v>
          </cell>
          <cell r="AD2134" t="str">
            <v/>
          </cell>
          <cell r="AE2134">
            <v>0</v>
          </cell>
          <cell r="AF2134" t="str">
            <v/>
          </cell>
          <cell r="AG2134" t="str">
            <v>1077352</v>
          </cell>
          <cell r="AH2134">
            <v>45005.709108796298</v>
          </cell>
          <cell r="AI2134" t="str">
            <v>N52</v>
          </cell>
          <cell r="AJ2134" t="str">
            <v>F</v>
          </cell>
          <cell r="AK2134" t="str">
            <v/>
          </cell>
        </row>
        <row r="2135">
          <cell r="A2135" t="str">
            <v>1243997820531</v>
          </cell>
          <cell r="B2135">
            <v>0</v>
          </cell>
          <cell r="C2135" t="e">
            <v>#N/A</v>
          </cell>
          <cell r="D2135" t="str">
            <v>EK65</v>
          </cell>
          <cell r="E2135" t="str">
            <v>719615</v>
          </cell>
          <cell r="F2135" t="str">
            <v>E</v>
          </cell>
          <cell r="G2135" t="str">
            <v>1243997</v>
          </cell>
          <cell r="H2135" t="str">
            <v>Halter</v>
          </cell>
          <cell r="I2135">
            <v>2</v>
          </cell>
          <cell r="J2135" t="str">
            <v>Stk</v>
          </cell>
          <cell r="K2135">
            <v>45208</v>
          </cell>
          <cell r="L2135" t="str">
            <v>820531</v>
          </cell>
          <cell r="M2135" t="str">
            <v/>
          </cell>
          <cell r="N2135" t="str">
            <v/>
          </cell>
          <cell r="O2135" t="str">
            <v/>
          </cell>
          <cell r="P2135" t="str">
            <v/>
          </cell>
          <cell r="Q2135" t="str">
            <v/>
          </cell>
          <cell r="R2135" t="str">
            <v/>
          </cell>
          <cell r="S2135" t="str">
            <v/>
          </cell>
          <cell r="T2135" t="str">
            <v/>
          </cell>
          <cell r="U2135" t="str">
            <v/>
          </cell>
          <cell r="V2135" t="str">
            <v>N52</v>
          </cell>
          <cell r="W2135" t="str">
            <v/>
          </cell>
          <cell r="X2135" t="str">
            <v/>
          </cell>
          <cell r="Y2135" t="str">
            <v/>
          </cell>
          <cell r="Z2135" t="str">
            <v/>
          </cell>
          <cell r="AA2135" t="str">
            <v/>
          </cell>
          <cell r="AB2135" t="str">
            <v>PA_2330528-UA.3046-3</v>
          </cell>
          <cell r="AC2135">
            <v>1</v>
          </cell>
          <cell r="AD2135" t="str">
            <v/>
          </cell>
          <cell r="AE2135">
            <v>0</v>
          </cell>
          <cell r="AF2135" t="str">
            <v/>
          </cell>
          <cell r="AG2135" t="str">
            <v>1243997</v>
          </cell>
          <cell r="AH2135">
            <v>45005.713888888888</v>
          </cell>
          <cell r="AI2135" t="str">
            <v>N52</v>
          </cell>
          <cell r="AJ2135" t="str">
            <v>F</v>
          </cell>
          <cell r="AK2135" t="str">
            <v/>
          </cell>
        </row>
        <row r="2136">
          <cell r="A2136" t="str">
            <v>0042204</v>
          </cell>
          <cell r="B2136" t="e">
            <v>#N/A</v>
          </cell>
          <cell r="C2136" t="e">
            <v>#N/A</v>
          </cell>
          <cell r="D2136" t="str">
            <v>EK65</v>
          </cell>
          <cell r="E2136" t="str">
            <v>719855</v>
          </cell>
          <cell r="F2136" t="str">
            <v>B</v>
          </cell>
          <cell r="G2136" t="str">
            <v>0042204</v>
          </cell>
          <cell r="H2136" t="str">
            <v>Halter w.g.</v>
          </cell>
          <cell r="I2136">
            <v>413</v>
          </cell>
          <cell r="J2136" t="str">
            <v>Stk</v>
          </cell>
          <cell r="K2136">
            <v>45035</v>
          </cell>
          <cell r="L2136" t="str">
            <v/>
          </cell>
          <cell r="M2136" t="str">
            <v/>
          </cell>
          <cell r="N2136" t="str">
            <v/>
          </cell>
          <cell r="O2136" t="str">
            <v/>
          </cell>
          <cell r="P2136" t="str">
            <v/>
          </cell>
          <cell r="Q2136" t="str">
            <v/>
          </cell>
          <cell r="R2136" t="str">
            <v/>
          </cell>
          <cell r="S2136" t="str">
            <v/>
          </cell>
          <cell r="T2136" t="str">
            <v/>
          </cell>
          <cell r="U2136" t="str">
            <v/>
          </cell>
          <cell r="V2136" t="str">
            <v>N52</v>
          </cell>
          <cell r="W2136" t="str">
            <v/>
          </cell>
          <cell r="X2136" t="str">
            <v/>
          </cell>
          <cell r="Y2136" t="str">
            <v/>
          </cell>
          <cell r="Z2136" t="str">
            <v/>
          </cell>
          <cell r="AA2136" t="str">
            <v/>
          </cell>
          <cell r="AB2136" t="str">
            <v>PA_2144052-CF.7500-3P.1</v>
          </cell>
          <cell r="AC2136">
            <v>1</v>
          </cell>
          <cell r="AD2136" t="str">
            <v/>
          </cell>
          <cell r="AE2136">
            <v>0</v>
          </cell>
          <cell r="AF2136" t="str">
            <v/>
          </cell>
          <cell r="AG2136" t="str">
            <v>0042204</v>
          </cell>
          <cell r="AH2136">
            <v>45005.861840277779</v>
          </cell>
          <cell r="AI2136" t="str">
            <v>N52</v>
          </cell>
          <cell r="AJ2136" t="str">
            <v>F</v>
          </cell>
          <cell r="AK2136" t="str">
            <v>B</v>
          </cell>
        </row>
        <row r="2137">
          <cell r="A2137" t="str">
            <v>0042204860001</v>
          </cell>
          <cell r="B2137" t="e">
            <v>#N/A</v>
          </cell>
          <cell r="C2137" t="e">
            <v>#N/A</v>
          </cell>
          <cell r="D2137" t="str">
            <v>EK65</v>
          </cell>
          <cell r="E2137" t="str">
            <v>719856</v>
          </cell>
          <cell r="F2137" t="str">
            <v>B</v>
          </cell>
          <cell r="G2137" t="str">
            <v>0042204</v>
          </cell>
          <cell r="H2137" t="str">
            <v>Halter w.g.</v>
          </cell>
          <cell r="I2137">
            <v>466</v>
          </cell>
          <cell r="J2137" t="str">
            <v>Stk</v>
          </cell>
          <cell r="K2137">
            <v>45035</v>
          </cell>
          <cell r="L2137" t="str">
            <v>860001</v>
          </cell>
          <cell r="M2137" t="str">
            <v/>
          </cell>
          <cell r="N2137" t="str">
            <v/>
          </cell>
          <cell r="O2137" t="str">
            <v/>
          </cell>
          <cell r="P2137" t="str">
            <v/>
          </cell>
          <cell r="Q2137" t="str">
            <v/>
          </cell>
          <cell r="R2137" t="str">
            <v/>
          </cell>
          <cell r="S2137" t="str">
            <v/>
          </cell>
          <cell r="T2137" t="str">
            <v/>
          </cell>
          <cell r="U2137" t="str">
            <v/>
          </cell>
          <cell r="V2137" t="str">
            <v>N52</v>
          </cell>
          <cell r="W2137" t="str">
            <v/>
          </cell>
          <cell r="X2137" t="str">
            <v/>
          </cell>
          <cell r="Y2137" t="str">
            <v/>
          </cell>
          <cell r="Z2137" t="str">
            <v/>
          </cell>
          <cell r="AA2137" t="str">
            <v/>
          </cell>
          <cell r="AB2137" t="str">
            <v>PA_2144052-CF.7500-3P.1</v>
          </cell>
          <cell r="AC2137">
            <v>1</v>
          </cell>
          <cell r="AD2137" t="str">
            <v/>
          </cell>
          <cell r="AE2137">
            <v>0</v>
          </cell>
          <cell r="AF2137" t="str">
            <v/>
          </cell>
          <cell r="AG2137" t="str">
            <v>0042204</v>
          </cell>
          <cell r="AH2137">
            <v>45005.861840277779</v>
          </cell>
          <cell r="AI2137" t="str">
            <v>N52</v>
          </cell>
          <cell r="AJ2137" t="str">
            <v>F</v>
          </cell>
          <cell r="AK2137" t="str">
            <v>B</v>
          </cell>
        </row>
        <row r="2138">
          <cell r="A2138" t="str">
            <v>0042215</v>
          </cell>
          <cell r="B2138" t="e">
            <v>#N/A</v>
          </cell>
          <cell r="C2138" t="e">
            <v>#N/A</v>
          </cell>
          <cell r="D2138" t="str">
            <v>EK65</v>
          </cell>
          <cell r="E2138" t="str">
            <v>719857</v>
          </cell>
          <cell r="F2138" t="str">
            <v>B</v>
          </cell>
          <cell r="G2138" t="str">
            <v>0042215</v>
          </cell>
          <cell r="H2138" t="str">
            <v>Halter sp.g.</v>
          </cell>
          <cell r="I2138">
            <v>466</v>
          </cell>
          <cell r="J2138" t="str">
            <v>Stk</v>
          </cell>
          <cell r="K2138">
            <v>45035</v>
          </cell>
          <cell r="L2138" t="str">
            <v/>
          </cell>
          <cell r="M2138" t="str">
            <v/>
          </cell>
          <cell r="N2138" t="str">
            <v/>
          </cell>
          <cell r="O2138" t="str">
            <v/>
          </cell>
          <cell r="P2138" t="str">
            <v/>
          </cell>
          <cell r="Q2138" t="str">
            <v/>
          </cell>
          <cell r="R2138" t="str">
            <v/>
          </cell>
          <cell r="S2138" t="str">
            <v/>
          </cell>
          <cell r="T2138" t="str">
            <v/>
          </cell>
          <cell r="U2138" t="str">
            <v/>
          </cell>
          <cell r="V2138" t="str">
            <v>N52</v>
          </cell>
          <cell r="W2138" t="str">
            <v/>
          </cell>
          <cell r="X2138" t="str">
            <v/>
          </cell>
          <cell r="Y2138" t="str">
            <v/>
          </cell>
          <cell r="Z2138" t="str">
            <v/>
          </cell>
          <cell r="AA2138" t="str">
            <v/>
          </cell>
          <cell r="AB2138" t="str">
            <v>PA_2144052-CF.7500-3P.2</v>
          </cell>
          <cell r="AC2138">
            <v>1</v>
          </cell>
          <cell r="AD2138" t="str">
            <v/>
          </cell>
          <cell r="AE2138">
            <v>0</v>
          </cell>
          <cell r="AF2138" t="str">
            <v/>
          </cell>
          <cell r="AG2138" t="str">
            <v>0042215</v>
          </cell>
          <cell r="AH2138">
            <v>45005.861840277779</v>
          </cell>
          <cell r="AI2138" t="str">
            <v>N52</v>
          </cell>
          <cell r="AJ2138" t="str">
            <v>F</v>
          </cell>
          <cell r="AK2138" t="str">
            <v>B</v>
          </cell>
        </row>
        <row r="2139">
          <cell r="A2139" t="str">
            <v>12589403820541</v>
          </cell>
          <cell r="B2139" t="e">
            <v>#N/A</v>
          </cell>
          <cell r="C2139" t="e">
            <v>#N/A</v>
          </cell>
          <cell r="D2139" t="str">
            <v>EK65</v>
          </cell>
          <cell r="E2139" t="str">
            <v>719888</v>
          </cell>
          <cell r="F2139" t="str">
            <v>E</v>
          </cell>
          <cell r="G2139" t="str">
            <v>12589403</v>
          </cell>
          <cell r="H2139" t="str">
            <v>C-Schiene 4382IN L=100</v>
          </cell>
          <cell r="I2139">
            <v>25</v>
          </cell>
          <cell r="J2139" t="str">
            <v>Stk</v>
          </cell>
          <cell r="K2139">
            <v>45166</v>
          </cell>
          <cell r="L2139" t="str">
            <v>820541</v>
          </cell>
          <cell r="M2139" t="str">
            <v/>
          </cell>
          <cell r="N2139" t="str">
            <v/>
          </cell>
          <cell r="O2139" t="str">
            <v/>
          </cell>
          <cell r="P2139" t="str">
            <v/>
          </cell>
          <cell r="Q2139" t="str">
            <v/>
          </cell>
          <cell r="R2139" t="str">
            <v/>
          </cell>
          <cell r="S2139" t="str">
            <v/>
          </cell>
          <cell r="T2139" t="str">
            <v/>
          </cell>
          <cell r="U2139" t="str">
            <v/>
          </cell>
          <cell r="V2139" t="str">
            <v>N52</v>
          </cell>
          <cell r="W2139" t="str">
            <v/>
          </cell>
          <cell r="X2139" t="str">
            <v/>
          </cell>
          <cell r="Y2139" t="str">
            <v/>
          </cell>
          <cell r="Z2139" t="str">
            <v/>
          </cell>
          <cell r="AA2139" t="str">
            <v/>
          </cell>
          <cell r="AB2139" t="str">
            <v>PA_2321205-BG.3048-4</v>
          </cell>
          <cell r="AC2139">
            <v>1</v>
          </cell>
          <cell r="AD2139" t="str">
            <v/>
          </cell>
          <cell r="AE2139">
            <v>0</v>
          </cell>
          <cell r="AF2139" t="str">
            <v/>
          </cell>
          <cell r="AG2139" t="str">
            <v>12589403</v>
          </cell>
          <cell r="AH2139">
            <v>45005.874872685185</v>
          </cell>
          <cell r="AI2139" t="str">
            <v>N52</v>
          </cell>
          <cell r="AJ2139" t="str">
            <v>F</v>
          </cell>
          <cell r="AK2139" t="str">
            <v/>
          </cell>
        </row>
        <row r="2140">
          <cell r="A2140" t="str">
            <v>12649130820541</v>
          </cell>
          <cell r="B2140" t="e">
            <v>#N/A</v>
          </cell>
          <cell r="C2140" t="e">
            <v>#N/A</v>
          </cell>
          <cell r="D2140" t="str">
            <v>EK65</v>
          </cell>
          <cell r="E2140" t="str">
            <v>719890</v>
          </cell>
          <cell r="F2140" t="str">
            <v>E</v>
          </cell>
          <cell r="G2140" t="str">
            <v>12649130</v>
          </cell>
          <cell r="H2140" t="str">
            <v>Niethalter kpl.</v>
          </cell>
          <cell r="I2140">
            <v>20</v>
          </cell>
          <cell r="J2140" t="str">
            <v>Stk</v>
          </cell>
          <cell r="K2140">
            <v>45166</v>
          </cell>
          <cell r="L2140" t="str">
            <v>820541</v>
          </cell>
          <cell r="M2140" t="str">
            <v/>
          </cell>
          <cell r="N2140" t="str">
            <v/>
          </cell>
          <cell r="O2140" t="str">
            <v/>
          </cell>
          <cell r="P2140" t="str">
            <v/>
          </cell>
          <cell r="Q2140" t="str">
            <v/>
          </cell>
          <cell r="R2140" t="str">
            <v/>
          </cell>
          <cell r="S2140" t="str">
            <v/>
          </cell>
          <cell r="T2140" t="str">
            <v/>
          </cell>
          <cell r="U2140" t="str">
            <v/>
          </cell>
          <cell r="V2140" t="str">
            <v>N38</v>
          </cell>
          <cell r="W2140" t="str">
            <v/>
          </cell>
          <cell r="X2140" t="str">
            <v/>
          </cell>
          <cell r="Y2140" t="str">
            <v/>
          </cell>
          <cell r="Z2140" t="str">
            <v/>
          </cell>
          <cell r="AA2140" t="str">
            <v/>
          </cell>
          <cell r="AB2140" t="str">
            <v>PA_5042182-CD.3048-4</v>
          </cell>
          <cell r="AC2140">
            <v>1</v>
          </cell>
          <cell r="AD2140" t="str">
            <v/>
          </cell>
          <cell r="AE2140">
            <v>0</v>
          </cell>
          <cell r="AF2140" t="str">
            <v/>
          </cell>
          <cell r="AG2140" t="str">
            <v>12649130</v>
          </cell>
          <cell r="AH2140">
            <v>45005.875138888892</v>
          </cell>
          <cell r="AI2140" t="str">
            <v>N38</v>
          </cell>
          <cell r="AJ2140" t="str">
            <v>F</v>
          </cell>
          <cell r="AK2140" t="str">
            <v/>
          </cell>
        </row>
        <row r="2141">
          <cell r="A2141" t="str">
            <v>12649131820541</v>
          </cell>
          <cell r="B2141" t="e">
            <v>#N/A</v>
          </cell>
          <cell r="C2141" t="e">
            <v>#N/A</v>
          </cell>
          <cell r="D2141" t="str">
            <v>EK65</v>
          </cell>
          <cell r="E2141" t="str">
            <v>719891</v>
          </cell>
          <cell r="F2141" t="str">
            <v>E</v>
          </cell>
          <cell r="G2141" t="str">
            <v>12649131</v>
          </cell>
          <cell r="H2141" t="str">
            <v>Niethalter unten kpl.</v>
          </cell>
          <cell r="I2141">
            <v>20</v>
          </cell>
          <cell r="J2141" t="str">
            <v>Stk</v>
          </cell>
          <cell r="K2141">
            <v>45166</v>
          </cell>
          <cell r="L2141" t="str">
            <v>820541</v>
          </cell>
          <cell r="M2141" t="str">
            <v/>
          </cell>
          <cell r="N2141" t="str">
            <v/>
          </cell>
          <cell r="O2141" t="str">
            <v/>
          </cell>
          <cell r="P2141" t="str">
            <v/>
          </cell>
          <cell r="Q2141" t="str">
            <v/>
          </cell>
          <cell r="R2141" t="str">
            <v/>
          </cell>
          <cell r="S2141" t="str">
            <v/>
          </cell>
          <cell r="T2141" t="str">
            <v/>
          </cell>
          <cell r="U2141" t="str">
            <v/>
          </cell>
          <cell r="V2141" t="str">
            <v>N38</v>
          </cell>
          <cell r="W2141" t="str">
            <v/>
          </cell>
          <cell r="X2141" t="str">
            <v/>
          </cell>
          <cell r="Y2141" t="str">
            <v/>
          </cell>
          <cell r="Z2141" t="str">
            <v/>
          </cell>
          <cell r="AA2141" t="str">
            <v/>
          </cell>
          <cell r="AB2141" t="str">
            <v>PA_5042629-CD.3048-4</v>
          </cell>
          <cell r="AC2141">
            <v>1</v>
          </cell>
          <cell r="AD2141" t="str">
            <v/>
          </cell>
          <cell r="AE2141">
            <v>0</v>
          </cell>
          <cell r="AF2141" t="str">
            <v/>
          </cell>
          <cell r="AG2141" t="str">
            <v>12649131</v>
          </cell>
          <cell r="AH2141">
            <v>45005.875138888892</v>
          </cell>
          <cell r="AI2141" t="str">
            <v>N38</v>
          </cell>
          <cell r="AJ2141" t="str">
            <v>F</v>
          </cell>
          <cell r="AK2141" t="str">
            <v/>
          </cell>
        </row>
        <row r="2142">
          <cell r="A2142" t="str">
            <v>12665471820541</v>
          </cell>
          <cell r="B2142" t="e">
            <v>#N/A</v>
          </cell>
          <cell r="C2142" t="e">
            <v>#N/A</v>
          </cell>
          <cell r="D2142" t="str">
            <v>EK65</v>
          </cell>
          <cell r="E2142" t="str">
            <v>719896</v>
          </cell>
          <cell r="F2142" t="str">
            <v>E</v>
          </cell>
          <cell r="G2142" t="str">
            <v>12665471</v>
          </cell>
          <cell r="H2142" t="str">
            <v>C-Schiene 20x40 L=150</v>
          </cell>
          <cell r="I2142">
            <v>60</v>
          </cell>
          <cell r="J2142" t="str">
            <v>Stk</v>
          </cell>
          <cell r="K2142">
            <v>45166</v>
          </cell>
          <cell r="L2142" t="str">
            <v>820541</v>
          </cell>
          <cell r="M2142" t="str">
            <v/>
          </cell>
          <cell r="N2142" t="str">
            <v/>
          </cell>
          <cell r="O2142" t="str">
            <v/>
          </cell>
          <cell r="P2142" t="str">
            <v>ALCAN</v>
          </cell>
          <cell r="Q2142" t="str">
            <v/>
          </cell>
          <cell r="R2142" t="str">
            <v/>
          </cell>
          <cell r="S2142" t="str">
            <v/>
          </cell>
          <cell r="T2142" t="str">
            <v/>
          </cell>
          <cell r="U2142" t="str">
            <v/>
          </cell>
          <cell r="V2142" t="str">
            <v>N52</v>
          </cell>
          <cell r="W2142" t="str">
            <v/>
          </cell>
          <cell r="X2142" t="str">
            <v/>
          </cell>
          <cell r="Y2142" t="str">
            <v/>
          </cell>
          <cell r="Z2142" t="str">
            <v/>
          </cell>
          <cell r="AA2142" t="str">
            <v/>
          </cell>
          <cell r="AB2142" t="str">
            <v>PA_2320202-BG.3048-4</v>
          </cell>
          <cell r="AC2142">
            <v>1</v>
          </cell>
          <cell r="AD2142" t="str">
            <v/>
          </cell>
          <cell r="AE2142">
            <v>0</v>
          </cell>
          <cell r="AF2142" t="str">
            <v/>
          </cell>
          <cell r="AG2142" t="str">
            <v>12665471</v>
          </cell>
          <cell r="AH2142">
            <v>45005.875219907408</v>
          </cell>
          <cell r="AI2142" t="str">
            <v>N52</v>
          </cell>
          <cell r="AJ2142" t="str">
            <v>F</v>
          </cell>
          <cell r="AK2142" t="str">
            <v/>
          </cell>
        </row>
        <row r="2143">
          <cell r="A2143" t="str">
            <v>1402109820531</v>
          </cell>
          <cell r="B2143" t="e">
            <v>#N/A</v>
          </cell>
          <cell r="C2143" t="e">
            <v>#N/A</v>
          </cell>
          <cell r="D2143" t="str">
            <v>EK65</v>
          </cell>
          <cell r="E2143" t="str">
            <v>719897</v>
          </cell>
          <cell r="F2143" t="str">
            <v>E</v>
          </cell>
          <cell r="G2143" t="str">
            <v>1402109</v>
          </cell>
          <cell r="H2143" t="str">
            <v>Verschlussblech</v>
          </cell>
          <cell r="I2143">
            <v>1</v>
          </cell>
          <cell r="J2143" t="str">
            <v>Stk</v>
          </cell>
          <cell r="K2143">
            <v>45210</v>
          </cell>
          <cell r="L2143" t="str">
            <v>820531</v>
          </cell>
          <cell r="M2143" t="str">
            <v/>
          </cell>
          <cell r="N2143" t="str">
            <v/>
          </cell>
          <cell r="O2143" t="str">
            <v/>
          </cell>
          <cell r="P2143" t="str">
            <v/>
          </cell>
          <cell r="Q2143" t="str">
            <v/>
          </cell>
          <cell r="R2143" t="str">
            <v/>
          </cell>
          <cell r="S2143" t="str">
            <v/>
          </cell>
          <cell r="T2143" t="str">
            <v/>
          </cell>
          <cell r="U2143" t="str">
            <v/>
          </cell>
          <cell r="V2143" t="str">
            <v>N38</v>
          </cell>
          <cell r="W2143" t="str">
            <v/>
          </cell>
          <cell r="X2143" t="str">
            <v/>
          </cell>
          <cell r="Y2143" t="str">
            <v/>
          </cell>
          <cell r="Z2143" t="str">
            <v/>
          </cell>
          <cell r="AA2143" t="str">
            <v/>
          </cell>
          <cell r="AB2143" t="str">
            <v>PA_2327629-HE.3046-3</v>
          </cell>
          <cell r="AC2143">
            <v>1</v>
          </cell>
          <cell r="AD2143" t="str">
            <v/>
          </cell>
          <cell r="AE2143">
            <v>0</v>
          </cell>
          <cell r="AF2143" t="str">
            <v/>
          </cell>
          <cell r="AG2143" t="str">
            <v>1402109</v>
          </cell>
          <cell r="AH2143">
            <v>45005.876759259256</v>
          </cell>
          <cell r="AI2143" t="str">
            <v>N38</v>
          </cell>
          <cell r="AJ2143" t="str">
            <v>F</v>
          </cell>
          <cell r="AK2143" t="str">
            <v>B</v>
          </cell>
        </row>
        <row r="2144">
          <cell r="A2144" t="str">
            <v>5681053820531</v>
          </cell>
          <cell r="B2144" t="str">
            <v>Übergabe Task Force</v>
          </cell>
          <cell r="C2144" t="e">
            <v>#N/A</v>
          </cell>
          <cell r="D2144" t="str">
            <v>EK65</v>
          </cell>
          <cell r="E2144" t="str">
            <v>720416</v>
          </cell>
          <cell r="F2144" t="str">
            <v>E</v>
          </cell>
          <cell r="G2144" t="str">
            <v>5681053</v>
          </cell>
          <cell r="H2144" t="str">
            <v>KLEMMBUCHSE ID 8,8AD25 H35</v>
          </cell>
          <cell r="I2144">
            <v>12</v>
          </cell>
          <cell r="J2144" t="str">
            <v>Stk</v>
          </cell>
          <cell r="K2144">
            <v>45210</v>
          </cell>
          <cell r="L2144" t="str">
            <v>820531</v>
          </cell>
          <cell r="M2144" t="str">
            <v/>
          </cell>
          <cell r="N2144" t="str">
            <v/>
          </cell>
          <cell r="O2144" t="str">
            <v/>
          </cell>
          <cell r="P2144" t="str">
            <v/>
          </cell>
          <cell r="Q2144" t="str">
            <v/>
          </cell>
          <cell r="R2144" t="str">
            <v/>
          </cell>
          <cell r="S2144" t="str">
            <v/>
          </cell>
          <cell r="T2144" t="str">
            <v/>
          </cell>
          <cell r="U2144" t="str">
            <v/>
          </cell>
          <cell r="V2144" t="str">
            <v>N32</v>
          </cell>
          <cell r="W2144" t="str">
            <v/>
          </cell>
          <cell r="X2144" t="str">
            <v/>
          </cell>
          <cell r="Y2144" t="str">
            <v/>
          </cell>
          <cell r="Z2144" t="str">
            <v/>
          </cell>
          <cell r="AA2144" t="str">
            <v/>
          </cell>
          <cell r="AB2144" t="str">
            <v>PA_1385029-CF.3021-4</v>
          </cell>
          <cell r="AC2144">
            <v>1</v>
          </cell>
          <cell r="AD2144" t="str">
            <v/>
          </cell>
          <cell r="AE2144">
            <v>0</v>
          </cell>
          <cell r="AF2144" t="str">
            <v/>
          </cell>
          <cell r="AG2144" t="str">
            <v>5681053</v>
          </cell>
          <cell r="AH2144">
            <v>45005.919768518521</v>
          </cell>
          <cell r="AI2144" t="str">
            <v>N32</v>
          </cell>
          <cell r="AJ2144" t="str">
            <v>F</v>
          </cell>
          <cell r="AK2144" t="str">
            <v/>
          </cell>
        </row>
        <row r="2145">
          <cell r="A2145" t="str">
            <v>1239336820541</v>
          </cell>
          <cell r="B2145" t="e">
            <v>#N/A</v>
          </cell>
          <cell r="C2145" t="e">
            <v>#N/A</v>
          </cell>
          <cell r="D2145" t="str">
            <v>EK65</v>
          </cell>
          <cell r="E2145" t="str">
            <v>720425</v>
          </cell>
          <cell r="F2145" t="str">
            <v>E</v>
          </cell>
          <cell r="G2145" t="str">
            <v>1239336</v>
          </cell>
          <cell r="H2145" t="str">
            <v>Halter vollst.</v>
          </cell>
          <cell r="I2145">
            <v>25</v>
          </cell>
          <cell r="J2145" t="str">
            <v>Stk</v>
          </cell>
          <cell r="K2145">
            <v>45166</v>
          </cell>
          <cell r="L2145" t="str">
            <v>820541</v>
          </cell>
          <cell r="M2145" t="str">
            <v/>
          </cell>
          <cell r="N2145" t="str">
            <v/>
          </cell>
          <cell r="O2145" t="str">
            <v/>
          </cell>
          <cell r="P2145" t="str">
            <v/>
          </cell>
          <cell r="Q2145" t="str">
            <v/>
          </cell>
          <cell r="R2145" t="str">
            <v/>
          </cell>
          <cell r="S2145" t="str">
            <v/>
          </cell>
          <cell r="T2145" t="str">
            <v/>
          </cell>
          <cell r="U2145" t="str">
            <v/>
          </cell>
          <cell r="V2145" t="str">
            <v>N52</v>
          </cell>
          <cell r="W2145" t="str">
            <v/>
          </cell>
          <cell r="X2145" t="str">
            <v/>
          </cell>
          <cell r="Y2145" t="str">
            <v/>
          </cell>
          <cell r="Z2145" t="str">
            <v/>
          </cell>
          <cell r="AA2145" t="str">
            <v/>
          </cell>
          <cell r="AB2145" t="str">
            <v>BU_4124533-CD.3046-3</v>
          </cell>
          <cell r="AC2145">
            <v>1</v>
          </cell>
          <cell r="AD2145" t="str">
            <v/>
          </cell>
          <cell r="AE2145">
            <v>0</v>
          </cell>
          <cell r="AF2145" t="str">
            <v/>
          </cell>
          <cell r="AG2145" t="str">
            <v>1239336</v>
          </cell>
          <cell r="AH2145">
            <v>45005.925902777781</v>
          </cell>
          <cell r="AI2145" t="str">
            <v>N52</v>
          </cell>
          <cell r="AJ2145" t="str">
            <v>F</v>
          </cell>
          <cell r="AK2145" t="str">
            <v/>
          </cell>
        </row>
        <row r="2146">
          <cell r="A2146" t="str">
            <v>0415253</v>
          </cell>
          <cell r="B2146" t="e">
            <v>#N/A</v>
          </cell>
          <cell r="C2146" t="e">
            <v>#N/A</v>
          </cell>
          <cell r="D2146" t="str">
            <v>EK65</v>
          </cell>
          <cell r="E2146" t="str">
            <v>720516</v>
          </cell>
          <cell r="F2146" t="str">
            <v>B</v>
          </cell>
          <cell r="G2146" t="str">
            <v>0415253</v>
          </cell>
          <cell r="H2146" t="str">
            <v>Beilage 2mm</v>
          </cell>
          <cell r="I2146">
            <v>38</v>
          </cell>
          <cell r="J2146" t="str">
            <v>Stk</v>
          </cell>
          <cell r="K2146">
            <v>45008</v>
          </cell>
          <cell r="L2146" t="str">
            <v/>
          </cell>
          <cell r="M2146" t="str">
            <v/>
          </cell>
          <cell r="N2146" t="str">
            <v/>
          </cell>
          <cell r="O2146" t="str">
            <v/>
          </cell>
          <cell r="P2146" t="str">
            <v/>
          </cell>
          <cell r="Q2146" t="str">
            <v/>
          </cell>
          <cell r="R2146" t="str">
            <v/>
          </cell>
          <cell r="S2146" t="str">
            <v/>
          </cell>
          <cell r="T2146" t="str">
            <v/>
          </cell>
          <cell r="U2146" t="str">
            <v/>
          </cell>
          <cell r="V2146" t="str">
            <v>N52</v>
          </cell>
          <cell r="W2146" t="str">
            <v/>
          </cell>
          <cell r="X2146" t="str">
            <v/>
          </cell>
          <cell r="Y2146" t="str">
            <v/>
          </cell>
          <cell r="Z2146" t="str">
            <v/>
          </cell>
          <cell r="AA2146" t="str">
            <v/>
          </cell>
          <cell r="AB2146" t="str">
            <v>PA_2153420-PB.7500-4</v>
          </cell>
          <cell r="AC2146">
            <v>4</v>
          </cell>
          <cell r="AD2146" t="str">
            <v/>
          </cell>
          <cell r="AE2146">
            <v>0</v>
          </cell>
          <cell r="AF2146" t="str">
            <v/>
          </cell>
          <cell r="AG2146" t="str">
            <v>0415253</v>
          </cell>
          <cell r="AH2146">
            <v>45006.833969907406</v>
          </cell>
          <cell r="AI2146" t="str">
            <v>N52</v>
          </cell>
          <cell r="AJ2146" t="str">
            <v>F</v>
          </cell>
          <cell r="AK2146" t="str">
            <v/>
          </cell>
        </row>
        <row r="2147">
          <cell r="A2147" t="str">
            <v>0711315</v>
          </cell>
          <cell r="B2147" t="e">
            <v>#N/A</v>
          </cell>
          <cell r="C2147" t="e">
            <v>#N/A</v>
          </cell>
          <cell r="D2147" t="str">
            <v>EK65</v>
          </cell>
          <cell r="E2147" t="str">
            <v>720518</v>
          </cell>
          <cell r="F2147" t="str">
            <v>B</v>
          </cell>
          <cell r="G2147" t="str">
            <v>0711315</v>
          </cell>
          <cell r="H2147" t="str">
            <v>Distanzblech 2mm</v>
          </cell>
          <cell r="I2147">
            <v>20</v>
          </cell>
          <cell r="J2147" t="str">
            <v>Stk</v>
          </cell>
          <cell r="K2147">
            <v>45008</v>
          </cell>
          <cell r="L2147" t="str">
            <v/>
          </cell>
          <cell r="M2147" t="str">
            <v/>
          </cell>
          <cell r="N2147" t="str">
            <v/>
          </cell>
          <cell r="O2147" t="str">
            <v/>
          </cell>
          <cell r="P2147" t="str">
            <v/>
          </cell>
          <cell r="Q2147" t="str">
            <v/>
          </cell>
          <cell r="R2147" t="str">
            <v/>
          </cell>
          <cell r="S2147" t="str">
            <v/>
          </cell>
          <cell r="T2147" t="str">
            <v/>
          </cell>
          <cell r="U2147" t="str">
            <v/>
          </cell>
          <cell r="V2147" t="str">
            <v>N52</v>
          </cell>
          <cell r="W2147" t="str">
            <v/>
          </cell>
          <cell r="X2147" t="str">
            <v/>
          </cell>
          <cell r="Y2147" t="str">
            <v/>
          </cell>
          <cell r="Z2147" t="str">
            <v/>
          </cell>
          <cell r="AA2147" t="str">
            <v/>
          </cell>
          <cell r="AB2147" t="str">
            <v>PA_2163950-CC.7500-4</v>
          </cell>
          <cell r="AC2147">
            <v>4</v>
          </cell>
          <cell r="AD2147" t="str">
            <v/>
          </cell>
          <cell r="AE2147">
            <v>0</v>
          </cell>
          <cell r="AF2147" t="str">
            <v/>
          </cell>
          <cell r="AG2147" t="str">
            <v>0711315</v>
          </cell>
          <cell r="AH2147">
            <v>45006.834502314814</v>
          </cell>
          <cell r="AI2147" t="str">
            <v>N52</v>
          </cell>
          <cell r="AJ2147" t="str">
            <v>F</v>
          </cell>
          <cell r="AK2147" t="str">
            <v/>
          </cell>
        </row>
        <row r="2148">
          <cell r="A2148" t="str">
            <v>1239507820541</v>
          </cell>
          <cell r="B2148" t="e">
            <v>#N/A</v>
          </cell>
          <cell r="C2148" t="e">
            <v>#N/A</v>
          </cell>
          <cell r="D2148" t="str">
            <v>EK65</v>
          </cell>
          <cell r="E2148" t="str">
            <v>720619</v>
          </cell>
          <cell r="F2148" t="str">
            <v>E</v>
          </cell>
          <cell r="G2148" t="str">
            <v>1239507</v>
          </cell>
          <cell r="H2148" t="str">
            <v>Halter</v>
          </cell>
          <cell r="I2148">
            <v>10</v>
          </cell>
          <cell r="J2148" t="str">
            <v>Stk</v>
          </cell>
          <cell r="K2148">
            <v>45167</v>
          </cell>
          <cell r="L2148" t="str">
            <v>820541</v>
          </cell>
          <cell r="M2148" t="str">
            <v/>
          </cell>
          <cell r="N2148" t="str">
            <v/>
          </cell>
          <cell r="O2148" t="str">
            <v/>
          </cell>
          <cell r="P2148" t="str">
            <v/>
          </cell>
          <cell r="Q2148" t="str">
            <v/>
          </cell>
          <cell r="R2148" t="str">
            <v/>
          </cell>
          <cell r="S2148" t="str">
            <v/>
          </cell>
          <cell r="T2148" t="str">
            <v/>
          </cell>
          <cell r="U2148" t="str">
            <v/>
          </cell>
          <cell r="V2148" t="str">
            <v>N52</v>
          </cell>
          <cell r="W2148" t="str">
            <v/>
          </cell>
          <cell r="X2148" t="str">
            <v/>
          </cell>
          <cell r="Y2148" t="str">
            <v/>
          </cell>
          <cell r="Z2148" t="str">
            <v/>
          </cell>
          <cell r="AA2148" t="str">
            <v/>
          </cell>
          <cell r="AB2148" t="str">
            <v>PA_2315993-CA.3046-3</v>
          </cell>
          <cell r="AC2148">
            <v>1</v>
          </cell>
          <cell r="AD2148" t="str">
            <v/>
          </cell>
          <cell r="AE2148">
            <v>0</v>
          </cell>
          <cell r="AF2148" t="str">
            <v/>
          </cell>
          <cell r="AG2148" t="str">
            <v>1239507</v>
          </cell>
          <cell r="AH2148">
            <v>45006.868043981478</v>
          </cell>
          <cell r="AI2148" t="str">
            <v>N52</v>
          </cell>
          <cell r="AJ2148" t="str">
            <v>F</v>
          </cell>
          <cell r="AK2148" t="str">
            <v/>
          </cell>
        </row>
        <row r="2149">
          <cell r="A2149" t="str">
            <v>1125206820541</v>
          </cell>
          <cell r="B2149" t="e">
            <v>#N/A</v>
          </cell>
          <cell r="C2149" t="e">
            <v>#N/A</v>
          </cell>
          <cell r="D2149" t="str">
            <v>EK65</v>
          </cell>
          <cell r="E2149" t="str">
            <v>720723</v>
          </cell>
          <cell r="F2149" t="str">
            <v>E</v>
          </cell>
          <cell r="G2149" t="str">
            <v>1125206</v>
          </cell>
          <cell r="H2149" t="str">
            <v>Versteifungsprofil</v>
          </cell>
          <cell r="I2149">
            <v>352</v>
          </cell>
          <cell r="J2149" t="str">
            <v>Stk</v>
          </cell>
          <cell r="K2149">
            <v>45189</v>
          </cell>
          <cell r="L2149" t="str">
            <v>820541</v>
          </cell>
          <cell r="M2149" t="str">
            <v/>
          </cell>
          <cell r="N2149" t="str">
            <v/>
          </cell>
          <cell r="O2149" t="str">
            <v/>
          </cell>
          <cell r="P2149" t="str">
            <v>Daetwyler</v>
          </cell>
          <cell r="Q2149" t="str">
            <v>EPDM</v>
          </cell>
          <cell r="R2149" t="str">
            <v/>
          </cell>
          <cell r="S2149" t="str">
            <v/>
          </cell>
          <cell r="T2149" t="str">
            <v/>
          </cell>
          <cell r="U2149" t="str">
            <v>L=200mm</v>
          </cell>
          <cell r="V2149" t="str">
            <v>N52</v>
          </cell>
          <cell r="W2149" t="str">
            <v/>
          </cell>
          <cell r="X2149" t="str">
            <v/>
          </cell>
          <cell r="Y2149" t="str">
            <v/>
          </cell>
          <cell r="Z2149" t="str">
            <v/>
          </cell>
          <cell r="AA2149" t="str">
            <v/>
          </cell>
          <cell r="AB2149" t="str">
            <v>1125206</v>
          </cell>
          <cell r="AC2149">
            <v>1</v>
          </cell>
          <cell r="AD2149" t="str">
            <v/>
          </cell>
          <cell r="AE2149">
            <v>0</v>
          </cell>
          <cell r="AF2149" t="str">
            <v/>
          </cell>
          <cell r="AG2149" t="str">
            <v>1125206</v>
          </cell>
          <cell r="AH2149">
            <v>45006.897372685184</v>
          </cell>
          <cell r="AI2149" t="str">
            <v>N52</v>
          </cell>
          <cell r="AJ2149" t="str">
            <v>F</v>
          </cell>
          <cell r="AK2149" t="str">
            <v/>
          </cell>
        </row>
        <row r="2150">
          <cell r="A2150" t="str">
            <v>12598908820541</v>
          </cell>
          <cell r="B2150" t="e">
            <v>#N/A</v>
          </cell>
          <cell r="C2150" t="e">
            <v>#N/A</v>
          </cell>
          <cell r="D2150" t="str">
            <v>EK65</v>
          </cell>
          <cell r="E2150" t="str">
            <v>720725</v>
          </cell>
          <cell r="F2150" t="str">
            <v>E</v>
          </cell>
          <cell r="G2150" t="str">
            <v>12598908</v>
          </cell>
          <cell r="H2150" t="str">
            <v>Beilage</v>
          </cell>
          <cell r="I2150">
            <v>176</v>
          </cell>
          <cell r="J2150" t="str">
            <v>Stk</v>
          </cell>
          <cell r="K2150">
            <v>45167</v>
          </cell>
          <cell r="L2150" t="str">
            <v>820541</v>
          </cell>
          <cell r="M2150" t="str">
            <v/>
          </cell>
          <cell r="N2150" t="str">
            <v/>
          </cell>
          <cell r="O2150" t="str">
            <v/>
          </cell>
          <cell r="P2150" t="str">
            <v/>
          </cell>
          <cell r="Q2150" t="str">
            <v/>
          </cell>
          <cell r="R2150" t="str">
            <v/>
          </cell>
          <cell r="S2150" t="str">
            <v/>
          </cell>
          <cell r="T2150" t="str">
            <v/>
          </cell>
          <cell r="U2150" t="str">
            <v/>
          </cell>
          <cell r="V2150" t="str">
            <v>N52</v>
          </cell>
          <cell r="W2150" t="str">
            <v/>
          </cell>
          <cell r="X2150" t="str">
            <v/>
          </cell>
          <cell r="Y2150" t="str">
            <v/>
          </cell>
          <cell r="Z2150" t="str">
            <v/>
          </cell>
          <cell r="AA2150" t="str">
            <v/>
          </cell>
          <cell r="AB2150" t="str">
            <v>PA_4942501-CF.3048-4</v>
          </cell>
          <cell r="AC2150">
            <v>1</v>
          </cell>
          <cell r="AD2150" t="str">
            <v/>
          </cell>
          <cell r="AE2150">
            <v>0</v>
          </cell>
          <cell r="AF2150" t="str">
            <v/>
          </cell>
          <cell r="AG2150" t="str">
            <v>12598908</v>
          </cell>
          <cell r="AH2150">
            <v>45006.898414351854</v>
          </cell>
          <cell r="AI2150" t="str">
            <v>N52</v>
          </cell>
          <cell r="AJ2150" t="str">
            <v>F</v>
          </cell>
          <cell r="AK2150" t="str">
            <v/>
          </cell>
        </row>
        <row r="2151">
          <cell r="A2151" t="str">
            <v>12613700820541</v>
          </cell>
          <cell r="B2151" t="e">
            <v>#N/A</v>
          </cell>
          <cell r="C2151" t="e">
            <v>#N/A</v>
          </cell>
          <cell r="D2151" t="str">
            <v>EK65</v>
          </cell>
          <cell r="E2151" t="str">
            <v>720727</v>
          </cell>
          <cell r="F2151" t="str">
            <v>E</v>
          </cell>
          <cell r="G2151" t="str">
            <v>12613700</v>
          </cell>
          <cell r="H2151" t="str">
            <v>Klappe klein vollst.</v>
          </cell>
          <cell r="I2151">
            <v>88</v>
          </cell>
          <cell r="J2151" t="str">
            <v>Stk</v>
          </cell>
          <cell r="K2151">
            <v>45167</v>
          </cell>
          <cell r="L2151" t="str">
            <v>820541</v>
          </cell>
          <cell r="M2151" t="str">
            <v/>
          </cell>
          <cell r="N2151" t="str">
            <v/>
          </cell>
          <cell r="O2151" t="str">
            <v/>
          </cell>
          <cell r="P2151" t="str">
            <v/>
          </cell>
          <cell r="Q2151" t="str">
            <v/>
          </cell>
          <cell r="R2151" t="str">
            <v/>
          </cell>
          <cell r="S2151" t="str">
            <v/>
          </cell>
          <cell r="T2151" t="str">
            <v/>
          </cell>
          <cell r="U2151" t="str">
            <v/>
          </cell>
          <cell r="V2151" t="str">
            <v>N34</v>
          </cell>
          <cell r="W2151" t="str">
            <v/>
          </cell>
          <cell r="X2151" t="str">
            <v/>
          </cell>
          <cell r="Y2151" t="str">
            <v/>
          </cell>
          <cell r="Z2151" t="str">
            <v/>
          </cell>
          <cell r="AA2151" t="str">
            <v/>
          </cell>
          <cell r="AB2151" t="str">
            <v>PA_5011624-CF.3048-2</v>
          </cell>
          <cell r="AC2151">
            <v>1</v>
          </cell>
          <cell r="AD2151" t="str">
            <v/>
          </cell>
          <cell r="AE2151">
            <v>0</v>
          </cell>
          <cell r="AF2151" t="str">
            <v/>
          </cell>
          <cell r="AG2151" t="str">
            <v>12613700</v>
          </cell>
          <cell r="AH2151">
            <v>45006.8984375</v>
          </cell>
          <cell r="AI2151" t="str">
            <v>N34</v>
          </cell>
          <cell r="AJ2151" t="str">
            <v/>
          </cell>
          <cell r="AK2151" t="str">
            <v/>
          </cell>
        </row>
        <row r="2152">
          <cell r="A2152" t="str">
            <v>12613714820541</v>
          </cell>
          <cell r="B2152" t="e">
            <v>#N/A</v>
          </cell>
          <cell r="C2152" t="e">
            <v>#N/A</v>
          </cell>
          <cell r="D2152" t="str">
            <v>EK65</v>
          </cell>
          <cell r="E2152" t="str">
            <v>720728</v>
          </cell>
          <cell r="F2152" t="str">
            <v>E</v>
          </cell>
          <cell r="G2152" t="str">
            <v>12613714</v>
          </cell>
          <cell r="H2152" t="str">
            <v>Klappe gross vollst.</v>
          </cell>
          <cell r="I2152">
            <v>88</v>
          </cell>
          <cell r="J2152" t="str">
            <v>Stk</v>
          </cell>
          <cell r="K2152">
            <v>45167</v>
          </cell>
          <cell r="L2152" t="str">
            <v>820541</v>
          </cell>
          <cell r="M2152" t="str">
            <v/>
          </cell>
          <cell r="N2152" t="str">
            <v/>
          </cell>
          <cell r="O2152" t="str">
            <v/>
          </cell>
          <cell r="P2152" t="str">
            <v/>
          </cell>
          <cell r="Q2152" t="str">
            <v/>
          </cell>
          <cell r="R2152" t="str">
            <v/>
          </cell>
          <cell r="S2152" t="str">
            <v/>
          </cell>
          <cell r="T2152" t="str">
            <v/>
          </cell>
          <cell r="U2152" t="str">
            <v/>
          </cell>
          <cell r="V2152" t="str">
            <v>N34</v>
          </cell>
          <cell r="W2152" t="str">
            <v/>
          </cell>
          <cell r="X2152" t="str">
            <v/>
          </cell>
          <cell r="Y2152" t="str">
            <v/>
          </cell>
          <cell r="Z2152" t="str">
            <v/>
          </cell>
          <cell r="AA2152" t="str">
            <v/>
          </cell>
          <cell r="AB2152" t="str">
            <v>PA_5011940-CF.3048-3</v>
          </cell>
          <cell r="AC2152">
            <v>1</v>
          </cell>
          <cell r="AD2152" t="str">
            <v/>
          </cell>
          <cell r="AE2152">
            <v>0</v>
          </cell>
          <cell r="AF2152" t="str">
            <v/>
          </cell>
          <cell r="AG2152" t="str">
            <v>12613714</v>
          </cell>
          <cell r="AH2152">
            <v>45006.898449074077</v>
          </cell>
          <cell r="AI2152" t="str">
            <v>N34</v>
          </cell>
          <cell r="AJ2152" t="str">
            <v/>
          </cell>
          <cell r="AK2152" t="str">
            <v/>
          </cell>
        </row>
        <row r="2153">
          <cell r="A2153" t="str">
            <v>2029345820541</v>
          </cell>
          <cell r="B2153" t="e">
            <v>#N/A</v>
          </cell>
          <cell r="C2153" t="e">
            <v>#N/A</v>
          </cell>
          <cell r="D2153" t="str">
            <v>EK65</v>
          </cell>
          <cell r="E2153" t="str">
            <v>720745</v>
          </cell>
          <cell r="F2153" t="str">
            <v>E</v>
          </cell>
          <cell r="G2153" t="str">
            <v>2029345</v>
          </cell>
          <cell r="H2153" t="str">
            <v>Beilage</v>
          </cell>
          <cell r="I2153">
            <v>264</v>
          </cell>
          <cell r="J2153" t="str">
            <v>Stk</v>
          </cell>
          <cell r="K2153">
            <v>45167</v>
          </cell>
          <cell r="L2153" t="str">
            <v>820541</v>
          </cell>
          <cell r="M2153" t="str">
            <v/>
          </cell>
          <cell r="N2153" t="str">
            <v/>
          </cell>
          <cell r="O2153" t="str">
            <v/>
          </cell>
          <cell r="P2153" t="str">
            <v/>
          </cell>
          <cell r="Q2153" t="str">
            <v/>
          </cell>
          <cell r="R2153" t="str">
            <v/>
          </cell>
          <cell r="S2153" t="str">
            <v/>
          </cell>
          <cell r="T2153" t="str">
            <v/>
          </cell>
          <cell r="U2153" t="str">
            <v/>
          </cell>
          <cell r="V2153" t="str">
            <v>N52</v>
          </cell>
          <cell r="W2153" t="str">
            <v/>
          </cell>
          <cell r="X2153" t="str">
            <v/>
          </cell>
          <cell r="Y2153" t="str">
            <v/>
          </cell>
          <cell r="Z2153" t="str">
            <v/>
          </cell>
          <cell r="AA2153" t="str">
            <v/>
          </cell>
          <cell r="AB2153" t="str">
            <v>PA_4612197-CF.3046-4</v>
          </cell>
          <cell r="AC2153">
            <v>1</v>
          </cell>
          <cell r="AD2153" t="str">
            <v/>
          </cell>
          <cell r="AE2153">
            <v>0</v>
          </cell>
          <cell r="AF2153" t="str">
            <v/>
          </cell>
          <cell r="AG2153" t="str">
            <v>2029345</v>
          </cell>
          <cell r="AH2153">
            <v>45006.899236111109</v>
          </cell>
          <cell r="AI2153" t="str">
            <v>N52</v>
          </cell>
          <cell r="AJ2153" t="str">
            <v>F</v>
          </cell>
          <cell r="AK2153" t="str">
            <v/>
          </cell>
        </row>
        <row r="2154">
          <cell r="A2154" t="str">
            <v>0277820820541</v>
          </cell>
          <cell r="B2154" t="e">
            <v>#N/A</v>
          </cell>
          <cell r="C2154" t="e">
            <v>#N/A</v>
          </cell>
          <cell r="D2154" t="str">
            <v>EK65</v>
          </cell>
          <cell r="E2154" t="str">
            <v>720759</v>
          </cell>
          <cell r="F2154" t="str">
            <v>E</v>
          </cell>
          <cell r="G2154" t="str">
            <v>0277820</v>
          </cell>
          <cell r="H2154" t="str">
            <v>Halter NF vollst.</v>
          </cell>
          <cell r="I2154">
            <v>4840</v>
          </cell>
          <cell r="J2154" t="str">
            <v>Stk</v>
          </cell>
          <cell r="K2154">
            <v>45184</v>
          </cell>
          <cell r="L2154" t="str">
            <v>820541</v>
          </cell>
          <cell r="M2154" t="str">
            <v/>
          </cell>
          <cell r="N2154" t="str">
            <v/>
          </cell>
          <cell r="O2154" t="str">
            <v/>
          </cell>
          <cell r="P2154" t="str">
            <v/>
          </cell>
          <cell r="Q2154" t="str">
            <v/>
          </cell>
          <cell r="R2154" t="str">
            <v/>
          </cell>
          <cell r="S2154" t="str">
            <v/>
          </cell>
          <cell r="T2154" t="str">
            <v/>
          </cell>
          <cell r="U2154" t="str">
            <v/>
          </cell>
          <cell r="V2154" t="str">
            <v>N38</v>
          </cell>
          <cell r="W2154" t="str">
            <v/>
          </cell>
          <cell r="X2154" t="str">
            <v/>
          </cell>
          <cell r="Y2154" t="str">
            <v/>
          </cell>
          <cell r="Z2154" t="str">
            <v/>
          </cell>
          <cell r="AA2154" t="str">
            <v/>
          </cell>
          <cell r="AB2154" t="str">
            <v>PA_2304557-LA.3046-3</v>
          </cell>
          <cell r="AC2154">
            <v>1</v>
          </cell>
          <cell r="AD2154" t="str">
            <v/>
          </cell>
          <cell r="AE2154">
            <v>0</v>
          </cell>
          <cell r="AF2154" t="str">
            <v/>
          </cell>
          <cell r="AG2154" t="str">
            <v>0277820</v>
          </cell>
          <cell r="AH2154">
            <v>45006.903402777774</v>
          </cell>
          <cell r="AI2154" t="str">
            <v>N38</v>
          </cell>
          <cell r="AJ2154" t="str">
            <v>F</v>
          </cell>
          <cell r="AK2154" t="str">
            <v>_</v>
          </cell>
        </row>
        <row r="2155">
          <cell r="A2155" t="str">
            <v>5449526820531</v>
          </cell>
          <cell r="B2155" t="e">
            <v>#N/A</v>
          </cell>
          <cell r="C2155" t="e">
            <v>#N/A</v>
          </cell>
          <cell r="D2155" t="str">
            <v>EK65</v>
          </cell>
          <cell r="E2155" t="str">
            <v>720770</v>
          </cell>
          <cell r="F2155" t="str">
            <v>E</v>
          </cell>
          <cell r="G2155" t="str">
            <v>5449526</v>
          </cell>
          <cell r="H2155" t="str">
            <v>DEHNHUELSE L40 D25/11</v>
          </cell>
          <cell r="I2155">
            <v>4</v>
          </cell>
          <cell r="J2155" t="str">
            <v>Stk</v>
          </cell>
          <cell r="K2155">
            <v>45217</v>
          </cell>
          <cell r="L2155" t="str">
            <v>820531</v>
          </cell>
          <cell r="M2155" t="str">
            <v/>
          </cell>
          <cell r="N2155" t="str">
            <v/>
          </cell>
          <cell r="O2155" t="str">
            <v/>
          </cell>
          <cell r="P2155" t="str">
            <v/>
          </cell>
          <cell r="Q2155" t="str">
            <v/>
          </cell>
          <cell r="R2155" t="str">
            <v/>
          </cell>
          <cell r="S2155" t="str">
            <v/>
          </cell>
          <cell r="T2155" t="str">
            <v/>
          </cell>
          <cell r="U2155" t="str">
            <v/>
          </cell>
          <cell r="V2155" t="str">
            <v>N52</v>
          </cell>
          <cell r="W2155" t="str">
            <v/>
          </cell>
          <cell r="X2155" t="str">
            <v/>
          </cell>
          <cell r="Y2155" t="str">
            <v/>
          </cell>
          <cell r="Z2155" t="str">
            <v/>
          </cell>
          <cell r="AA2155" t="str">
            <v/>
          </cell>
          <cell r="AB2155" t="str">
            <v>PA_1277677-CF.6001-4</v>
          </cell>
          <cell r="AC2155">
            <v>1</v>
          </cell>
          <cell r="AD2155" t="str">
            <v/>
          </cell>
          <cell r="AE2155">
            <v>0</v>
          </cell>
          <cell r="AF2155" t="str">
            <v/>
          </cell>
          <cell r="AG2155" t="str">
            <v>5449526</v>
          </cell>
          <cell r="AH2155">
            <v>45006.913368055553</v>
          </cell>
          <cell r="AI2155" t="str">
            <v>N52</v>
          </cell>
          <cell r="AJ2155" t="str">
            <v>F</v>
          </cell>
          <cell r="AK2155" t="str">
            <v/>
          </cell>
        </row>
        <row r="2156">
          <cell r="A2156" t="str">
            <v>5729348820541</v>
          </cell>
          <cell r="B2156" t="e">
            <v>#N/A</v>
          </cell>
          <cell r="C2156" t="e">
            <v>#N/A</v>
          </cell>
          <cell r="D2156" t="str">
            <v>EK65</v>
          </cell>
          <cell r="E2156" t="str">
            <v>720784</v>
          </cell>
          <cell r="F2156" t="str">
            <v>E</v>
          </cell>
          <cell r="G2156" t="str">
            <v>5729348</v>
          </cell>
          <cell r="H2156" t="str">
            <v>DEHNHUELSE L20, D20/9</v>
          </cell>
          <cell r="I2156">
            <v>352</v>
          </cell>
          <cell r="J2156" t="str">
            <v>Stk</v>
          </cell>
          <cell r="K2156">
            <v>45156</v>
          </cell>
          <cell r="L2156" t="str">
            <v>820541</v>
          </cell>
          <cell r="M2156" t="str">
            <v/>
          </cell>
          <cell r="N2156" t="str">
            <v/>
          </cell>
          <cell r="O2156" t="str">
            <v/>
          </cell>
          <cell r="P2156" t="str">
            <v/>
          </cell>
          <cell r="Q2156" t="str">
            <v/>
          </cell>
          <cell r="R2156" t="str">
            <v/>
          </cell>
          <cell r="S2156" t="str">
            <v/>
          </cell>
          <cell r="T2156" t="str">
            <v/>
          </cell>
          <cell r="U2156" t="str">
            <v/>
          </cell>
          <cell r="V2156" t="str">
            <v>N32</v>
          </cell>
          <cell r="W2156" t="str">
            <v/>
          </cell>
          <cell r="X2156" t="str">
            <v/>
          </cell>
          <cell r="Y2156" t="str">
            <v/>
          </cell>
          <cell r="Z2156" t="str">
            <v/>
          </cell>
          <cell r="AA2156" t="str">
            <v/>
          </cell>
          <cell r="AB2156" t="str">
            <v>PA_1471896-CF.3020-4</v>
          </cell>
          <cell r="AC2156">
            <v>1</v>
          </cell>
          <cell r="AD2156" t="str">
            <v/>
          </cell>
          <cell r="AE2156">
            <v>0</v>
          </cell>
          <cell r="AF2156" t="str">
            <v/>
          </cell>
          <cell r="AG2156" t="str">
            <v>5729348</v>
          </cell>
          <cell r="AH2156">
            <v>45006.919062499997</v>
          </cell>
          <cell r="AI2156" t="str">
            <v>N32</v>
          </cell>
          <cell r="AJ2156" t="str">
            <v>F</v>
          </cell>
          <cell r="AK2156" t="str">
            <v/>
          </cell>
        </row>
        <row r="2157">
          <cell r="A2157" t="str">
            <v>1235743820531</v>
          </cell>
          <cell r="B2157" t="e">
            <v>#N/A</v>
          </cell>
          <cell r="C2157" t="e">
            <v>#N/A</v>
          </cell>
          <cell r="D2157" t="str">
            <v>EK65</v>
          </cell>
          <cell r="E2157" t="str">
            <v>720788</v>
          </cell>
          <cell r="F2157" t="str">
            <v>E</v>
          </cell>
          <cell r="G2157" t="str">
            <v>1235743</v>
          </cell>
          <cell r="H2157" t="str">
            <v>Klemmbuchse ID10,5 AD40 H30</v>
          </cell>
          <cell r="I2157">
            <v>1</v>
          </cell>
          <cell r="J2157" t="str">
            <v>Stk</v>
          </cell>
          <cell r="K2157">
            <v>45222</v>
          </cell>
          <cell r="L2157" t="str">
            <v>820531</v>
          </cell>
          <cell r="M2157" t="str">
            <v/>
          </cell>
          <cell r="N2157" t="str">
            <v/>
          </cell>
          <cell r="O2157" t="str">
            <v/>
          </cell>
          <cell r="P2157" t="str">
            <v/>
          </cell>
          <cell r="Q2157" t="str">
            <v/>
          </cell>
          <cell r="R2157" t="str">
            <v/>
          </cell>
          <cell r="S2157" t="str">
            <v/>
          </cell>
          <cell r="T2157" t="str">
            <v/>
          </cell>
          <cell r="U2157" t="str">
            <v/>
          </cell>
          <cell r="V2157" t="str">
            <v>N52</v>
          </cell>
          <cell r="W2157" t="str">
            <v/>
          </cell>
          <cell r="X2157" t="str">
            <v/>
          </cell>
          <cell r="Y2157" t="str">
            <v/>
          </cell>
          <cell r="Z2157" t="str">
            <v/>
          </cell>
          <cell r="AA2157" t="str">
            <v/>
          </cell>
          <cell r="AB2157" t="str">
            <v>PA_2329080-UA.3046-4</v>
          </cell>
          <cell r="AC2157">
            <v>1</v>
          </cell>
          <cell r="AD2157" t="str">
            <v/>
          </cell>
          <cell r="AE2157">
            <v>0</v>
          </cell>
          <cell r="AF2157" t="str">
            <v/>
          </cell>
          <cell r="AG2157" t="str">
            <v>1235743</v>
          </cell>
          <cell r="AH2157">
            <v>45007.520092592589</v>
          </cell>
          <cell r="AI2157" t="str">
            <v>N52</v>
          </cell>
          <cell r="AJ2157" t="str">
            <v>F</v>
          </cell>
          <cell r="AK2157" t="str">
            <v/>
          </cell>
        </row>
        <row r="2158">
          <cell r="A2158" t="str">
            <v>12520901829053</v>
          </cell>
          <cell r="B2158" t="e">
            <v>#N/A</v>
          </cell>
          <cell r="C2158" t="e">
            <v>#N/A</v>
          </cell>
          <cell r="D2158" t="str">
            <v>EK65</v>
          </cell>
          <cell r="E2158" t="str">
            <v>720792</v>
          </cell>
          <cell r="F2158" t="str">
            <v>E</v>
          </cell>
          <cell r="G2158" t="str">
            <v>12520901</v>
          </cell>
          <cell r="H2158" t="str">
            <v>Halter SW innen vollst.</v>
          </cell>
          <cell r="I2158">
            <v>203</v>
          </cell>
          <cell r="J2158" t="str">
            <v>Stk</v>
          </cell>
          <cell r="K2158">
            <v>45209</v>
          </cell>
          <cell r="L2158" t="str">
            <v>829053</v>
          </cell>
          <cell r="M2158" t="str">
            <v/>
          </cell>
          <cell r="N2158" t="str">
            <v/>
          </cell>
          <cell r="O2158" t="str">
            <v/>
          </cell>
          <cell r="P2158" t="str">
            <v/>
          </cell>
          <cell r="Q2158" t="str">
            <v/>
          </cell>
          <cell r="R2158" t="str">
            <v/>
          </cell>
          <cell r="S2158" t="str">
            <v/>
          </cell>
          <cell r="T2158" t="str">
            <v/>
          </cell>
          <cell r="U2158" t="str">
            <v/>
          </cell>
          <cell r="V2158" t="str">
            <v>N38</v>
          </cell>
          <cell r="W2158" t="str">
            <v/>
          </cell>
          <cell r="X2158" t="str">
            <v/>
          </cell>
          <cell r="Y2158" t="str">
            <v/>
          </cell>
          <cell r="Z2158" t="str">
            <v/>
          </cell>
          <cell r="AA2158" t="str">
            <v/>
          </cell>
          <cell r="AB2158" t="str">
            <v>PA_4499699-LD.7005-4</v>
          </cell>
          <cell r="AC2158">
            <v>1</v>
          </cell>
          <cell r="AD2158" t="str">
            <v/>
          </cell>
          <cell r="AE2158">
            <v>0</v>
          </cell>
          <cell r="AF2158" t="str">
            <v/>
          </cell>
          <cell r="AG2158" t="str">
            <v>12520901</v>
          </cell>
          <cell r="AH2158">
            <v>45007.752696759257</v>
          </cell>
          <cell r="AI2158" t="str">
            <v>N38</v>
          </cell>
          <cell r="AJ2158" t="str">
            <v>F</v>
          </cell>
          <cell r="AK2158" t="str">
            <v/>
          </cell>
        </row>
        <row r="2159">
          <cell r="A2159" t="str">
            <v>0655171</v>
          </cell>
          <cell r="B2159" t="e">
            <v>#N/A</v>
          </cell>
          <cell r="C2159" t="e">
            <v>#N/A</v>
          </cell>
          <cell r="D2159" t="str">
            <v>EK65</v>
          </cell>
          <cell r="E2159" t="str">
            <v>720797</v>
          </cell>
          <cell r="F2159" t="str">
            <v>B</v>
          </cell>
          <cell r="G2159" t="str">
            <v>0655171</v>
          </cell>
          <cell r="H2159" t="str">
            <v>Distanzplatte</v>
          </cell>
          <cell r="I2159">
            <v>60</v>
          </cell>
          <cell r="J2159" t="str">
            <v>Stk</v>
          </cell>
          <cell r="K2159">
            <v>45009</v>
          </cell>
          <cell r="L2159" t="str">
            <v/>
          </cell>
          <cell r="M2159" t="str">
            <v/>
          </cell>
          <cell r="N2159" t="str">
            <v/>
          </cell>
          <cell r="O2159" t="str">
            <v/>
          </cell>
          <cell r="P2159" t="str">
            <v/>
          </cell>
          <cell r="Q2159" t="str">
            <v/>
          </cell>
          <cell r="R2159" t="str">
            <v/>
          </cell>
          <cell r="S2159" t="str">
            <v/>
          </cell>
          <cell r="T2159" t="str">
            <v/>
          </cell>
          <cell r="U2159" t="str">
            <v/>
          </cell>
          <cell r="V2159" t="str">
            <v>N52</v>
          </cell>
          <cell r="W2159" t="str">
            <v/>
          </cell>
          <cell r="X2159" t="str">
            <v/>
          </cell>
          <cell r="Y2159" t="str">
            <v/>
          </cell>
          <cell r="Z2159" t="str">
            <v/>
          </cell>
          <cell r="AA2159" t="str">
            <v/>
          </cell>
          <cell r="AB2159" t="str">
            <v>PA_2197386-CE.7500-4</v>
          </cell>
          <cell r="AC2159">
            <v>4</v>
          </cell>
          <cell r="AD2159" t="str">
            <v/>
          </cell>
          <cell r="AE2159">
            <v>0</v>
          </cell>
          <cell r="AF2159" t="str">
            <v/>
          </cell>
          <cell r="AG2159" t="str">
            <v>0655171</v>
          </cell>
          <cell r="AH2159">
            <v>45007.834351851852</v>
          </cell>
          <cell r="AI2159" t="str">
            <v>N52</v>
          </cell>
          <cell r="AJ2159" t="str">
            <v>F</v>
          </cell>
          <cell r="AK2159" t="str">
            <v>A</v>
          </cell>
        </row>
        <row r="2160">
          <cell r="A2160" t="str">
            <v>0711279</v>
          </cell>
          <cell r="B2160" t="e">
            <v>#N/A</v>
          </cell>
          <cell r="C2160" t="e">
            <v>#N/A</v>
          </cell>
          <cell r="D2160" t="str">
            <v>EK65</v>
          </cell>
          <cell r="E2160" t="str">
            <v>720798</v>
          </cell>
          <cell r="F2160" t="str">
            <v>B</v>
          </cell>
          <cell r="G2160" t="str">
            <v>0711279</v>
          </cell>
          <cell r="H2160" t="str">
            <v>Dehnhuelse</v>
          </cell>
          <cell r="I2160">
            <v>8</v>
          </cell>
          <cell r="J2160" t="str">
            <v>Stk</v>
          </cell>
          <cell r="K2160">
            <v>45009</v>
          </cell>
          <cell r="L2160" t="str">
            <v/>
          </cell>
          <cell r="M2160" t="str">
            <v/>
          </cell>
          <cell r="N2160" t="str">
            <v/>
          </cell>
          <cell r="O2160" t="str">
            <v/>
          </cell>
          <cell r="P2160" t="str">
            <v/>
          </cell>
          <cell r="Q2160" t="str">
            <v/>
          </cell>
          <cell r="R2160" t="str">
            <v/>
          </cell>
          <cell r="S2160" t="str">
            <v/>
          </cell>
          <cell r="T2160" t="str">
            <v/>
          </cell>
          <cell r="U2160" t="str">
            <v/>
          </cell>
          <cell r="V2160" t="str">
            <v>N52</v>
          </cell>
          <cell r="W2160" t="str">
            <v/>
          </cell>
          <cell r="X2160" t="str">
            <v/>
          </cell>
          <cell r="Y2160" t="str">
            <v/>
          </cell>
          <cell r="Z2160" t="str">
            <v/>
          </cell>
          <cell r="AA2160" t="str">
            <v/>
          </cell>
          <cell r="AB2160" t="str">
            <v>PA_2181539-CC.7500-4</v>
          </cell>
          <cell r="AC2160">
            <v>4</v>
          </cell>
          <cell r="AD2160" t="str">
            <v/>
          </cell>
          <cell r="AE2160">
            <v>0</v>
          </cell>
          <cell r="AF2160" t="str">
            <v/>
          </cell>
          <cell r="AG2160" t="str">
            <v>0711279</v>
          </cell>
          <cell r="AH2160">
            <v>45007.834432870368</v>
          </cell>
          <cell r="AI2160" t="str">
            <v>N52</v>
          </cell>
          <cell r="AJ2160" t="str">
            <v>F</v>
          </cell>
          <cell r="AK2160" t="str">
            <v/>
          </cell>
        </row>
        <row r="2161">
          <cell r="A2161" t="str">
            <v>0736061</v>
          </cell>
          <cell r="B2161" t="e">
            <v>#N/A</v>
          </cell>
          <cell r="C2161" t="e">
            <v>#N/A</v>
          </cell>
          <cell r="D2161" t="str">
            <v>EK65</v>
          </cell>
          <cell r="E2161" t="str">
            <v>720799</v>
          </cell>
          <cell r="F2161" t="str">
            <v>B</v>
          </cell>
          <cell r="G2161" t="str">
            <v>0736061</v>
          </cell>
          <cell r="H2161" t="str">
            <v>Dehnhuelse M20 79mm</v>
          </cell>
          <cell r="I2161">
            <v>51</v>
          </cell>
          <cell r="J2161" t="str">
            <v>Stk</v>
          </cell>
          <cell r="K2161">
            <v>45009</v>
          </cell>
          <cell r="L2161" t="str">
            <v/>
          </cell>
          <cell r="M2161" t="str">
            <v/>
          </cell>
          <cell r="N2161" t="str">
            <v/>
          </cell>
          <cell r="O2161" t="str">
            <v/>
          </cell>
          <cell r="P2161" t="str">
            <v/>
          </cell>
          <cell r="Q2161" t="str">
            <v/>
          </cell>
          <cell r="R2161" t="str">
            <v/>
          </cell>
          <cell r="S2161" t="str">
            <v/>
          </cell>
          <cell r="T2161" t="str">
            <v/>
          </cell>
          <cell r="U2161" t="str">
            <v/>
          </cell>
          <cell r="V2161" t="str">
            <v>N52</v>
          </cell>
          <cell r="W2161" t="str">
            <v/>
          </cell>
          <cell r="X2161" t="str">
            <v/>
          </cell>
          <cell r="Y2161" t="str">
            <v/>
          </cell>
          <cell r="Z2161" t="str">
            <v/>
          </cell>
          <cell r="AA2161" t="str">
            <v/>
          </cell>
          <cell r="AB2161" t="str">
            <v>PA_2189149-UA.7500-4</v>
          </cell>
          <cell r="AC2161">
            <v>4</v>
          </cell>
          <cell r="AD2161" t="str">
            <v/>
          </cell>
          <cell r="AE2161">
            <v>0</v>
          </cell>
          <cell r="AF2161" t="str">
            <v/>
          </cell>
          <cell r="AG2161" t="str">
            <v>0736061</v>
          </cell>
          <cell r="AH2161">
            <v>45007.834502314814</v>
          </cell>
          <cell r="AI2161" t="str">
            <v>N52</v>
          </cell>
          <cell r="AJ2161" t="str">
            <v>F</v>
          </cell>
          <cell r="AK2161" t="str">
            <v/>
          </cell>
        </row>
        <row r="2162">
          <cell r="A2162" t="str">
            <v>2026891820531</v>
          </cell>
          <cell r="B2162" t="e">
            <v>#N/A</v>
          </cell>
          <cell r="C2162" t="e">
            <v>#N/A</v>
          </cell>
          <cell r="D2162" t="str">
            <v>EK65</v>
          </cell>
          <cell r="E2162" t="str">
            <v>720851</v>
          </cell>
          <cell r="F2162" t="str">
            <v>E</v>
          </cell>
          <cell r="G2162" t="str">
            <v>2026891</v>
          </cell>
          <cell r="H2162" t="str">
            <v>Halter vollst.</v>
          </cell>
          <cell r="I2162">
            <v>2</v>
          </cell>
          <cell r="J2162" t="str">
            <v>Stk</v>
          </cell>
          <cell r="K2162">
            <v>45223</v>
          </cell>
          <cell r="L2162" t="str">
            <v>820531</v>
          </cell>
          <cell r="M2162" t="str">
            <v/>
          </cell>
          <cell r="N2162" t="str">
            <v/>
          </cell>
          <cell r="O2162" t="str">
            <v/>
          </cell>
          <cell r="P2162" t="str">
            <v/>
          </cell>
          <cell r="Q2162" t="str">
            <v/>
          </cell>
          <cell r="R2162" t="str">
            <v/>
          </cell>
          <cell r="S2162" t="str">
            <v/>
          </cell>
          <cell r="T2162" t="str">
            <v/>
          </cell>
          <cell r="U2162" t="str">
            <v/>
          </cell>
          <cell r="V2162" t="str">
            <v>N52</v>
          </cell>
          <cell r="W2162" t="str">
            <v/>
          </cell>
          <cell r="X2162" t="str">
            <v/>
          </cell>
          <cell r="Y2162" t="str">
            <v/>
          </cell>
          <cell r="Z2162" t="str">
            <v/>
          </cell>
          <cell r="AA2162" t="str">
            <v/>
          </cell>
          <cell r="AB2162" t="str">
            <v>PA_4526841-UA.3046-3</v>
          </cell>
          <cell r="AC2162">
            <v>1</v>
          </cell>
          <cell r="AD2162" t="str">
            <v/>
          </cell>
          <cell r="AE2162">
            <v>0</v>
          </cell>
          <cell r="AF2162" t="str">
            <v/>
          </cell>
          <cell r="AG2162" t="str">
            <v>2026891</v>
          </cell>
          <cell r="AH2162">
            <v>45007.879895833335</v>
          </cell>
          <cell r="AI2162" t="str">
            <v>N52</v>
          </cell>
          <cell r="AJ2162" t="str">
            <v>F</v>
          </cell>
          <cell r="AK2162" t="str">
            <v/>
          </cell>
        </row>
        <row r="2163">
          <cell r="A2163" t="str">
            <v>12603048827153</v>
          </cell>
          <cell r="B2163" t="e">
            <v>#N/A</v>
          </cell>
          <cell r="C2163" t="e">
            <v>#N/A</v>
          </cell>
          <cell r="D2163" t="str">
            <v>EK65</v>
          </cell>
          <cell r="E2163" t="str">
            <v>721093</v>
          </cell>
          <cell r="F2163" t="str">
            <v>E</v>
          </cell>
          <cell r="G2163" t="str">
            <v>12603048</v>
          </cell>
          <cell r="H2163" t="str">
            <v>Tragschiene TS35</v>
          </cell>
          <cell r="I2163">
            <v>44</v>
          </cell>
          <cell r="J2163" t="str">
            <v>Stk</v>
          </cell>
          <cell r="K2163">
            <v>45159</v>
          </cell>
          <cell r="L2163" t="str">
            <v>827153</v>
          </cell>
          <cell r="M2163" t="str">
            <v/>
          </cell>
          <cell r="N2163" t="str">
            <v/>
          </cell>
          <cell r="O2163" t="str">
            <v/>
          </cell>
          <cell r="P2163" t="str">
            <v>Weidmueller</v>
          </cell>
          <cell r="Q2163" t="str">
            <v>TS35X15/LL 2M/*</v>
          </cell>
          <cell r="R2163" t="str">
            <v>*ST/ZN</v>
          </cell>
          <cell r="S2163" t="str">
            <v/>
          </cell>
          <cell r="T2163" t="str">
            <v/>
          </cell>
          <cell r="U2163" t="str">
            <v>L=100</v>
          </cell>
          <cell r="V2163" t="str">
            <v>N38</v>
          </cell>
          <cell r="W2163" t="str">
            <v/>
          </cell>
          <cell r="X2163" t="str">
            <v/>
          </cell>
          <cell r="Y2163" t="str">
            <v/>
          </cell>
          <cell r="Z2163" t="str">
            <v/>
          </cell>
          <cell r="AA2163" t="str">
            <v/>
          </cell>
          <cell r="AB2163" t="str">
            <v/>
          </cell>
          <cell r="AC2163">
            <v>1</v>
          </cell>
          <cell r="AD2163" t="str">
            <v/>
          </cell>
          <cell r="AE2163">
            <v>0</v>
          </cell>
          <cell r="AF2163" t="str">
            <v/>
          </cell>
          <cell r="AG2163" t="str">
            <v>12603048</v>
          </cell>
          <cell r="AH2163">
            <v>45007.903078703705</v>
          </cell>
          <cell r="AI2163" t="str">
            <v>N38</v>
          </cell>
          <cell r="AJ2163" t="str">
            <v/>
          </cell>
          <cell r="AK2163" t="str">
            <v/>
          </cell>
        </row>
        <row r="2164">
          <cell r="A2164" t="str">
            <v>12672239820541</v>
          </cell>
          <cell r="B2164" t="e">
            <v>#N/A</v>
          </cell>
          <cell r="C2164" t="e">
            <v>#N/A</v>
          </cell>
          <cell r="D2164" t="str">
            <v>EK65</v>
          </cell>
          <cell r="E2164" t="str">
            <v>721109</v>
          </cell>
          <cell r="F2164" t="str">
            <v>E</v>
          </cell>
          <cell r="G2164" t="str">
            <v>12672239</v>
          </cell>
          <cell r="H2164" t="str">
            <v>Halter vollst.</v>
          </cell>
          <cell r="I2164">
            <v>748</v>
          </cell>
          <cell r="J2164" t="str">
            <v>Stk</v>
          </cell>
          <cell r="K2164">
            <v>45167</v>
          </cell>
          <cell r="L2164" t="str">
            <v>820541</v>
          </cell>
          <cell r="M2164" t="str">
            <v/>
          </cell>
          <cell r="N2164" t="str">
            <v/>
          </cell>
          <cell r="O2164" t="str">
            <v/>
          </cell>
          <cell r="P2164" t="str">
            <v/>
          </cell>
          <cell r="Q2164" t="str">
            <v/>
          </cell>
          <cell r="R2164" t="str">
            <v/>
          </cell>
          <cell r="S2164" t="str">
            <v/>
          </cell>
          <cell r="T2164" t="str">
            <v/>
          </cell>
          <cell r="U2164" t="str">
            <v/>
          </cell>
          <cell r="V2164" t="str">
            <v>N38</v>
          </cell>
          <cell r="W2164" t="str">
            <v/>
          </cell>
          <cell r="X2164" t="str">
            <v/>
          </cell>
          <cell r="Y2164" t="str">
            <v/>
          </cell>
          <cell r="Z2164" t="str">
            <v/>
          </cell>
          <cell r="AA2164" t="str">
            <v/>
          </cell>
          <cell r="AB2164" t="str">
            <v>PA_5259481-QE.3048-4</v>
          </cell>
          <cell r="AC2164">
            <v>1</v>
          </cell>
          <cell r="AD2164" t="str">
            <v/>
          </cell>
          <cell r="AE2164">
            <v>0</v>
          </cell>
          <cell r="AF2164" t="str">
            <v/>
          </cell>
          <cell r="AG2164" t="str">
            <v>12672239</v>
          </cell>
          <cell r="AH2164">
            <v>45007.904247685183</v>
          </cell>
          <cell r="AI2164" t="str">
            <v>N38</v>
          </cell>
          <cell r="AJ2164" t="str">
            <v>F</v>
          </cell>
          <cell r="AK2164" t="str">
            <v/>
          </cell>
        </row>
        <row r="2165">
          <cell r="A2165" t="str">
            <v>12576565829550</v>
          </cell>
          <cell r="B2165" t="str">
            <v>Problech</v>
          </cell>
          <cell r="C2165" t="e">
            <v>#N/A</v>
          </cell>
          <cell r="D2165" t="str">
            <v>EK65</v>
          </cell>
          <cell r="E2165" t="str">
            <v>721202</v>
          </cell>
          <cell r="F2165" t="str">
            <v>E</v>
          </cell>
          <cell r="G2165" t="str">
            <v>12576565</v>
          </cell>
          <cell r="H2165" t="str">
            <v>Beilage</v>
          </cell>
          <cell r="I2165">
            <v>112</v>
          </cell>
          <cell r="J2165" t="str">
            <v>Stk</v>
          </cell>
          <cell r="K2165">
            <v>44991</v>
          </cell>
          <cell r="L2165" t="str">
            <v>829550</v>
          </cell>
          <cell r="M2165" t="str">
            <v/>
          </cell>
          <cell r="N2165" t="str">
            <v/>
          </cell>
          <cell r="O2165" t="str">
            <v/>
          </cell>
          <cell r="P2165" t="str">
            <v/>
          </cell>
          <cell r="Q2165" t="str">
            <v/>
          </cell>
          <cell r="R2165" t="str">
            <v/>
          </cell>
          <cell r="S2165" t="str">
            <v/>
          </cell>
          <cell r="T2165" t="str">
            <v/>
          </cell>
          <cell r="U2165" t="str">
            <v/>
          </cell>
          <cell r="V2165" t="str">
            <v>N52</v>
          </cell>
          <cell r="W2165" t="str">
            <v/>
          </cell>
          <cell r="X2165" t="str">
            <v/>
          </cell>
          <cell r="Y2165" t="str">
            <v/>
          </cell>
          <cell r="Z2165" t="str">
            <v/>
          </cell>
          <cell r="AA2165" t="str">
            <v/>
          </cell>
          <cell r="AB2165" t="str">
            <v>PA_4823121-ED.7004-4</v>
          </cell>
          <cell r="AC2165">
            <v>1</v>
          </cell>
          <cell r="AD2165" t="str">
            <v/>
          </cell>
          <cell r="AE2165">
            <v>0</v>
          </cell>
          <cell r="AF2165" t="str">
            <v/>
          </cell>
          <cell r="AG2165" t="str">
            <v>12576565</v>
          </cell>
          <cell r="AH2165">
            <v>45008.478275462963</v>
          </cell>
          <cell r="AI2165" t="str">
            <v>N52</v>
          </cell>
          <cell r="AJ2165" t="str">
            <v>F</v>
          </cell>
          <cell r="AK2165" t="str">
            <v/>
          </cell>
        </row>
        <row r="2166">
          <cell r="A2166" t="str">
            <v>0655160</v>
          </cell>
          <cell r="B2166" t="e">
            <v>#N/A</v>
          </cell>
          <cell r="C2166" t="e">
            <v>#N/A</v>
          </cell>
          <cell r="D2166" t="str">
            <v>EK65</v>
          </cell>
          <cell r="E2166" t="str">
            <v>721214</v>
          </cell>
          <cell r="F2166" t="str">
            <v>B</v>
          </cell>
          <cell r="G2166" t="str">
            <v>0655160</v>
          </cell>
          <cell r="H2166" t="str">
            <v>Gewindeplatte M8</v>
          </cell>
          <cell r="I2166">
            <v>53</v>
          </cell>
          <cell r="J2166" t="str">
            <v>Stk</v>
          </cell>
          <cell r="K2166">
            <v>45010</v>
          </cell>
          <cell r="L2166" t="str">
            <v/>
          </cell>
          <cell r="M2166" t="str">
            <v/>
          </cell>
          <cell r="N2166" t="str">
            <v/>
          </cell>
          <cell r="O2166" t="str">
            <v/>
          </cell>
          <cell r="P2166" t="str">
            <v/>
          </cell>
          <cell r="Q2166" t="str">
            <v/>
          </cell>
          <cell r="R2166" t="str">
            <v/>
          </cell>
          <cell r="S2166" t="str">
            <v/>
          </cell>
          <cell r="T2166" t="str">
            <v/>
          </cell>
          <cell r="U2166" t="str">
            <v/>
          </cell>
          <cell r="V2166" t="str">
            <v>N52</v>
          </cell>
          <cell r="W2166" t="str">
            <v/>
          </cell>
          <cell r="X2166" t="str">
            <v/>
          </cell>
          <cell r="Y2166" t="str">
            <v/>
          </cell>
          <cell r="Z2166" t="str">
            <v/>
          </cell>
          <cell r="AA2166" t="str">
            <v/>
          </cell>
          <cell r="AB2166" t="str">
            <v>PA_2197094-CE.7500-3</v>
          </cell>
          <cell r="AC2166">
            <v>4</v>
          </cell>
          <cell r="AD2166" t="str">
            <v/>
          </cell>
          <cell r="AE2166">
            <v>0</v>
          </cell>
          <cell r="AF2166" t="str">
            <v/>
          </cell>
          <cell r="AG2166" t="str">
            <v>0655160</v>
          </cell>
          <cell r="AH2166">
            <v>45008.834305555552</v>
          </cell>
          <cell r="AI2166" t="str">
            <v>N52</v>
          </cell>
          <cell r="AJ2166" t="str">
            <v>F</v>
          </cell>
          <cell r="AK2166" t="str">
            <v/>
          </cell>
        </row>
        <row r="2167">
          <cell r="A2167" t="str">
            <v>12532541829053</v>
          </cell>
          <cell r="B2167" t="e">
            <v>#N/A</v>
          </cell>
          <cell r="C2167" t="e">
            <v>#N/A</v>
          </cell>
          <cell r="D2167" t="str">
            <v>EK65</v>
          </cell>
          <cell r="E2167" t="str">
            <v>721253</v>
          </cell>
          <cell r="F2167" t="str">
            <v>E</v>
          </cell>
          <cell r="G2167" t="str">
            <v>12532541</v>
          </cell>
          <cell r="H2167" t="str">
            <v>Kombihalter kompl.</v>
          </cell>
          <cell r="I2167">
            <v>725</v>
          </cell>
          <cell r="J2167" t="str">
            <v>Stk</v>
          </cell>
          <cell r="K2167">
            <v>45197</v>
          </cell>
          <cell r="L2167" t="str">
            <v>829053</v>
          </cell>
          <cell r="M2167" t="str">
            <v/>
          </cell>
          <cell r="N2167" t="str">
            <v/>
          </cell>
          <cell r="O2167" t="str">
            <v/>
          </cell>
          <cell r="P2167" t="str">
            <v/>
          </cell>
          <cell r="Q2167" t="str">
            <v/>
          </cell>
          <cell r="R2167" t="str">
            <v/>
          </cell>
          <cell r="S2167" t="str">
            <v/>
          </cell>
          <cell r="T2167" t="str">
            <v/>
          </cell>
          <cell r="U2167" t="str">
            <v/>
          </cell>
          <cell r="V2167" t="str">
            <v>N38</v>
          </cell>
          <cell r="W2167" t="str">
            <v/>
          </cell>
          <cell r="X2167" t="str">
            <v/>
          </cell>
          <cell r="Y2167" t="str">
            <v/>
          </cell>
          <cell r="Z2167" t="str">
            <v/>
          </cell>
          <cell r="AA2167" t="str">
            <v/>
          </cell>
          <cell r="AB2167" t="str">
            <v>PA_4528776-UA.7005-3</v>
          </cell>
          <cell r="AC2167">
            <v>4</v>
          </cell>
          <cell r="AD2167" t="str">
            <v/>
          </cell>
          <cell r="AE2167">
            <v>0</v>
          </cell>
          <cell r="AF2167" t="str">
            <v/>
          </cell>
          <cell r="AG2167" t="str">
            <v>12532541</v>
          </cell>
          <cell r="AH2167">
            <v>45008.872488425928</v>
          </cell>
          <cell r="AI2167" t="str">
            <v>N38</v>
          </cell>
          <cell r="AJ2167" t="str">
            <v>F</v>
          </cell>
          <cell r="AK2167" t="str">
            <v/>
          </cell>
        </row>
        <row r="2168">
          <cell r="A2168" t="str">
            <v>12532541829054</v>
          </cell>
          <cell r="B2168" t="e">
            <v>#N/A</v>
          </cell>
          <cell r="C2168" t="e">
            <v>#N/A</v>
          </cell>
          <cell r="D2168" t="str">
            <v>EK65</v>
          </cell>
          <cell r="E2168" t="str">
            <v>721254</v>
          </cell>
          <cell r="F2168" t="str">
            <v>E</v>
          </cell>
          <cell r="G2168" t="str">
            <v>12532541</v>
          </cell>
          <cell r="H2168" t="str">
            <v>Kombihalter kompl.</v>
          </cell>
          <cell r="I2168">
            <v>246</v>
          </cell>
          <cell r="J2168" t="str">
            <v>Stk</v>
          </cell>
          <cell r="K2168">
            <v>45209</v>
          </cell>
          <cell r="L2168" t="str">
            <v>829054</v>
          </cell>
          <cell r="M2168" t="str">
            <v/>
          </cell>
          <cell r="N2168" t="str">
            <v/>
          </cell>
          <cell r="O2168" t="str">
            <v/>
          </cell>
          <cell r="P2168" t="str">
            <v/>
          </cell>
          <cell r="Q2168" t="str">
            <v/>
          </cell>
          <cell r="R2168" t="str">
            <v/>
          </cell>
          <cell r="S2168" t="str">
            <v/>
          </cell>
          <cell r="T2168" t="str">
            <v/>
          </cell>
          <cell r="U2168" t="str">
            <v/>
          </cell>
          <cell r="V2168" t="str">
            <v>N38</v>
          </cell>
          <cell r="W2168" t="str">
            <v/>
          </cell>
          <cell r="X2168" t="str">
            <v/>
          </cell>
          <cell r="Y2168" t="str">
            <v/>
          </cell>
          <cell r="Z2168" t="str">
            <v/>
          </cell>
          <cell r="AA2168" t="str">
            <v/>
          </cell>
          <cell r="AB2168" t="str">
            <v>PA_4528776-UA.7005-3</v>
          </cell>
          <cell r="AC2168">
            <v>4</v>
          </cell>
          <cell r="AD2168" t="str">
            <v/>
          </cell>
          <cell r="AE2168">
            <v>0</v>
          </cell>
          <cell r="AF2168" t="str">
            <v/>
          </cell>
          <cell r="AG2168" t="str">
            <v>12532541</v>
          </cell>
          <cell r="AH2168">
            <v>45008.872488425928</v>
          </cell>
          <cell r="AI2168" t="str">
            <v>N38</v>
          </cell>
          <cell r="AJ2168" t="str">
            <v>F</v>
          </cell>
          <cell r="AK2168" t="str">
            <v/>
          </cell>
        </row>
        <row r="2169">
          <cell r="A2169" t="str">
            <v>12532541829051</v>
          </cell>
          <cell r="B2169" t="e">
            <v>#N/A</v>
          </cell>
          <cell r="C2169" t="e">
            <v>#N/A</v>
          </cell>
          <cell r="D2169" t="str">
            <v>EK65</v>
          </cell>
          <cell r="E2169" t="str">
            <v>721255</v>
          </cell>
          <cell r="F2169" t="str">
            <v>E</v>
          </cell>
          <cell r="G2169" t="str">
            <v>12532541</v>
          </cell>
          <cell r="H2169" t="str">
            <v>Kombihalter kompl.</v>
          </cell>
          <cell r="I2169">
            <v>3518</v>
          </cell>
          <cell r="J2169" t="str">
            <v>Stk</v>
          </cell>
          <cell r="K2169">
            <v>45317</v>
          </cell>
          <cell r="L2169" t="str">
            <v>829051</v>
          </cell>
          <cell r="M2169" t="str">
            <v/>
          </cell>
          <cell r="N2169" t="str">
            <v/>
          </cell>
          <cell r="O2169" t="str">
            <v/>
          </cell>
          <cell r="P2169" t="str">
            <v/>
          </cell>
          <cell r="Q2169" t="str">
            <v/>
          </cell>
          <cell r="R2169" t="str">
            <v/>
          </cell>
          <cell r="S2169" t="str">
            <v/>
          </cell>
          <cell r="T2169" t="str">
            <v/>
          </cell>
          <cell r="U2169" t="str">
            <v/>
          </cell>
          <cell r="V2169" t="str">
            <v>N38</v>
          </cell>
          <cell r="W2169" t="str">
            <v/>
          </cell>
          <cell r="X2169" t="str">
            <v/>
          </cell>
          <cell r="Y2169" t="str">
            <v/>
          </cell>
          <cell r="Z2169" t="str">
            <v/>
          </cell>
          <cell r="AA2169" t="str">
            <v/>
          </cell>
          <cell r="AB2169" t="str">
            <v>PA_4528776-UA.7005-3</v>
          </cell>
          <cell r="AC2169">
            <v>4</v>
          </cell>
          <cell r="AD2169" t="str">
            <v/>
          </cell>
          <cell r="AE2169">
            <v>0</v>
          </cell>
          <cell r="AF2169" t="str">
            <v/>
          </cell>
          <cell r="AG2169" t="str">
            <v>12532541</v>
          </cell>
          <cell r="AH2169">
            <v>45008.872488425928</v>
          </cell>
          <cell r="AI2169" t="str">
            <v>N38</v>
          </cell>
          <cell r="AJ2169" t="str">
            <v>F</v>
          </cell>
          <cell r="AK2169" t="str">
            <v/>
          </cell>
        </row>
        <row r="2170">
          <cell r="A2170" t="str">
            <v>12532541829052</v>
          </cell>
          <cell r="B2170" t="e">
            <v>#N/A</v>
          </cell>
          <cell r="C2170" t="e">
            <v>#N/A</v>
          </cell>
          <cell r="D2170" t="str">
            <v>EK65</v>
          </cell>
          <cell r="E2170" t="str">
            <v>721256</v>
          </cell>
          <cell r="F2170" t="str">
            <v>E</v>
          </cell>
          <cell r="G2170" t="str">
            <v>12532541</v>
          </cell>
          <cell r="H2170" t="str">
            <v>Kombihalter kompl.</v>
          </cell>
          <cell r="I2170">
            <v>2109</v>
          </cell>
          <cell r="J2170" t="str">
            <v>Stk</v>
          </cell>
          <cell r="K2170">
            <v>45363</v>
          </cell>
          <cell r="L2170" t="str">
            <v>829052</v>
          </cell>
          <cell r="M2170" t="str">
            <v/>
          </cell>
          <cell r="N2170" t="str">
            <v/>
          </cell>
          <cell r="O2170" t="str">
            <v/>
          </cell>
          <cell r="P2170" t="str">
            <v/>
          </cell>
          <cell r="Q2170" t="str">
            <v/>
          </cell>
          <cell r="R2170" t="str">
            <v/>
          </cell>
          <cell r="S2170" t="str">
            <v/>
          </cell>
          <cell r="T2170" t="str">
            <v/>
          </cell>
          <cell r="U2170" t="str">
            <v/>
          </cell>
          <cell r="V2170" t="str">
            <v>N38</v>
          </cell>
          <cell r="W2170" t="str">
            <v/>
          </cell>
          <cell r="X2170" t="str">
            <v/>
          </cell>
          <cell r="Y2170" t="str">
            <v/>
          </cell>
          <cell r="Z2170" t="str">
            <v/>
          </cell>
          <cell r="AA2170" t="str">
            <v/>
          </cell>
          <cell r="AB2170" t="str">
            <v>PA_4528776-UA.7005-3</v>
          </cell>
          <cell r="AC2170">
            <v>4</v>
          </cell>
          <cell r="AD2170" t="str">
            <v/>
          </cell>
          <cell r="AE2170">
            <v>0</v>
          </cell>
          <cell r="AF2170" t="str">
            <v/>
          </cell>
          <cell r="AG2170" t="str">
            <v>12532541</v>
          </cell>
          <cell r="AH2170">
            <v>45008.872488425928</v>
          </cell>
          <cell r="AI2170" t="str">
            <v>N38</v>
          </cell>
          <cell r="AJ2170" t="str">
            <v>F</v>
          </cell>
          <cell r="AK2170" t="str">
            <v/>
          </cell>
        </row>
        <row r="2171">
          <cell r="A2171" t="str">
            <v>2571437820531</v>
          </cell>
          <cell r="B2171" t="e">
            <v>#N/A</v>
          </cell>
          <cell r="C2171" t="e">
            <v>#N/A</v>
          </cell>
          <cell r="D2171" t="str">
            <v>EK65</v>
          </cell>
          <cell r="E2171" t="str">
            <v>721334</v>
          </cell>
          <cell r="F2171" t="str">
            <v>E</v>
          </cell>
          <cell r="G2171" t="str">
            <v>2571437</v>
          </cell>
          <cell r="H2171" t="str">
            <v>Abschlussprofil w.g.</v>
          </cell>
          <cell r="I2171">
            <v>2</v>
          </cell>
          <cell r="J2171" t="str">
            <v>Stk</v>
          </cell>
          <cell r="K2171">
            <v>45212</v>
          </cell>
          <cell r="L2171" t="str">
            <v>820531</v>
          </cell>
          <cell r="M2171" t="str">
            <v/>
          </cell>
          <cell r="N2171" t="str">
            <v/>
          </cell>
          <cell r="O2171" t="str">
            <v/>
          </cell>
          <cell r="P2171" t="str">
            <v/>
          </cell>
          <cell r="Q2171" t="str">
            <v/>
          </cell>
          <cell r="R2171" t="str">
            <v/>
          </cell>
          <cell r="S2171" t="str">
            <v/>
          </cell>
          <cell r="T2171" t="str">
            <v/>
          </cell>
          <cell r="U2171" t="str">
            <v/>
          </cell>
          <cell r="V2171" t="str">
            <v>N38</v>
          </cell>
          <cell r="W2171" t="str">
            <v/>
          </cell>
          <cell r="X2171" t="str">
            <v/>
          </cell>
          <cell r="Y2171" t="str">
            <v/>
          </cell>
          <cell r="Z2171" t="str">
            <v/>
          </cell>
          <cell r="AA2171" t="str">
            <v/>
          </cell>
          <cell r="AB2171" t="str">
            <v>PA_2253627-CC.3044-3P.1</v>
          </cell>
          <cell r="AC2171">
            <v>1</v>
          </cell>
          <cell r="AD2171" t="str">
            <v/>
          </cell>
          <cell r="AE2171">
            <v>0</v>
          </cell>
          <cell r="AF2171" t="str">
            <v/>
          </cell>
          <cell r="AG2171" t="str">
            <v>2571437</v>
          </cell>
          <cell r="AH2171">
            <v>45008.91511574074</v>
          </cell>
          <cell r="AI2171" t="str">
            <v>N38</v>
          </cell>
          <cell r="AJ2171" t="str">
            <v>F</v>
          </cell>
          <cell r="AK2171" t="str">
            <v/>
          </cell>
        </row>
        <row r="2172">
          <cell r="A2172" t="str">
            <v>0655160</v>
          </cell>
          <cell r="B2172" t="e">
            <v>#N/A</v>
          </cell>
          <cell r="C2172" t="e">
            <v>#N/A</v>
          </cell>
          <cell r="D2172" t="str">
            <v>EK65</v>
          </cell>
          <cell r="E2172" t="str">
            <v>721363</v>
          </cell>
          <cell r="F2172" t="str">
            <v>B</v>
          </cell>
          <cell r="G2172" t="str">
            <v>0655160</v>
          </cell>
          <cell r="H2172" t="str">
            <v>Gewindeplatte M8</v>
          </cell>
          <cell r="I2172">
            <v>60</v>
          </cell>
          <cell r="J2172" t="str">
            <v>Stk</v>
          </cell>
          <cell r="K2172">
            <v>45013</v>
          </cell>
          <cell r="L2172" t="str">
            <v/>
          </cell>
          <cell r="M2172" t="str">
            <v/>
          </cell>
          <cell r="N2172" t="str">
            <v/>
          </cell>
          <cell r="O2172" t="str">
            <v/>
          </cell>
          <cell r="P2172" t="str">
            <v/>
          </cell>
          <cell r="Q2172" t="str">
            <v/>
          </cell>
          <cell r="R2172" t="str">
            <v/>
          </cell>
          <cell r="S2172" t="str">
            <v/>
          </cell>
          <cell r="T2172" t="str">
            <v/>
          </cell>
          <cell r="U2172" t="str">
            <v/>
          </cell>
          <cell r="V2172" t="str">
            <v>N52</v>
          </cell>
          <cell r="W2172" t="str">
            <v/>
          </cell>
          <cell r="X2172" t="str">
            <v/>
          </cell>
          <cell r="Y2172" t="str">
            <v/>
          </cell>
          <cell r="Z2172" t="str">
            <v/>
          </cell>
          <cell r="AA2172" t="str">
            <v/>
          </cell>
          <cell r="AB2172" t="str">
            <v>PA_2197094-CE.7500-3</v>
          </cell>
          <cell r="AC2172">
            <v>4</v>
          </cell>
          <cell r="AD2172" t="str">
            <v/>
          </cell>
          <cell r="AE2172">
            <v>0</v>
          </cell>
          <cell r="AF2172" t="str">
            <v/>
          </cell>
          <cell r="AG2172" t="str">
            <v>0655160</v>
          </cell>
          <cell r="AH2172">
            <v>45009.834340277775</v>
          </cell>
          <cell r="AI2172" t="str">
            <v>N52</v>
          </cell>
          <cell r="AJ2172" t="str">
            <v>F</v>
          </cell>
          <cell r="AK2172" t="str">
            <v/>
          </cell>
        </row>
        <row r="2173">
          <cell r="A2173" t="str">
            <v>1029557</v>
          </cell>
          <cell r="B2173" t="e">
            <v>#N/A</v>
          </cell>
          <cell r="C2173" t="e">
            <v>#N/A</v>
          </cell>
          <cell r="D2173" t="str">
            <v>EK65</v>
          </cell>
          <cell r="E2173" t="str">
            <v>721366</v>
          </cell>
          <cell r="F2173" t="str">
            <v>B</v>
          </cell>
          <cell r="G2173" t="str">
            <v>1029557</v>
          </cell>
          <cell r="H2173" t="str">
            <v>Halter</v>
          </cell>
          <cell r="I2173">
            <v>30</v>
          </cell>
          <cell r="J2173" t="str">
            <v>Stk</v>
          </cell>
          <cell r="K2173">
            <v>45013</v>
          </cell>
          <cell r="L2173" t="str">
            <v/>
          </cell>
          <cell r="M2173" t="str">
            <v/>
          </cell>
          <cell r="N2173" t="str">
            <v/>
          </cell>
          <cell r="O2173" t="str">
            <v/>
          </cell>
          <cell r="P2173" t="str">
            <v/>
          </cell>
          <cell r="Q2173" t="str">
            <v/>
          </cell>
          <cell r="R2173" t="str">
            <v/>
          </cell>
          <cell r="S2173" t="str">
            <v/>
          </cell>
          <cell r="T2173" t="str">
            <v/>
          </cell>
          <cell r="U2173" t="str">
            <v/>
          </cell>
          <cell r="V2173" t="str">
            <v>N52</v>
          </cell>
          <cell r="W2173" t="str">
            <v/>
          </cell>
          <cell r="X2173" t="str">
            <v/>
          </cell>
          <cell r="Y2173" t="str">
            <v/>
          </cell>
          <cell r="Z2173" t="str">
            <v/>
          </cell>
          <cell r="AA2173" t="str">
            <v/>
          </cell>
          <cell r="AB2173" t="str">
            <v>PA_2241330-TA.7501-2</v>
          </cell>
          <cell r="AC2173">
            <v>4</v>
          </cell>
          <cell r="AD2173" t="str">
            <v/>
          </cell>
          <cell r="AE2173">
            <v>0</v>
          </cell>
          <cell r="AF2173" t="str">
            <v/>
          </cell>
          <cell r="AG2173" t="str">
            <v>1029557</v>
          </cell>
          <cell r="AH2173">
            <v>45009.834826388891</v>
          </cell>
          <cell r="AI2173" t="str">
            <v>N52</v>
          </cell>
          <cell r="AJ2173" t="str">
            <v>F</v>
          </cell>
          <cell r="AK2173" t="str">
            <v/>
          </cell>
        </row>
        <row r="2174">
          <cell r="A2174" t="str">
            <v>1080045</v>
          </cell>
          <cell r="B2174">
            <v>0</v>
          </cell>
          <cell r="C2174" t="e">
            <v>#N/A</v>
          </cell>
          <cell r="D2174" t="str">
            <v>EK65</v>
          </cell>
          <cell r="E2174" t="str">
            <v>721367</v>
          </cell>
          <cell r="F2174" t="str">
            <v>B</v>
          </cell>
          <cell r="G2174" t="str">
            <v>1080045</v>
          </cell>
          <cell r="H2174" t="str">
            <v>Beilage</v>
          </cell>
          <cell r="I2174">
            <v>1</v>
          </cell>
          <cell r="J2174" t="str">
            <v>Stk</v>
          </cell>
          <cell r="K2174">
            <v>45013</v>
          </cell>
          <cell r="L2174" t="str">
            <v/>
          </cell>
          <cell r="M2174" t="str">
            <v/>
          </cell>
          <cell r="N2174" t="str">
            <v/>
          </cell>
          <cell r="O2174" t="str">
            <v/>
          </cell>
          <cell r="P2174" t="str">
            <v/>
          </cell>
          <cell r="Q2174" t="str">
            <v/>
          </cell>
          <cell r="R2174" t="str">
            <v/>
          </cell>
          <cell r="S2174" t="str">
            <v/>
          </cell>
          <cell r="T2174" t="str">
            <v/>
          </cell>
          <cell r="U2174" t="str">
            <v/>
          </cell>
          <cell r="V2174" t="str">
            <v>N52</v>
          </cell>
          <cell r="W2174" t="str">
            <v/>
          </cell>
          <cell r="X2174" t="str">
            <v/>
          </cell>
          <cell r="Y2174" t="str">
            <v/>
          </cell>
          <cell r="Z2174" t="str">
            <v/>
          </cell>
          <cell r="AA2174" t="str">
            <v/>
          </cell>
          <cell r="AB2174" t="str">
            <v>PA_2262349-DA.7501-4P.3</v>
          </cell>
          <cell r="AC2174">
            <v>5</v>
          </cell>
          <cell r="AD2174" t="str">
            <v/>
          </cell>
          <cell r="AE2174">
            <v>0</v>
          </cell>
          <cell r="AF2174" t="str">
            <v/>
          </cell>
          <cell r="AG2174" t="str">
            <v>1080045</v>
          </cell>
          <cell r="AH2174">
            <v>45009.834872685184</v>
          </cell>
          <cell r="AI2174" t="str">
            <v>N52</v>
          </cell>
          <cell r="AJ2174" t="str">
            <v>F</v>
          </cell>
          <cell r="AK2174" t="str">
            <v/>
          </cell>
        </row>
        <row r="2175">
          <cell r="A2175" t="str">
            <v>1080045</v>
          </cell>
          <cell r="B2175">
            <v>0</v>
          </cell>
          <cell r="C2175" t="e">
            <v>#N/A</v>
          </cell>
          <cell r="D2175" t="str">
            <v>EK65</v>
          </cell>
          <cell r="E2175" t="str">
            <v>721368</v>
          </cell>
          <cell r="F2175" t="str">
            <v>B</v>
          </cell>
          <cell r="G2175" t="str">
            <v>1080045</v>
          </cell>
          <cell r="H2175" t="str">
            <v>Beilage</v>
          </cell>
          <cell r="I2175">
            <v>1</v>
          </cell>
          <cell r="J2175" t="str">
            <v>Stk</v>
          </cell>
          <cell r="K2175">
            <v>45013</v>
          </cell>
          <cell r="L2175" t="str">
            <v/>
          </cell>
          <cell r="M2175" t="str">
            <v/>
          </cell>
          <cell r="N2175" t="str">
            <v/>
          </cell>
          <cell r="O2175" t="str">
            <v/>
          </cell>
          <cell r="P2175" t="str">
            <v/>
          </cell>
          <cell r="Q2175" t="str">
            <v/>
          </cell>
          <cell r="R2175" t="str">
            <v/>
          </cell>
          <cell r="S2175" t="str">
            <v/>
          </cell>
          <cell r="T2175" t="str">
            <v/>
          </cell>
          <cell r="U2175" t="str">
            <v/>
          </cell>
          <cell r="V2175" t="str">
            <v>N52</v>
          </cell>
          <cell r="W2175" t="str">
            <v/>
          </cell>
          <cell r="X2175" t="str">
            <v/>
          </cell>
          <cell r="Y2175" t="str">
            <v/>
          </cell>
          <cell r="Z2175" t="str">
            <v/>
          </cell>
          <cell r="AA2175" t="str">
            <v/>
          </cell>
          <cell r="AB2175" t="str">
            <v>PA_2262349-DA.7501-4P.3</v>
          </cell>
          <cell r="AC2175">
            <v>5</v>
          </cell>
          <cell r="AD2175" t="str">
            <v/>
          </cell>
          <cell r="AE2175">
            <v>0</v>
          </cell>
          <cell r="AF2175" t="str">
            <v/>
          </cell>
          <cell r="AG2175" t="str">
            <v>1080045</v>
          </cell>
          <cell r="AH2175">
            <v>45009.834872685184</v>
          </cell>
          <cell r="AI2175" t="str">
            <v>N52</v>
          </cell>
          <cell r="AJ2175" t="str">
            <v>F</v>
          </cell>
          <cell r="AK2175" t="str">
            <v/>
          </cell>
        </row>
        <row r="2176">
          <cell r="A2176" t="str">
            <v>1080045</v>
          </cell>
          <cell r="B2176">
            <v>0</v>
          </cell>
          <cell r="C2176" t="e">
            <v>#N/A</v>
          </cell>
          <cell r="D2176" t="str">
            <v>EK65</v>
          </cell>
          <cell r="E2176" t="str">
            <v>721369</v>
          </cell>
          <cell r="F2176" t="str">
            <v>B</v>
          </cell>
          <cell r="G2176" t="str">
            <v>1080045</v>
          </cell>
          <cell r="H2176" t="str">
            <v>Beilage</v>
          </cell>
          <cell r="I2176">
            <v>1</v>
          </cell>
          <cell r="J2176" t="str">
            <v>Stk</v>
          </cell>
          <cell r="K2176">
            <v>45013</v>
          </cell>
          <cell r="L2176" t="str">
            <v/>
          </cell>
          <cell r="M2176" t="str">
            <v/>
          </cell>
          <cell r="N2176" t="str">
            <v/>
          </cell>
          <cell r="O2176" t="str">
            <v/>
          </cell>
          <cell r="P2176" t="str">
            <v/>
          </cell>
          <cell r="Q2176" t="str">
            <v/>
          </cell>
          <cell r="R2176" t="str">
            <v/>
          </cell>
          <cell r="S2176" t="str">
            <v/>
          </cell>
          <cell r="T2176" t="str">
            <v/>
          </cell>
          <cell r="U2176" t="str">
            <v/>
          </cell>
          <cell r="V2176" t="str">
            <v>N52</v>
          </cell>
          <cell r="W2176" t="str">
            <v/>
          </cell>
          <cell r="X2176" t="str">
            <v/>
          </cell>
          <cell r="Y2176" t="str">
            <v/>
          </cell>
          <cell r="Z2176" t="str">
            <v/>
          </cell>
          <cell r="AA2176" t="str">
            <v/>
          </cell>
          <cell r="AB2176" t="str">
            <v>PA_2262349-DA.7501-4P.3</v>
          </cell>
          <cell r="AC2176">
            <v>5</v>
          </cell>
          <cell r="AD2176" t="str">
            <v/>
          </cell>
          <cell r="AE2176">
            <v>0</v>
          </cell>
          <cell r="AF2176" t="str">
            <v/>
          </cell>
          <cell r="AG2176" t="str">
            <v>1080045</v>
          </cell>
          <cell r="AH2176">
            <v>45009.834872685184</v>
          </cell>
          <cell r="AI2176" t="str">
            <v>N52</v>
          </cell>
          <cell r="AJ2176" t="str">
            <v>F</v>
          </cell>
          <cell r="AK2176" t="str">
            <v/>
          </cell>
        </row>
        <row r="2177">
          <cell r="A2177" t="str">
            <v>1080045</v>
          </cell>
          <cell r="B2177">
            <v>0</v>
          </cell>
          <cell r="C2177" t="e">
            <v>#N/A</v>
          </cell>
          <cell r="D2177" t="str">
            <v>EK65</v>
          </cell>
          <cell r="E2177" t="str">
            <v>721370</v>
          </cell>
          <cell r="F2177" t="str">
            <v>B</v>
          </cell>
          <cell r="G2177" t="str">
            <v>1080045</v>
          </cell>
          <cell r="H2177" t="str">
            <v>Beilage</v>
          </cell>
          <cell r="I2177">
            <v>1</v>
          </cell>
          <cell r="J2177" t="str">
            <v>Stk</v>
          </cell>
          <cell r="K2177">
            <v>45013</v>
          </cell>
          <cell r="L2177" t="str">
            <v/>
          </cell>
          <cell r="M2177" t="str">
            <v/>
          </cell>
          <cell r="N2177" t="str">
            <v/>
          </cell>
          <cell r="O2177" t="str">
            <v/>
          </cell>
          <cell r="P2177" t="str">
            <v/>
          </cell>
          <cell r="Q2177" t="str">
            <v/>
          </cell>
          <cell r="R2177" t="str">
            <v/>
          </cell>
          <cell r="S2177" t="str">
            <v/>
          </cell>
          <cell r="T2177" t="str">
            <v/>
          </cell>
          <cell r="U2177" t="str">
            <v/>
          </cell>
          <cell r="V2177" t="str">
            <v>N52</v>
          </cell>
          <cell r="W2177" t="str">
            <v/>
          </cell>
          <cell r="X2177" t="str">
            <v/>
          </cell>
          <cell r="Y2177" t="str">
            <v/>
          </cell>
          <cell r="Z2177" t="str">
            <v/>
          </cell>
          <cell r="AA2177" t="str">
            <v/>
          </cell>
          <cell r="AB2177" t="str">
            <v>PA_2262349-DA.7501-4P.3</v>
          </cell>
          <cell r="AC2177">
            <v>5</v>
          </cell>
          <cell r="AD2177" t="str">
            <v/>
          </cell>
          <cell r="AE2177">
            <v>0</v>
          </cell>
          <cell r="AF2177" t="str">
            <v/>
          </cell>
          <cell r="AG2177" t="str">
            <v>1080045</v>
          </cell>
          <cell r="AH2177">
            <v>45009.834872685184</v>
          </cell>
          <cell r="AI2177" t="str">
            <v>N52</v>
          </cell>
          <cell r="AJ2177" t="str">
            <v>F</v>
          </cell>
          <cell r="AK2177" t="str">
            <v/>
          </cell>
        </row>
        <row r="2178">
          <cell r="A2178" t="str">
            <v>1080045</v>
          </cell>
          <cell r="B2178">
            <v>0</v>
          </cell>
          <cell r="C2178" t="e">
            <v>#N/A</v>
          </cell>
          <cell r="D2178" t="str">
            <v>EK65</v>
          </cell>
          <cell r="E2178" t="str">
            <v>721371</v>
          </cell>
          <cell r="F2178" t="str">
            <v>B</v>
          </cell>
          <cell r="G2178" t="str">
            <v>1080045</v>
          </cell>
          <cell r="H2178" t="str">
            <v>Beilage</v>
          </cell>
          <cell r="I2178">
            <v>1</v>
          </cell>
          <cell r="J2178" t="str">
            <v>Stk</v>
          </cell>
          <cell r="K2178">
            <v>45013</v>
          </cell>
          <cell r="L2178" t="str">
            <v/>
          </cell>
          <cell r="M2178" t="str">
            <v/>
          </cell>
          <cell r="N2178" t="str">
            <v/>
          </cell>
          <cell r="O2178" t="str">
            <v/>
          </cell>
          <cell r="P2178" t="str">
            <v/>
          </cell>
          <cell r="Q2178" t="str">
            <v/>
          </cell>
          <cell r="R2178" t="str">
            <v/>
          </cell>
          <cell r="S2178" t="str">
            <v/>
          </cell>
          <cell r="T2178" t="str">
            <v/>
          </cell>
          <cell r="U2178" t="str">
            <v/>
          </cell>
          <cell r="V2178" t="str">
            <v>N52</v>
          </cell>
          <cell r="W2178" t="str">
            <v/>
          </cell>
          <cell r="X2178" t="str">
            <v/>
          </cell>
          <cell r="Y2178" t="str">
            <v/>
          </cell>
          <cell r="Z2178" t="str">
            <v/>
          </cell>
          <cell r="AA2178" t="str">
            <v/>
          </cell>
          <cell r="AB2178" t="str">
            <v>PA_2262349-DA.7501-4P.3</v>
          </cell>
          <cell r="AC2178">
            <v>5</v>
          </cell>
          <cell r="AD2178" t="str">
            <v/>
          </cell>
          <cell r="AE2178">
            <v>0</v>
          </cell>
          <cell r="AF2178" t="str">
            <v/>
          </cell>
          <cell r="AG2178" t="str">
            <v>1080045</v>
          </cell>
          <cell r="AH2178">
            <v>45009.834872685184</v>
          </cell>
          <cell r="AI2178" t="str">
            <v>N52</v>
          </cell>
          <cell r="AJ2178" t="str">
            <v>F</v>
          </cell>
          <cell r="AK2178" t="str">
            <v/>
          </cell>
        </row>
        <row r="2179">
          <cell r="A2179" t="str">
            <v>1080045</v>
          </cell>
          <cell r="B2179">
            <v>0</v>
          </cell>
          <cell r="C2179" t="e">
            <v>#N/A</v>
          </cell>
          <cell r="D2179" t="str">
            <v>EK65</v>
          </cell>
          <cell r="E2179" t="str">
            <v>721372</v>
          </cell>
          <cell r="F2179" t="str">
            <v>B</v>
          </cell>
          <cell r="G2179" t="str">
            <v>1080045</v>
          </cell>
          <cell r="H2179" t="str">
            <v>Beilage</v>
          </cell>
          <cell r="I2179">
            <v>1</v>
          </cell>
          <cell r="J2179" t="str">
            <v>Stk</v>
          </cell>
          <cell r="K2179">
            <v>45013</v>
          </cell>
          <cell r="L2179" t="str">
            <v/>
          </cell>
          <cell r="M2179" t="str">
            <v/>
          </cell>
          <cell r="N2179" t="str">
            <v/>
          </cell>
          <cell r="O2179" t="str">
            <v/>
          </cell>
          <cell r="P2179" t="str">
            <v/>
          </cell>
          <cell r="Q2179" t="str">
            <v/>
          </cell>
          <cell r="R2179" t="str">
            <v/>
          </cell>
          <cell r="S2179" t="str">
            <v/>
          </cell>
          <cell r="T2179" t="str">
            <v/>
          </cell>
          <cell r="U2179" t="str">
            <v/>
          </cell>
          <cell r="V2179" t="str">
            <v>N52</v>
          </cell>
          <cell r="W2179" t="str">
            <v/>
          </cell>
          <cell r="X2179" t="str">
            <v/>
          </cell>
          <cell r="Y2179" t="str">
            <v/>
          </cell>
          <cell r="Z2179" t="str">
            <v/>
          </cell>
          <cell r="AA2179" t="str">
            <v/>
          </cell>
          <cell r="AB2179" t="str">
            <v>PA_2262349-DA.7501-4P.3</v>
          </cell>
          <cell r="AC2179">
            <v>5</v>
          </cell>
          <cell r="AD2179" t="str">
            <v/>
          </cell>
          <cell r="AE2179">
            <v>0</v>
          </cell>
          <cell r="AF2179" t="str">
            <v/>
          </cell>
          <cell r="AG2179" t="str">
            <v>1080045</v>
          </cell>
          <cell r="AH2179">
            <v>45009.834872685184</v>
          </cell>
          <cell r="AI2179" t="str">
            <v>N52</v>
          </cell>
          <cell r="AJ2179" t="str">
            <v>F</v>
          </cell>
          <cell r="AK2179" t="str">
            <v/>
          </cell>
        </row>
        <row r="2180">
          <cell r="A2180" t="str">
            <v>1080045</v>
          </cell>
          <cell r="B2180">
            <v>0</v>
          </cell>
          <cell r="C2180" t="e">
            <v>#N/A</v>
          </cell>
          <cell r="D2180" t="str">
            <v>EK65</v>
          </cell>
          <cell r="E2180" t="str">
            <v>721373</v>
          </cell>
          <cell r="F2180" t="str">
            <v>B</v>
          </cell>
          <cell r="G2180" t="str">
            <v>1080045</v>
          </cell>
          <cell r="H2180" t="str">
            <v>Beilage</v>
          </cell>
          <cell r="I2180">
            <v>1</v>
          </cell>
          <cell r="J2180" t="str">
            <v>Stk</v>
          </cell>
          <cell r="K2180">
            <v>45013</v>
          </cell>
          <cell r="L2180" t="str">
            <v/>
          </cell>
          <cell r="M2180" t="str">
            <v/>
          </cell>
          <cell r="N2180" t="str">
            <v/>
          </cell>
          <cell r="O2180" t="str">
            <v/>
          </cell>
          <cell r="P2180" t="str">
            <v/>
          </cell>
          <cell r="Q2180" t="str">
            <v/>
          </cell>
          <cell r="R2180" t="str">
            <v/>
          </cell>
          <cell r="S2180" t="str">
            <v/>
          </cell>
          <cell r="T2180" t="str">
            <v/>
          </cell>
          <cell r="U2180" t="str">
            <v/>
          </cell>
          <cell r="V2180" t="str">
            <v>N52</v>
          </cell>
          <cell r="W2180" t="str">
            <v/>
          </cell>
          <cell r="X2180" t="str">
            <v/>
          </cell>
          <cell r="Y2180" t="str">
            <v/>
          </cell>
          <cell r="Z2180" t="str">
            <v/>
          </cell>
          <cell r="AA2180" t="str">
            <v/>
          </cell>
          <cell r="AB2180" t="str">
            <v>PA_2262349-DA.7501-4P.3</v>
          </cell>
          <cell r="AC2180">
            <v>5</v>
          </cell>
          <cell r="AD2180" t="str">
            <v/>
          </cell>
          <cell r="AE2180">
            <v>0</v>
          </cell>
          <cell r="AF2180" t="str">
            <v/>
          </cell>
          <cell r="AG2180" t="str">
            <v>1080045</v>
          </cell>
          <cell r="AH2180">
            <v>45009.834872685184</v>
          </cell>
          <cell r="AI2180" t="str">
            <v>N52</v>
          </cell>
          <cell r="AJ2180" t="str">
            <v>F</v>
          </cell>
          <cell r="AK2180" t="str">
            <v/>
          </cell>
        </row>
        <row r="2181">
          <cell r="A2181" t="str">
            <v>1080045</v>
          </cell>
          <cell r="B2181">
            <v>0</v>
          </cell>
          <cell r="C2181" t="e">
            <v>#N/A</v>
          </cell>
          <cell r="D2181" t="str">
            <v>EK65</v>
          </cell>
          <cell r="E2181" t="str">
            <v>721374</v>
          </cell>
          <cell r="F2181" t="str">
            <v>B</v>
          </cell>
          <cell r="G2181" t="str">
            <v>1080045</v>
          </cell>
          <cell r="H2181" t="str">
            <v>Beilage</v>
          </cell>
          <cell r="I2181">
            <v>1</v>
          </cell>
          <cell r="J2181" t="str">
            <v>Stk</v>
          </cell>
          <cell r="K2181">
            <v>45013</v>
          </cell>
          <cell r="L2181" t="str">
            <v/>
          </cell>
          <cell r="M2181" t="str">
            <v/>
          </cell>
          <cell r="N2181" t="str">
            <v/>
          </cell>
          <cell r="O2181" t="str">
            <v/>
          </cell>
          <cell r="P2181" t="str">
            <v/>
          </cell>
          <cell r="Q2181" t="str">
            <v/>
          </cell>
          <cell r="R2181" t="str">
            <v/>
          </cell>
          <cell r="S2181" t="str">
            <v/>
          </cell>
          <cell r="T2181" t="str">
            <v/>
          </cell>
          <cell r="U2181" t="str">
            <v/>
          </cell>
          <cell r="V2181" t="str">
            <v>N52</v>
          </cell>
          <cell r="W2181" t="str">
            <v/>
          </cell>
          <cell r="X2181" t="str">
            <v/>
          </cell>
          <cell r="Y2181" t="str">
            <v/>
          </cell>
          <cell r="Z2181" t="str">
            <v/>
          </cell>
          <cell r="AA2181" t="str">
            <v/>
          </cell>
          <cell r="AB2181" t="str">
            <v>PA_2262349-DA.7501-4P.3</v>
          </cell>
          <cell r="AC2181">
            <v>5</v>
          </cell>
          <cell r="AD2181" t="str">
            <v/>
          </cell>
          <cell r="AE2181">
            <v>0</v>
          </cell>
          <cell r="AF2181" t="str">
            <v/>
          </cell>
          <cell r="AG2181" t="str">
            <v>1080045</v>
          </cell>
          <cell r="AH2181">
            <v>45009.834872685184</v>
          </cell>
          <cell r="AI2181" t="str">
            <v>N52</v>
          </cell>
          <cell r="AJ2181" t="str">
            <v>F</v>
          </cell>
          <cell r="AK2181" t="str">
            <v/>
          </cell>
        </row>
        <row r="2182">
          <cell r="A2182" t="str">
            <v>1080045</v>
          </cell>
          <cell r="B2182">
            <v>0</v>
          </cell>
          <cell r="C2182" t="e">
            <v>#N/A</v>
          </cell>
          <cell r="D2182" t="str">
            <v>EK65</v>
          </cell>
          <cell r="E2182" t="str">
            <v>721375</v>
          </cell>
          <cell r="F2182" t="str">
            <v>B</v>
          </cell>
          <cell r="G2182" t="str">
            <v>1080045</v>
          </cell>
          <cell r="H2182" t="str">
            <v>Beilage</v>
          </cell>
          <cell r="I2182">
            <v>1</v>
          </cell>
          <cell r="J2182" t="str">
            <v>Stk</v>
          </cell>
          <cell r="K2182">
            <v>45013</v>
          </cell>
          <cell r="L2182" t="str">
            <v/>
          </cell>
          <cell r="M2182" t="str">
            <v/>
          </cell>
          <cell r="N2182" t="str">
            <v/>
          </cell>
          <cell r="O2182" t="str">
            <v/>
          </cell>
          <cell r="P2182" t="str">
            <v/>
          </cell>
          <cell r="Q2182" t="str">
            <v/>
          </cell>
          <cell r="R2182" t="str">
            <v/>
          </cell>
          <cell r="S2182" t="str">
            <v/>
          </cell>
          <cell r="T2182" t="str">
            <v/>
          </cell>
          <cell r="U2182" t="str">
            <v/>
          </cell>
          <cell r="V2182" t="str">
            <v>N52</v>
          </cell>
          <cell r="W2182" t="str">
            <v/>
          </cell>
          <cell r="X2182" t="str">
            <v/>
          </cell>
          <cell r="Y2182" t="str">
            <v/>
          </cell>
          <cell r="Z2182" t="str">
            <v/>
          </cell>
          <cell r="AA2182" t="str">
            <v/>
          </cell>
          <cell r="AB2182" t="str">
            <v>PA_2262349-DA.7501-4P.3</v>
          </cell>
          <cell r="AC2182">
            <v>5</v>
          </cell>
          <cell r="AD2182" t="str">
            <v/>
          </cell>
          <cell r="AE2182">
            <v>0</v>
          </cell>
          <cell r="AF2182" t="str">
            <v/>
          </cell>
          <cell r="AG2182" t="str">
            <v>1080045</v>
          </cell>
          <cell r="AH2182">
            <v>45009.834872685184</v>
          </cell>
          <cell r="AI2182" t="str">
            <v>N52</v>
          </cell>
          <cell r="AJ2182" t="str">
            <v>F</v>
          </cell>
          <cell r="AK2182" t="str">
            <v/>
          </cell>
        </row>
        <row r="2183">
          <cell r="A2183" t="str">
            <v>1080045</v>
          </cell>
          <cell r="B2183">
            <v>0</v>
          </cell>
          <cell r="C2183" t="e">
            <v>#N/A</v>
          </cell>
          <cell r="D2183" t="str">
            <v>EK65</v>
          </cell>
          <cell r="E2183" t="str">
            <v>721376</v>
          </cell>
          <cell r="F2183" t="str">
            <v>B</v>
          </cell>
          <cell r="G2183" t="str">
            <v>1080045</v>
          </cell>
          <cell r="H2183" t="str">
            <v>Beilage</v>
          </cell>
          <cell r="I2183">
            <v>1</v>
          </cell>
          <cell r="J2183" t="str">
            <v>Stk</v>
          </cell>
          <cell r="K2183">
            <v>45013</v>
          </cell>
          <cell r="L2183" t="str">
            <v/>
          </cell>
          <cell r="M2183" t="str">
            <v/>
          </cell>
          <cell r="N2183" t="str">
            <v/>
          </cell>
          <cell r="O2183" t="str">
            <v/>
          </cell>
          <cell r="P2183" t="str">
            <v/>
          </cell>
          <cell r="Q2183" t="str">
            <v/>
          </cell>
          <cell r="R2183" t="str">
            <v/>
          </cell>
          <cell r="S2183" t="str">
            <v/>
          </cell>
          <cell r="T2183" t="str">
            <v/>
          </cell>
          <cell r="U2183" t="str">
            <v/>
          </cell>
          <cell r="V2183" t="str">
            <v>N52</v>
          </cell>
          <cell r="W2183" t="str">
            <v/>
          </cell>
          <cell r="X2183" t="str">
            <v/>
          </cell>
          <cell r="Y2183" t="str">
            <v/>
          </cell>
          <cell r="Z2183" t="str">
            <v/>
          </cell>
          <cell r="AA2183" t="str">
            <v/>
          </cell>
          <cell r="AB2183" t="str">
            <v>PA_2262349-DA.7501-4P.3</v>
          </cell>
          <cell r="AC2183">
            <v>5</v>
          </cell>
          <cell r="AD2183" t="str">
            <v/>
          </cell>
          <cell r="AE2183">
            <v>0</v>
          </cell>
          <cell r="AF2183" t="str">
            <v/>
          </cell>
          <cell r="AG2183" t="str">
            <v>1080045</v>
          </cell>
          <cell r="AH2183">
            <v>45009.834872685184</v>
          </cell>
          <cell r="AI2183" t="str">
            <v>N52</v>
          </cell>
          <cell r="AJ2183" t="str">
            <v>F</v>
          </cell>
          <cell r="AK2183" t="str">
            <v/>
          </cell>
        </row>
        <row r="2184">
          <cell r="A2184" t="str">
            <v>1080045</v>
          </cell>
          <cell r="B2184">
            <v>0</v>
          </cell>
          <cell r="C2184" t="e">
            <v>#N/A</v>
          </cell>
          <cell r="D2184" t="str">
            <v>EK65</v>
          </cell>
          <cell r="E2184" t="str">
            <v>721377</v>
          </cell>
          <cell r="F2184" t="str">
            <v>B</v>
          </cell>
          <cell r="G2184" t="str">
            <v>1080045</v>
          </cell>
          <cell r="H2184" t="str">
            <v>Beilage</v>
          </cell>
          <cell r="I2184">
            <v>1</v>
          </cell>
          <cell r="J2184" t="str">
            <v>Stk</v>
          </cell>
          <cell r="K2184">
            <v>45013</v>
          </cell>
          <cell r="L2184" t="str">
            <v/>
          </cell>
          <cell r="M2184" t="str">
            <v/>
          </cell>
          <cell r="N2184" t="str">
            <v/>
          </cell>
          <cell r="O2184" t="str">
            <v/>
          </cell>
          <cell r="P2184" t="str">
            <v/>
          </cell>
          <cell r="Q2184" t="str">
            <v/>
          </cell>
          <cell r="R2184" t="str">
            <v/>
          </cell>
          <cell r="S2184" t="str">
            <v/>
          </cell>
          <cell r="T2184" t="str">
            <v/>
          </cell>
          <cell r="U2184" t="str">
            <v/>
          </cell>
          <cell r="V2184" t="str">
            <v>N52</v>
          </cell>
          <cell r="W2184" t="str">
            <v/>
          </cell>
          <cell r="X2184" t="str">
            <v/>
          </cell>
          <cell r="Y2184" t="str">
            <v/>
          </cell>
          <cell r="Z2184" t="str">
            <v/>
          </cell>
          <cell r="AA2184" t="str">
            <v/>
          </cell>
          <cell r="AB2184" t="str">
            <v>PA_2262349-DA.7501-4P.3</v>
          </cell>
          <cell r="AC2184">
            <v>5</v>
          </cell>
          <cell r="AD2184" t="str">
            <v/>
          </cell>
          <cell r="AE2184">
            <v>0</v>
          </cell>
          <cell r="AF2184" t="str">
            <v/>
          </cell>
          <cell r="AG2184" t="str">
            <v>1080045</v>
          </cell>
          <cell r="AH2184">
            <v>45009.834872685184</v>
          </cell>
          <cell r="AI2184" t="str">
            <v>N52</v>
          </cell>
          <cell r="AJ2184" t="str">
            <v>F</v>
          </cell>
          <cell r="AK2184" t="str">
            <v/>
          </cell>
        </row>
        <row r="2185">
          <cell r="A2185" t="str">
            <v>1080045</v>
          </cell>
          <cell r="B2185">
            <v>0</v>
          </cell>
          <cell r="C2185" t="e">
            <v>#N/A</v>
          </cell>
          <cell r="D2185" t="str">
            <v>EK65</v>
          </cell>
          <cell r="E2185" t="str">
            <v>721378</v>
          </cell>
          <cell r="F2185" t="str">
            <v>B</v>
          </cell>
          <cell r="G2185" t="str">
            <v>1080045</v>
          </cell>
          <cell r="H2185" t="str">
            <v>Beilage</v>
          </cell>
          <cell r="I2185">
            <v>1</v>
          </cell>
          <cell r="J2185" t="str">
            <v>Stk</v>
          </cell>
          <cell r="K2185">
            <v>45013</v>
          </cell>
          <cell r="L2185" t="str">
            <v/>
          </cell>
          <cell r="M2185" t="str">
            <v/>
          </cell>
          <cell r="N2185" t="str">
            <v/>
          </cell>
          <cell r="O2185" t="str">
            <v/>
          </cell>
          <cell r="P2185" t="str">
            <v/>
          </cell>
          <cell r="Q2185" t="str">
            <v/>
          </cell>
          <cell r="R2185" t="str">
            <v/>
          </cell>
          <cell r="S2185" t="str">
            <v/>
          </cell>
          <cell r="T2185" t="str">
            <v/>
          </cell>
          <cell r="U2185" t="str">
            <v/>
          </cell>
          <cell r="V2185" t="str">
            <v>N52</v>
          </cell>
          <cell r="W2185" t="str">
            <v/>
          </cell>
          <cell r="X2185" t="str">
            <v/>
          </cell>
          <cell r="Y2185" t="str">
            <v/>
          </cell>
          <cell r="Z2185" t="str">
            <v/>
          </cell>
          <cell r="AA2185" t="str">
            <v/>
          </cell>
          <cell r="AB2185" t="str">
            <v>PA_2262349-DA.7501-4P.3</v>
          </cell>
          <cell r="AC2185">
            <v>5</v>
          </cell>
          <cell r="AD2185" t="str">
            <v/>
          </cell>
          <cell r="AE2185">
            <v>0</v>
          </cell>
          <cell r="AF2185" t="str">
            <v/>
          </cell>
          <cell r="AG2185" t="str">
            <v>1080045</v>
          </cell>
          <cell r="AH2185">
            <v>45009.834872685184</v>
          </cell>
          <cell r="AI2185" t="str">
            <v>N52</v>
          </cell>
          <cell r="AJ2185" t="str">
            <v>F</v>
          </cell>
          <cell r="AK2185" t="str">
            <v/>
          </cell>
        </row>
        <row r="2186">
          <cell r="A2186" t="str">
            <v>1080045</v>
          </cell>
          <cell r="B2186">
            <v>0</v>
          </cell>
          <cell r="C2186" t="e">
            <v>#N/A</v>
          </cell>
          <cell r="D2186" t="str">
            <v>EK65</v>
          </cell>
          <cell r="E2186" t="str">
            <v>721379</v>
          </cell>
          <cell r="F2186" t="str">
            <v>B</v>
          </cell>
          <cell r="G2186" t="str">
            <v>1080045</v>
          </cell>
          <cell r="H2186" t="str">
            <v>Beilage</v>
          </cell>
          <cell r="I2186">
            <v>1</v>
          </cell>
          <cell r="J2186" t="str">
            <v>Stk</v>
          </cell>
          <cell r="K2186">
            <v>45013</v>
          </cell>
          <cell r="L2186" t="str">
            <v/>
          </cell>
          <cell r="M2186" t="str">
            <v/>
          </cell>
          <cell r="N2186" t="str">
            <v/>
          </cell>
          <cell r="O2186" t="str">
            <v/>
          </cell>
          <cell r="P2186" t="str">
            <v/>
          </cell>
          <cell r="Q2186" t="str">
            <v/>
          </cell>
          <cell r="R2186" t="str">
            <v/>
          </cell>
          <cell r="S2186" t="str">
            <v/>
          </cell>
          <cell r="T2186" t="str">
            <v/>
          </cell>
          <cell r="U2186" t="str">
            <v/>
          </cell>
          <cell r="V2186" t="str">
            <v>N52</v>
          </cell>
          <cell r="W2186" t="str">
            <v/>
          </cell>
          <cell r="X2186" t="str">
            <v/>
          </cell>
          <cell r="Y2186" t="str">
            <v/>
          </cell>
          <cell r="Z2186" t="str">
            <v/>
          </cell>
          <cell r="AA2186" t="str">
            <v/>
          </cell>
          <cell r="AB2186" t="str">
            <v>PA_2262349-DA.7501-4P.3</v>
          </cell>
          <cell r="AC2186">
            <v>5</v>
          </cell>
          <cell r="AD2186" t="str">
            <v/>
          </cell>
          <cell r="AE2186">
            <v>0</v>
          </cell>
          <cell r="AF2186" t="str">
            <v/>
          </cell>
          <cell r="AG2186" t="str">
            <v>1080045</v>
          </cell>
          <cell r="AH2186">
            <v>45009.83488425926</v>
          </cell>
          <cell r="AI2186" t="str">
            <v>N52</v>
          </cell>
          <cell r="AJ2186" t="str">
            <v>F</v>
          </cell>
          <cell r="AK2186" t="str">
            <v/>
          </cell>
        </row>
        <row r="2187">
          <cell r="A2187" t="str">
            <v>1080045</v>
          </cell>
          <cell r="B2187">
            <v>0</v>
          </cell>
          <cell r="C2187" t="e">
            <v>#N/A</v>
          </cell>
          <cell r="D2187" t="str">
            <v>EK65</v>
          </cell>
          <cell r="E2187" t="str">
            <v>721380</v>
          </cell>
          <cell r="F2187" t="str">
            <v>B</v>
          </cell>
          <cell r="G2187" t="str">
            <v>1080045</v>
          </cell>
          <cell r="H2187" t="str">
            <v>Beilage</v>
          </cell>
          <cell r="I2187">
            <v>1</v>
          </cell>
          <cell r="J2187" t="str">
            <v>Stk</v>
          </cell>
          <cell r="K2187">
            <v>45013</v>
          </cell>
          <cell r="L2187" t="str">
            <v/>
          </cell>
          <cell r="M2187" t="str">
            <v/>
          </cell>
          <cell r="N2187" t="str">
            <v/>
          </cell>
          <cell r="O2187" t="str">
            <v/>
          </cell>
          <cell r="P2187" t="str">
            <v/>
          </cell>
          <cell r="Q2187" t="str">
            <v/>
          </cell>
          <cell r="R2187" t="str">
            <v/>
          </cell>
          <cell r="S2187" t="str">
            <v/>
          </cell>
          <cell r="T2187" t="str">
            <v/>
          </cell>
          <cell r="U2187" t="str">
            <v/>
          </cell>
          <cell r="V2187" t="str">
            <v>N52</v>
          </cell>
          <cell r="W2187" t="str">
            <v/>
          </cell>
          <cell r="X2187" t="str">
            <v/>
          </cell>
          <cell r="Y2187" t="str">
            <v/>
          </cell>
          <cell r="Z2187" t="str">
            <v/>
          </cell>
          <cell r="AA2187" t="str">
            <v/>
          </cell>
          <cell r="AB2187" t="str">
            <v>PA_2262349-DA.7501-4P.3</v>
          </cell>
          <cell r="AC2187">
            <v>5</v>
          </cell>
          <cell r="AD2187" t="str">
            <v/>
          </cell>
          <cell r="AE2187">
            <v>0</v>
          </cell>
          <cell r="AF2187" t="str">
            <v/>
          </cell>
          <cell r="AG2187" t="str">
            <v>1080045</v>
          </cell>
          <cell r="AH2187">
            <v>45009.83488425926</v>
          </cell>
          <cell r="AI2187" t="str">
            <v>N52</v>
          </cell>
          <cell r="AJ2187" t="str">
            <v>F</v>
          </cell>
          <cell r="AK2187" t="str">
            <v/>
          </cell>
        </row>
        <row r="2188">
          <cell r="A2188" t="str">
            <v>1080045</v>
          </cell>
          <cell r="B2188">
            <v>0</v>
          </cell>
          <cell r="C2188" t="e">
            <v>#N/A</v>
          </cell>
          <cell r="D2188" t="str">
            <v>EK65</v>
          </cell>
          <cell r="E2188" t="str">
            <v>721381</v>
          </cell>
          <cell r="F2188" t="str">
            <v>B</v>
          </cell>
          <cell r="G2188" t="str">
            <v>1080045</v>
          </cell>
          <cell r="H2188" t="str">
            <v>Beilage</v>
          </cell>
          <cell r="I2188">
            <v>1</v>
          </cell>
          <cell r="J2188" t="str">
            <v>Stk</v>
          </cell>
          <cell r="K2188">
            <v>45013</v>
          </cell>
          <cell r="L2188" t="str">
            <v/>
          </cell>
          <cell r="M2188" t="str">
            <v/>
          </cell>
          <cell r="N2188" t="str">
            <v/>
          </cell>
          <cell r="O2188" t="str">
            <v/>
          </cell>
          <cell r="P2188" t="str">
            <v/>
          </cell>
          <cell r="Q2188" t="str">
            <v/>
          </cell>
          <cell r="R2188" t="str">
            <v/>
          </cell>
          <cell r="S2188" t="str">
            <v/>
          </cell>
          <cell r="T2188" t="str">
            <v/>
          </cell>
          <cell r="U2188" t="str">
            <v/>
          </cell>
          <cell r="V2188" t="str">
            <v>N52</v>
          </cell>
          <cell r="W2188" t="str">
            <v/>
          </cell>
          <cell r="X2188" t="str">
            <v/>
          </cell>
          <cell r="Y2188" t="str">
            <v/>
          </cell>
          <cell r="Z2188" t="str">
            <v/>
          </cell>
          <cell r="AA2188" t="str">
            <v/>
          </cell>
          <cell r="AB2188" t="str">
            <v>PA_2262349-DA.7501-4P.3</v>
          </cell>
          <cell r="AC2188">
            <v>5</v>
          </cell>
          <cell r="AD2188" t="str">
            <v/>
          </cell>
          <cell r="AE2188">
            <v>0</v>
          </cell>
          <cell r="AF2188" t="str">
            <v/>
          </cell>
          <cell r="AG2188" t="str">
            <v>1080045</v>
          </cell>
          <cell r="AH2188">
            <v>45009.83488425926</v>
          </cell>
          <cell r="AI2188" t="str">
            <v>N52</v>
          </cell>
          <cell r="AJ2188" t="str">
            <v>F</v>
          </cell>
          <cell r="AK2188" t="str">
            <v/>
          </cell>
        </row>
        <row r="2189">
          <cell r="A2189" t="str">
            <v>1080045</v>
          </cell>
          <cell r="B2189">
            <v>0</v>
          </cell>
          <cell r="C2189" t="e">
            <v>#N/A</v>
          </cell>
          <cell r="D2189" t="str">
            <v>EK65</v>
          </cell>
          <cell r="E2189" t="str">
            <v>721382</v>
          </cell>
          <cell r="F2189" t="str">
            <v>B</v>
          </cell>
          <cell r="G2189" t="str">
            <v>1080045</v>
          </cell>
          <cell r="H2189" t="str">
            <v>Beilage</v>
          </cell>
          <cell r="I2189">
            <v>1</v>
          </cell>
          <cell r="J2189" t="str">
            <v>Stk</v>
          </cell>
          <cell r="K2189">
            <v>45013</v>
          </cell>
          <cell r="L2189" t="str">
            <v/>
          </cell>
          <cell r="M2189" t="str">
            <v/>
          </cell>
          <cell r="N2189" t="str">
            <v/>
          </cell>
          <cell r="O2189" t="str">
            <v/>
          </cell>
          <cell r="P2189" t="str">
            <v/>
          </cell>
          <cell r="Q2189" t="str">
            <v/>
          </cell>
          <cell r="R2189" t="str">
            <v/>
          </cell>
          <cell r="S2189" t="str">
            <v/>
          </cell>
          <cell r="T2189" t="str">
            <v/>
          </cell>
          <cell r="U2189" t="str">
            <v/>
          </cell>
          <cell r="V2189" t="str">
            <v>N52</v>
          </cell>
          <cell r="W2189" t="str">
            <v/>
          </cell>
          <cell r="X2189" t="str">
            <v/>
          </cell>
          <cell r="Y2189" t="str">
            <v/>
          </cell>
          <cell r="Z2189" t="str">
            <v/>
          </cell>
          <cell r="AA2189" t="str">
            <v/>
          </cell>
          <cell r="AB2189" t="str">
            <v>PA_2262349-DA.7501-4P.3</v>
          </cell>
          <cell r="AC2189">
            <v>5</v>
          </cell>
          <cell r="AD2189" t="str">
            <v/>
          </cell>
          <cell r="AE2189">
            <v>0</v>
          </cell>
          <cell r="AF2189" t="str">
            <v/>
          </cell>
          <cell r="AG2189" t="str">
            <v>1080045</v>
          </cell>
          <cell r="AH2189">
            <v>45009.83488425926</v>
          </cell>
          <cell r="AI2189" t="str">
            <v>N52</v>
          </cell>
          <cell r="AJ2189" t="str">
            <v>F</v>
          </cell>
          <cell r="AK2189" t="str">
            <v/>
          </cell>
        </row>
        <row r="2190">
          <cell r="A2190" t="str">
            <v>1080045</v>
          </cell>
          <cell r="B2190">
            <v>0</v>
          </cell>
          <cell r="C2190" t="e">
            <v>#N/A</v>
          </cell>
          <cell r="D2190" t="str">
            <v>EK65</v>
          </cell>
          <cell r="E2190" t="str">
            <v>721383</v>
          </cell>
          <cell r="F2190" t="str">
            <v>B</v>
          </cell>
          <cell r="G2190" t="str">
            <v>1080045</v>
          </cell>
          <cell r="H2190" t="str">
            <v>Beilage</v>
          </cell>
          <cell r="I2190">
            <v>1</v>
          </cell>
          <cell r="J2190" t="str">
            <v>Stk</v>
          </cell>
          <cell r="K2190">
            <v>45013</v>
          </cell>
          <cell r="L2190" t="str">
            <v/>
          </cell>
          <cell r="M2190" t="str">
            <v/>
          </cell>
          <cell r="N2190" t="str">
            <v/>
          </cell>
          <cell r="O2190" t="str">
            <v/>
          </cell>
          <cell r="P2190" t="str">
            <v/>
          </cell>
          <cell r="Q2190" t="str">
            <v/>
          </cell>
          <cell r="R2190" t="str">
            <v/>
          </cell>
          <cell r="S2190" t="str">
            <v/>
          </cell>
          <cell r="T2190" t="str">
            <v/>
          </cell>
          <cell r="U2190" t="str">
            <v/>
          </cell>
          <cell r="V2190" t="str">
            <v>N52</v>
          </cell>
          <cell r="W2190" t="str">
            <v/>
          </cell>
          <cell r="X2190" t="str">
            <v/>
          </cell>
          <cell r="Y2190" t="str">
            <v/>
          </cell>
          <cell r="Z2190" t="str">
            <v/>
          </cell>
          <cell r="AA2190" t="str">
            <v/>
          </cell>
          <cell r="AB2190" t="str">
            <v>PA_2262349-DA.7501-4P.3</v>
          </cell>
          <cell r="AC2190">
            <v>5</v>
          </cell>
          <cell r="AD2190" t="str">
            <v/>
          </cell>
          <cell r="AE2190">
            <v>0</v>
          </cell>
          <cell r="AF2190" t="str">
            <v/>
          </cell>
          <cell r="AG2190" t="str">
            <v>1080045</v>
          </cell>
          <cell r="AH2190">
            <v>45009.83488425926</v>
          </cell>
          <cell r="AI2190" t="str">
            <v>N52</v>
          </cell>
          <cell r="AJ2190" t="str">
            <v>F</v>
          </cell>
          <cell r="AK2190" t="str">
            <v/>
          </cell>
        </row>
        <row r="2191">
          <cell r="A2191" t="str">
            <v>1080045</v>
          </cell>
          <cell r="B2191">
            <v>0</v>
          </cell>
          <cell r="C2191" t="e">
            <v>#N/A</v>
          </cell>
          <cell r="D2191" t="str">
            <v>EK65</v>
          </cell>
          <cell r="E2191" t="str">
            <v>721384</v>
          </cell>
          <cell r="F2191" t="str">
            <v>B</v>
          </cell>
          <cell r="G2191" t="str">
            <v>1080045</v>
          </cell>
          <cell r="H2191" t="str">
            <v>Beilage</v>
          </cell>
          <cell r="I2191">
            <v>1</v>
          </cell>
          <cell r="J2191" t="str">
            <v>Stk</v>
          </cell>
          <cell r="K2191">
            <v>45013</v>
          </cell>
          <cell r="L2191" t="str">
            <v/>
          </cell>
          <cell r="M2191" t="str">
            <v/>
          </cell>
          <cell r="N2191" t="str">
            <v/>
          </cell>
          <cell r="O2191" t="str">
            <v/>
          </cell>
          <cell r="P2191" t="str">
            <v/>
          </cell>
          <cell r="Q2191" t="str">
            <v/>
          </cell>
          <cell r="R2191" t="str">
            <v/>
          </cell>
          <cell r="S2191" t="str">
            <v/>
          </cell>
          <cell r="T2191" t="str">
            <v/>
          </cell>
          <cell r="U2191" t="str">
            <v/>
          </cell>
          <cell r="V2191" t="str">
            <v>N52</v>
          </cell>
          <cell r="W2191" t="str">
            <v/>
          </cell>
          <cell r="X2191" t="str">
            <v/>
          </cell>
          <cell r="Y2191" t="str">
            <v/>
          </cell>
          <cell r="Z2191" t="str">
            <v/>
          </cell>
          <cell r="AA2191" t="str">
            <v/>
          </cell>
          <cell r="AB2191" t="str">
            <v>PA_2262349-DA.7501-4P.3</v>
          </cell>
          <cell r="AC2191">
            <v>5</v>
          </cell>
          <cell r="AD2191" t="str">
            <v/>
          </cell>
          <cell r="AE2191">
            <v>0</v>
          </cell>
          <cell r="AF2191" t="str">
            <v/>
          </cell>
          <cell r="AG2191" t="str">
            <v>1080045</v>
          </cell>
          <cell r="AH2191">
            <v>45009.83488425926</v>
          </cell>
          <cell r="AI2191" t="str">
            <v>N52</v>
          </cell>
          <cell r="AJ2191" t="str">
            <v>F</v>
          </cell>
          <cell r="AK2191" t="str">
            <v/>
          </cell>
        </row>
        <row r="2192">
          <cell r="A2192" t="str">
            <v>1080045</v>
          </cell>
          <cell r="B2192">
            <v>0</v>
          </cell>
          <cell r="C2192" t="e">
            <v>#N/A</v>
          </cell>
          <cell r="D2192" t="str">
            <v>EK65</v>
          </cell>
          <cell r="E2192" t="str">
            <v>721385</v>
          </cell>
          <cell r="F2192" t="str">
            <v>B</v>
          </cell>
          <cell r="G2192" t="str">
            <v>1080045</v>
          </cell>
          <cell r="H2192" t="str">
            <v>Beilage</v>
          </cell>
          <cell r="I2192">
            <v>1</v>
          </cell>
          <cell r="J2192" t="str">
            <v>Stk</v>
          </cell>
          <cell r="K2192">
            <v>45013</v>
          </cell>
          <cell r="L2192" t="str">
            <v/>
          </cell>
          <cell r="M2192" t="str">
            <v/>
          </cell>
          <cell r="N2192" t="str">
            <v/>
          </cell>
          <cell r="O2192" t="str">
            <v/>
          </cell>
          <cell r="P2192" t="str">
            <v/>
          </cell>
          <cell r="Q2192" t="str">
            <v/>
          </cell>
          <cell r="R2192" t="str">
            <v/>
          </cell>
          <cell r="S2192" t="str">
            <v/>
          </cell>
          <cell r="T2192" t="str">
            <v/>
          </cell>
          <cell r="U2192" t="str">
            <v/>
          </cell>
          <cell r="V2192" t="str">
            <v>N52</v>
          </cell>
          <cell r="W2192" t="str">
            <v/>
          </cell>
          <cell r="X2192" t="str">
            <v/>
          </cell>
          <cell r="Y2192" t="str">
            <v/>
          </cell>
          <cell r="Z2192" t="str">
            <v/>
          </cell>
          <cell r="AA2192" t="str">
            <v/>
          </cell>
          <cell r="AB2192" t="str">
            <v>PA_2262349-DA.7501-4P.3</v>
          </cell>
          <cell r="AC2192">
            <v>5</v>
          </cell>
          <cell r="AD2192" t="str">
            <v/>
          </cell>
          <cell r="AE2192">
            <v>0</v>
          </cell>
          <cell r="AF2192" t="str">
            <v/>
          </cell>
          <cell r="AG2192" t="str">
            <v>1080045</v>
          </cell>
          <cell r="AH2192">
            <v>45009.83488425926</v>
          </cell>
          <cell r="AI2192" t="str">
            <v>N52</v>
          </cell>
          <cell r="AJ2192" t="str">
            <v>F</v>
          </cell>
          <cell r="AK2192" t="str">
            <v/>
          </cell>
        </row>
        <row r="2193">
          <cell r="A2193" t="str">
            <v>1080045</v>
          </cell>
          <cell r="B2193">
            <v>0</v>
          </cell>
          <cell r="C2193" t="e">
            <v>#N/A</v>
          </cell>
          <cell r="D2193" t="str">
            <v>EK65</v>
          </cell>
          <cell r="E2193" t="str">
            <v>721386</v>
          </cell>
          <cell r="F2193" t="str">
            <v>B</v>
          </cell>
          <cell r="G2193" t="str">
            <v>1080045</v>
          </cell>
          <cell r="H2193" t="str">
            <v>Beilage</v>
          </cell>
          <cell r="I2193">
            <v>1</v>
          </cell>
          <cell r="J2193" t="str">
            <v>Stk</v>
          </cell>
          <cell r="K2193">
            <v>45013</v>
          </cell>
          <cell r="L2193" t="str">
            <v/>
          </cell>
          <cell r="M2193" t="str">
            <v/>
          </cell>
          <cell r="N2193" t="str">
            <v/>
          </cell>
          <cell r="O2193" t="str">
            <v/>
          </cell>
          <cell r="P2193" t="str">
            <v/>
          </cell>
          <cell r="Q2193" t="str">
            <v/>
          </cell>
          <cell r="R2193" t="str">
            <v/>
          </cell>
          <cell r="S2193" t="str">
            <v/>
          </cell>
          <cell r="T2193" t="str">
            <v/>
          </cell>
          <cell r="U2193" t="str">
            <v/>
          </cell>
          <cell r="V2193" t="str">
            <v>N52</v>
          </cell>
          <cell r="W2193" t="str">
            <v/>
          </cell>
          <cell r="X2193" t="str">
            <v/>
          </cell>
          <cell r="Y2193" t="str">
            <v/>
          </cell>
          <cell r="Z2193" t="str">
            <v/>
          </cell>
          <cell r="AA2193" t="str">
            <v/>
          </cell>
          <cell r="AB2193" t="str">
            <v>PA_2262349-DA.7501-4P.3</v>
          </cell>
          <cell r="AC2193">
            <v>5</v>
          </cell>
          <cell r="AD2193" t="str">
            <v/>
          </cell>
          <cell r="AE2193">
            <v>0</v>
          </cell>
          <cell r="AF2193" t="str">
            <v/>
          </cell>
          <cell r="AG2193" t="str">
            <v>1080045</v>
          </cell>
          <cell r="AH2193">
            <v>45009.83488425926</v>
          </cell>
          <cell r="AI2193" t="str">
            <v>N52</v>
          </cell>
          <cell r="AJ2193" t="str">
            <v>F</v>
          </cell>
          <cell r="AK2193" t="str">
            <v/>
          </cell>
        </row>
        <row r="2194">
          <cell r="A2194" t="str">
            <v>1080045</v>
          </cell>
          <cell r="B2194">
            <v>0</v>
          </cell>
          <cell r="C2194" t="e">
            <v>#N/A</v>
          </cell>
          <cell r="D2194" t="str">
            <v>EK65</v>
          </cell>
          <cell r="E2194" t="str">
            <v>721387</v>
          </cell>
          <cell r="F2194" t="str">
            <v>B</v>
          </cell>
          <cell r="G2194" t="str">
            <v>1080045</v>
          </cell>
          <cell r="H2194" t="str">
            <v>Beilage</v>
          </cell>
          <cell r="I2194">
            <v>1</v>
          </cell>
          <cell r="J2194" t="str">
            <v>Stk</v>
          </cell>
          <cell r="K2194">
            <v>45013</v>
          </cell>
          <cell r="L2194" t="str">
            <v/>
          </cell>
          <cell r="M2194" t="str">
            <v/>
          </cell>
          <cell r="N2194" t="str">
            <v/>
          </cell>
          <cell r="O2194" t="str">
            <v/>
          </cell>
          <cell r="P2194" t="str">
            <v/>
          </cell>
          <cell r="Q2194" t="str">
            <v/>
          </cell>
          <cell r="R2194" t="str">
            <v/>
          </cell>
          <cell r="S2194" t="str">
            <v/>
          </cell>
          <cell r="T2194" t="str">
            <v/>
          </cell>
          <cell r="U2194" t="str">
            <v/>
          </cell>
          <cell r="V2194" t="str">
            <v>N52</v>
          </cell>
          <cell r="W2194" t="str">
            <v/>
          </cell>
          <cell r="X2194" t="str">
            <v/>
          </cell>
          <cell r="Y2194" t="str">
            <v/>
          </cell>
          <cell r="Z2194" t="str">
            <v/>
          </cell>
          <cell r="AA2194" t="str">
            <v/>
          </cell>
          <cell r="AB2194" t="str">
            <v>PA_2262349-DA.7501-4P.3</v>
          </cell>
          <cell r="AC2194">
            <v>5</v>
          </cell>
          <cell r="AD2194" t="str">
            <v/>
          </cell>
          <cell r="AE2194">
            <v>0</v>
          </cell>
          <cell r="AF2194" t="str">
            <v/>
          </cell>
          <cell r="AG2194" t="str">
            <v>1080045</v>
          </cell>
          <cell r="AH2194">
            <v>45009.83488425926</v>
          </cell>
          <cell r="AI2194" t="str">
            <v>N52</v>
          </cell>
          <cell r="AJ2194" t="str">
            <v>F</v>
          </cell>
          <cell r="AK2194" t="str">
            <v/>
          </cell>
        </row>
        <row r="2195">
          <cell r="A2195" t="str">
            <v>1080045</v>
          </cell>
          <cell r="B2195">
            <v>0</v>
          </cell>
          <cell r="C2195" t="e">
            <v>#N/A</v>
          </cell>
          <cell r="D2195" t="str">
            <v>EK65</v>
          </cell>
          <cell r="E2195" t="str">
            <v>721388</v>
          </cell>
          <cell r="F2195" t="str">
            <v>B</v>
          </cell>
          <cell r="G2195" t="str">
            <v>1080045</v>
          </cell>
          <cell r="H2195" t="str">
            <v>Beilage</v>
          </cell>
          <cell r="I2195">
            <v>1</v>
          </cell>
          <cell r="J2195" t="str">
            <v>Stk</v>
          </cell>
          <cell r="K2195">
            <v>45013</v>
          </cell>
          <cell r="L2195" t="str">
            <v/>
          </cell>
          <cell r="M2195" t="str">
            <v/>
          </cell>
          <cell r="N2195" t="str">
            <v/>
          </cell>
          <cell r="O2195" t="str">
            <v/>
          </cell>
          <cell r="P2195" t="str">
            <v/>
          </cell>
          <cell r="Q2195" t="str">
            <v/>
          </cell>
          <cell r="R2195" t="str">
            <v/>
          </cell>
          <cell r="S2195" t="str">
            <v/>
          </cell>
          <cell r="T2195" t="str">
            <v/>
          </cell>
          <cell r="U2195" t="str">
            <v/>
          </cell>
          <cell r="V2195" t="str">
            <v>N52</v>
          </cell>
          <cell r="W2195" t="str">
            <v/>
          </cell>
          <cell r="X2195" t="str">
            <v/>
          </cell>
          <cell r="Y2195" t="str">
            <v/>
          </cell>
          <cell r="Z2195" t="str">
            <v/>
          </cell>
          <cell r="AA2195" t="str">
            <v/>
          </cell>
          <cell r="AB2195" t="str">
            <v>PA_2262349-DA.7501-4P.3</v>
          </cell>
          <cell r="AC2195">
            <v>5</v>
          </cell>
          <cell r="AD2195" t="str">
            <v/>
          </cell>
          <cell r="AE2195">
            <v>0</v>
          </cell>
          <cell r="AF2195" t="str">
            <v/>
          </cell>
          <cell r="AG2195" t="str">
            <v>1080045</v>
          </cell>
          <cell r="AH2195">
            <v>45009.83488425926</v>
          </cell>
          <cell r="AI2195" t="str">
            <v>N52</v>
          </cell>
          <cell r="AJ2195" t="str">
            <v>F</v>
          </cell>
          <cell r="AK2195" t="str">
            <v/>
          </cell>
        </row>
        <row r="2196">
          <cell r="A2196" t="str">
            <v>1080045</v>
          </cell>
          <cell r="B2196">
            <v>0</v>
          </cell>
          <cell r="C2196" t="e">
            <v>#N/A</v>
          </cell>
          <cell r="D2196" t="str">
            <v>EK65</v>
          </cell>
          <cell r="E2196" t="str">
            <v>721389</v>
          </cell>
          <cell r="F2196" t="str">
            <v>B</v>
          </cell>
          <cell r="G2196" t="str">
            <v>1080045</v>
          </cell>
          <cell r="H2196" t="str">
            <v>Beilage</v>
          </cell>
          <cell r="I2196">
            <v>1</v>
          </cell>
          <cell r="J2196" t="str">
            <v>Stk</v>
          </cell>
          <cell r="K2196">
            <v>45013</v>
          </cell>
          <cell r="L2196" t="str">
            <v/>
          </cell>
          <cell r="M2196" t="str">
            <v/>
          </cell>
          <cell r="N2196" t="str">
            <v/>
          </cell>
          <cell r="O2196" t="str">
            <v/>
          </cell>
          <cell r="P2196" t="str">
            <v/>
          </cell>
          <cell r="Q2196" t="str">
            <v/>
          </cell>
          <cell r="R2196" t="str">
            <v/>
          </cell>
          <cell r="S2196" t="str">
            <v/>
          </cell>
          <cell r="T2196" t="str">
            <v/>
          </cell>
          <cell r="U2196" t="str">
            <v/>
          </cell>
          <cell r="V2196" t="str">
            <v>N52</v>
          </cell>
          <cell r="W2196" t="str">
            <v/>
          </cell>
          <cell r="X2196" t="str">
            <v/>
          </cell>
          <cell r="Y2196" t="str">
            <v/>
          </cell>
          <cell r="Z2196" t="str">
            <v/>
          </cell>
          <cell r="AA2196" t="str">
            <v/>
          </cell>
          <cell r="AB2196" t="str">
            <v>PA_2262349-DA.7501-4P.3</v>
          </cell>
          <cell r="AC2196">
            <v>5</v>
          </cell>
          <cell r="AD2196" t="str">
            <v/>
          </cell>
          <cell r="AE2196">
            <v>0</v>
          </cell>
          <cell r="AF2196" t="str">
            <v/>
          </cell>
          <cell r="AG2196" t="str">
            <v>1080045</v>
          </cell>
          <cell r="AH2196">
            <v>45009.83488425926</v>
          </cell>
          <cell r="AI2196" t="str">
            <v>N52</v>
          </cell>
          <cell r="AJ2196" t="str">
            <v>F</v>
          </cell>
          <cell r="AK2196" t="str">
            <v/>
          </cell>
        </row>
        <row r="2197">
          <cell r="A2197" t="str">
            <v>1080045</v>
          </cell>
          <cell r="B2197">
            <v>0</v>
          </cell>
          <cell r="C2197" t="e">
            <v>#N/A</v>
          </cell>
          <cell r="D2197" t="str">
            <v>EK65</v>
          </cell>
          <cell r="E2197" t="str">
            <v>721390</v>
          </cell>
          <cell r="F2197" t="str">
            <v>B</v>
          </cell>
          <cell r="G2197" t="str">
            <v>1080045</v>
          </cell>
          <cell r="H2197" t="str">
            <v>Beilage</v>
          </cell>
          <cell r="I2197">
            <v>1</v>
          </cell>
          <cell r="J2197" t="str">
            <v>Stk</v>
          </cell>
          <cell r="K2197">
            <v>45013</v>
          </cell>
          <cell r="L2197" t="str">
            <v/>
          </cell>
          <cell r="M2197" t="str">
            <v/>
          </cell>
          <cell r="N2197" t="str">
            <v/>
          </cell>
          <cell r="O2197" t="str">
            <v/>
          </cell>
          <cell r="P2197" t="str">
            <v/>
          </cell>
          <cell r="Q2197" t="str">
            <v/>
          </cell>
          <cell r="R2197" t="str">
            <v/>
          </cell>
          <cell r="S2197" t="str">
            <v/>
          </cell>
          <cell r="T2197" t="str">
            <v/>
          </cell>
          <cell r="U2197" t="str">
            <v/>
          </cell>
          <cell r="V2197" t="str">
            <v>N52</v>
          </cell>
          <cell r="W2197" t="str">
            <v/>
          </cell>
          <cell r="X2197" t="str">
            <v/>
          </cell>
          <cell r="Y2197" t="str">
            <v/>
          </cell>
          <cell r="Z2197" t="str">
            <v/>
          </cell>
          <cell r="AA2197" t="str">
            <v/>
          </cell>
          <cell r="AB2197" t="str">
            <v>PA_2262349-DA.7501-4P.3</v>
          </cell>
          <cell r="AC2197">
            <v>5</v>
          </cell>
          <cell r="AD2197" t="str">
            <v/>
          </cell>
          <cell r="AE2197">
            <v>0</v>
          </cell>
          <cell r="AF2197" t="str">
            <v/>
          </cell>
          <cell r="AG2197" t="str">
            <v>1080045</v>
          </cell>
          <cell r="AH2197">
            <v>45009.83488425926</v>
          </cell>
          <cell r="AI2197" t="str">
            <v>N52</v>
          </cell>
          <cell r="AJ2197" t="str">
            <v>F</v>
          </cell>
          <cell r="AK2197" t="str">
            <v/>
          </cell>
        </row>
        <row r="2198">
          <cell r="A2198" t="str">
            <v>1080045</v>
          </cell>
          <cell r="B2198">
            <v>0</v>
          </cell>
          <cell r="C2198" t="e">
            <v>#N/A</v>
          </cell>
          <cell r="D2198" t="str">
            <v>EK65</v>
          </cell>
          <cell r="E2198" t="str">
            <v>721391</v>
          </cell>
          <cell r="F2198" t="str">
            <v>B</v>
          </cell>
          <cell r="G2198" t="str">
            <v>1080045</v>
          </cell>
          <cell r="H2198" t="str">
            <v>Beilage</v>
          </cell>
          <cell r="I2198">
            <v>1</v>
          </cell>
          <cell r="J2198" t="str">
            <v>Stk</v>
          </cell>
          <cell r="K2198">
            <v>45013</v>
          </cell>
          <cell r="L2198" t="str">
            <v/>
          </cell>
          <cell r="M2198" t="str">
            <v/>
          </cell>
          <cell r="N2198" t="str">
            <v/>
          </cell>
          <cell r="O2198" t="str">
            <v/>
          </cell>
          <cell r="P2198" t="str">
            <v/>
          </cell>
          <cell r="Q2198" t="str">
            <v/>
          </cell>
          <cell r="R2198" t="str">
            <v/>
          </cell>
          <cell r="S2198" t="str">
            <v/>
          </cell>
          <cell r="T2198" t="str">
            <v/>
          </cell>
          <cell r="U2198" t="str">
            <v/>
          </cell>
          <cell r="V2198" t="str">
            <v>N52</v>
          </cell>
          <cell r="W2198" t="str">
            <v/>
          </cell>
          <cell r="X2198" t="str">
            <v/>
          </cell>
          <cell r="Y2198" t="str">
            <v/>
          </cell>
          <cell r="Z2198" t="str">
            <v/>
          </cell>
          <cell r="AA2198" t="str">
            <v/>
          </cell>
          <cell r="AB2198" t="str">
            <v>PA_2262349-DA.7501-4P.3</v>
          </cell>
          <cell r="AC2198">
            <v>5</v>
          </cell>
          <cell r="AD2198" t="str">
            <v/>
          </cell>
          <cell r="AE2198">
            <v>0</v>
          </cell>
          <cell r="AF2198" t="str">
            <v/>
          </cell>
          <cell r="AG2198" t="str">
            <v>1080045</v>
          </cell>
          <cell r="AH2198">
            <v>45009.83488425926</v>
          </cell>
          <cell r="AI2198" t="str">
            <v>N52</v>
          </cell>
          <cell r="AJ2198" t="str">
            <v>F</v>
          </cell>
          <cell r="AK2198" t="str">
            <v/>
          </cell>
        </row>
        <row r="2199">
          <cell r="A2199" t="str">
            <v>1080045</v>
          </cell>
          <cell r="B2199">
            <v>0</v>
          </cell>
          <cell r="C2199" t="e">
            <v>#N/A</v>
          </cell>
          <cell r="D2199" t="str">
            <v>EK65</v>
          </cell>
          <cell r="E2199" t="str">
            <v>721392</v>
          </cell>
          <cell r="F2199" t="str">
            <v>B</v>
          </cell>
          <cell r="G2199" t="str">
            <v>1080045</v>
          </cell>
          <cell r="H2199" t="str">
            <v>Beilage</v>
          </cell>
          <cell r="I2199">
            <v>1</v>
          </cell>
          <cell r="J2199" t="str">
            <v>Stk</v>
          </cell>
          <cell r="K2199">
            <v>45013</v>
          </cell>
          <cell r="L2199" t="str">
            <v/>
          </cell>
          <cell r="M2199" t="str">
            <v/>
          </cell>
          <cell r="N2199" t="str">
            <v/>
          </cell>
          <cell r="O2199" t="str">
            <v/>
          </cell>
          <cell r="P2199" t="str">
            <v/>
          </cell>
          <cell r="Q2199" t="str">
            <v/>
          </cell>
          <cell r="R2199" t="str">
            <v/>
          </cell>
          <cell r="S2199" t="str">
            <v/>
          </cell>
          <cell r="T2199" t="str">
            <v/>
          </cell>
          <cell r="U2199" t="str">
            <v/>
          </cell>
          <cell r="V2199" t="str">
            <v>N52</v>
          </cell>
          <cell r="W2199" t="str">
            <v/>
          </cell>
          <cell r="X2199" t="str">
            <v/>
          </cell>
          <cell r="Y2199" t="str">
            <v/>
          </cell>
          <cell r="Z2199" t="str">
            <v/>
          </cell>
          <cell r="AA2199" t="str">
            <v/>
          </cell>
          <cell r="AB2199" t="str">
            <v>PA_2262349-DA.7501-4P.3</v>
          </cell>
          <cell r="AC2199">
            <v>5</v>
          </cell>
          <cell r="AD2199" t="str">
            <v/>
          </cell>
          <cell r="AE2199">
            <v>0</v>
          </cell>
          <cell r="AF2199" t="str">
            <v/>
          </cell>
          <cell r="AG2199" t="str">
            <v>1080045</v>
          </cell>
          <cell r="AH2199">
            <v>45009.83488425926</v>
          </cell>
          <cell r="AI2199" t="str">
            <v>N52</v>
          </cell>
          <cell r="AJ2199" t="str">
            <v>F</v>
          </cell>
          <cell r="AK2199" t="str">
            <v/>
          </cell>
        </row>
        <row r="2200">
          <cell r="A2200" t="str">
            <v>1080045</v>
          </cell>
          <cell r="B2200">
            <v>0</v>
          </cell>
          <cell r="C2200" t="e">
            <v>#N/A</v>
          </cell>
          <cell r="D2200" t="str">
            <v>EK65</v>
          </cell>
          <cell r="E2200" t="str">
            <v>721393</v>
          </cell>
          <cell r="F2200" t="str">
            <v>B</v>
          </cell>
          <cell r="G2200" t="str">
            <v>1080045</v>
          </cell>
          <cell r="H2200" t="str">
            <v>Beilage</v>
          </cell>
          <cell r="I2200">
            <v>1</v>
          </cell>
          <cell r="J2200" t="str">
            <v>Stk</v>
          </cell>
          <cell r="K2200">
            <v>45013</v>
          </cell>
          <cell r="L2200" t="str">
            <v/>
          </cell>
          <cell r="M2200" t="str">
            <v/>
          </cell>
          <cell r="N2200" t="str">
            <v/>
          </cell>
          <cell r="O2200" t="str">
            <v/>
          </cell>
          <cell r="P2200" t="str">
            <v/>
          </cell>
          <cell r="Q2200" t="str">
            <v/>
          </cell>
          <cell r="R2200" t="str">
            <v/>
          </cell>
          <cell r="S2200" t="str">
            <v/>
          </cell>
          <cell r="T2200" t="str">
            <v/>
          </cell>
          <cell r="U2200" t="str">
            <v/>
          </cell>
          <cell r="V2200" t="str">
            <v>N52</v>
          </cell>
          <cell r="W2200" t="str">
            <v/>
          </cell>
          <cell r="X2200" t="str">
            <v/>
          </cell>
          <cell r="Y2200" t="str">
            <v/>
          </cell>
          <cell r="Z2200" t="str">
            <v/>
          </cell>
          <cell r="AA2200" t="str">
            <v/>
          </cell>
          <cell r="AB2200" t="str">
            <v>PA_2262349-DA.7501-4P.3</v>
          </cell>
          <cell r="AC2200">
            <v>5</v>
          </cell>
          <cell r="AD2200" t="str">
            <v/>
          </cell>
          <cell r="AE2200">
            <v>0</v>
          </cell>
          <cell r="AF2200" t="str">
            <v/>
          </cell>
          <cell r="AG2200" t="str">
            <v>1080045</v>
          </cell>
          <cell r="AH2200">
            <v>45009.83488425926</v>
          </cell>
          <cell r="AI2200" t="str">
            <v>N52</v>
          </cell>
          <cell r="AJ2200" t="str">
            <v>F</v>
          </cell>
          <cell r="AK2200" t="str">
            <v/>
          </cell>
        </row>
        <row r="2201">
          <cell r="A2201" t="str">
            <v>1080045</v>
          </cell>
          <cell r="B2201">
            <v>0</v>
          </cell>
          <cell r="C2201" t="e">
            <v>#N/A</v>
          </cell>
          <cell r="D2201" t="str">
            <v>EK65</v>
          </cell>
          <cell r="E2201" t="str">
            <v>721394</v>
          </cell>
          <cell r="F2201" t="str">
            <v>B</v>
          </cell>
          <cell r="G2201" t="str">
            <v>1080045</v>
          </cell>
          <cell r="H2201" t="str">
            <v>Beilage</v>
          </cell>
          <cell r="I2201">
            <v>1</v>
          </cell>
          <cell r="J2201" t="str">
            <v>Stk</v>
          </cell>
          <cell r="K2201">
            <v>45013</v>
          </cell>
          <cell r="L2201" t="str">
            <v/>
          </cell>
          <cell r="M2201" t="str">
            <v/>
          </cell>
          <cell r="N2201" t="str">
            <v/>
          </cell>
          <cell r="O2201" t="str">
            <v/>
          </cell>
          <cell r="P2201" t="str">
            <v/>
          </cell>
          <cell r="Q2201" t="str">
            <v/>
          </cell>
          <cell r="R2201" t="str">
            <v/>
          </cell>
          <cell r="S2201" t="str">
            <v/>
          </cell>
          <cell r="T2201" t="str">
            <v/>
          </cell>
          <cell r="U2201" t="str">
            <v/>
          </cell>
          <cell r="V2201" t="str">
            <v>N52</v>
          </cell>
          <cell r="W2201" t="str">
            <v/>
          </cell>
          <cell r="X2201" t="str">
            <v/>
          </cell>
          <cell r="Y2201" t="str">
            <v/>
          </cell>
          <cell r="Z2201" t="str">
            <v/>
          </cell>
          <cell r="AA2201" t="str">
            <v/>
          </cell>
          <cell r="AB2201" t="str">
            <v>PA_2262349-DA.7501-4P.3</v>
          </cell>
          <cell r="AC2201">
            <v>5</v>
          </cell>
          <cell r="AD2201" t="str">
            <v/>
          </cell>
          <cell r="AE2201">
            <v>0</v>
          </cell>
          <cell r="AF2201" t="str">
            <v/>
          </cell>
          <cell r="AG2201" t="str">
            <v>1080045</v>
          </cell>
          <cell r="AH2201">
            <v>45009.83488425926</v>
          </cell>
          <cell r="AI2201" t="str">
            <v>N52</v>
          </cell>
          <cell r="AJ2201" t="str">
            <v>F</v>
          </cell>
          <cell r="AK2201" t="str">
            <v/>
          </cell>
        </row>
        <row r="2202">
          <cell r="A2202" t="str">
            <v>1080045</v>
          </cell>
          <cell r="B2202">
            <v>0</v>
          </cell>
          <cell r="C2202" t="e">
            <v>#N/A</v>
          </cell>
          <cell r="D2202" t="str">
            <v>EK65</v>
          </cell>
          <cell r="E2202" t="str">
            <v>721395</v>
          </cell>
          <cell r="F2202" t="str">
            <v>B</v>
          </cell>
          <cell r="G2202" t="str">
            <v>1080045</v>
          </cell>
          <cell r="H2202" t="str">
            <v>Beilage</v>
          </cell>
          <cell r="I2202">
            <v>1</v>
          </cell>
          <cell r="J2202" t="str">
            <v>Stk</v>
          </cell>
          <cell r="K2202">
            <v>45013</v>
          </cell>
          <cell r="L2202" t="str">
            <v/>
          </cell>
          <cell r="M2202" t="str">
            <v/>
          </cell>
          <cell r="N2202" t="str">
            <v/>
          </cell>
          <cell r="O2202" t="str">
            <v/>
          </cell>
          <cell r="P2202" t="str">
            <v/>
          </cell>
          <cell r="Q2202" t="str">
            <v/>
          </cell>
          <cell r="R2202" t="str">
            <v/>
          </cell>
          <cell r="S2202" t="str">
            <v/>
          </cell>
          <cell r="T2202" t="str">
            <v/>
          </cell>
          <cell r="U2202" t="str">
            <v/>
          </cell>
          <cell r="V2202" t="str">
            <v>N52</v>
          </cell>
          <cell r="W2202" t="str">
            <v/>
          </cell>
          <cell r="X2202" t="str">
            <v/>
          </cell>
          <cell r="Y2202" t="str">
            <v/>
          </cell>
          <cell r="Z2202" t="str">
            <v/>
          </cell>
          <cell r="AA2202" t="str">
            <v/>
          </cell>
          <cell r="AB2202" t="str">
            <v>PA_2262349-DA.7501-4P.3</v>
          </cell>
          <cell r="AC2202">
            <v>5</v>
          </cell>
          <cell r="AD2202" t="str">
            <v/>
          </cell>
          <cell r="AE2202">
            <v>0</v>
          </cell>
          <cell r="AF2202" t="str">
            <v/>
          </cell>
          <cell r="AG2202" t="str">
            <v>1080045</v>
          </cell>
          <cell r="AH2202">
            <v>45009.83488425926</v>
          </cell>
          <cell r="AI2202" t="str">
            <v>N52</v>
          </cell>
          <cell r="AJ2202" t="str">
            <v>F</v>
          </cell>
          <cell r="AK2202" t="str">
            <v/>
          </cell>
        </row>
        <row r="2203">
          <cell r="A2203" t="str">
            <v>1080045</v>
          </cell>
          <cell r="B2203">
            <v>0</v>
          </cell>
          <cell r="C2203" t="e">
            <v>#N/A</v>
          </cell>
          <cell r="D2203" t="str">
            <v>EK65</v>
          </cell>
          <cell r="E2203" t="str">
            <v>721396</v>
          </cell>
          <cell r="F2203" t="str">
            <v>B</v>
          </cell>
          <cell r="G2203" t="str">
            <v>1080045</v>
          </cell>
          <cell r="H2203" t="str">
            <v>Beilage</v>
          </cell>
          <cell r="I2203">
            <v>1</v>
          </cell>
          <cell r="J2203" t="str">
            <v>Stk</v>
          </cell>
          <cell r="K2203">
            <v>45013</v>
          </cell>
          <cell r="L2203" t="str">
            <v/>
          </cell>
          <cell r="M2203" t="str">
            <v/>
          </cell>
          <cell r="N2203" t="str">
            <v/>
          </cell>
          <cell r="O2203" t="str">
            <v/>
          </cell>
          <cell r="P2203" t="str">
            <v/>
          </cell>
          <cell r="Q2203" t="str">
            <v/>
          </cell>
          <cell r="R2203" t="str">
            <v/>
          </cell>
          <cell r="S2203" t="str">
            <v/>
          </cell>
          <cell r="T2203" t="str">
            <v/>
          </cell>
          <cell r="U2203" t="str">
            <v/>
          </cell>
          <cell r="V2203" t="str">
            <v>N52</v>
          </cell>
          <cell r="W2203" t="str">
            <v/>
          </cell>
          <cell r="X2203" t="str">
            <v/>
          </cell>
          <cell r="Y2203" t="str">
            <v/>
          </cell>
          <cell r="Z2203" t="str">
            <v/>
          </cell>
          <cell r="AA2203" t="str">
            <v/>
          </cell>
          <cell r="AB2203" t="str">
            <v>PA_2262349-DA.7501-4P.3</v>
          </cell>
          <cell r="AC2203">
            <v>5</v>
          </cell>
          <cell r="AD2203" t="str">
            <v/>
          </cell>
          <cell r="AE2203">
            <v>0</v>
          </cell>
          <cell r="AF2203" t="str">
            <v/>
          </cell>
          <cell r="AG2203" t="str">
            <v>1080045</v>
          </cell>
          <cell r="AH2203">
            <v>45009.83488425926</v>
          </cell>
          <cell r="AI2203" t="str">
            <v>N52</v>
          </cell>
          <cell r="AJ2203" t="str">
            <v>F</v>
          </cell>
          <cell r="AK2203" t="str">
            <v/>
          </cell>
        </row>
        <row r="2204">
          <cell r="A2204" t="str">
            <v>1080045</v>
          </cell>
          <cell r="B2204">
            <v>0</v>
          </cell>
          <cell r="C2204" t="e">
            <v>#N/A</v>
          </cell>
          <cell r="D2204" t="str">
            <v>EK65</v>
          </cell>
          <cell r="E2204" t="str">
            <v>721397</v>
          </cell>
          <cell r="F2204" t="str">
            <v>B</v>
          </cell>
          <cell r="G2204" t="str">
            <v>1080045</v>
          </cell>
          <cell r="H2204" t="str">
            <v>Beilage</v>
          </cell>
          <cell r="I2204">
            <v>1</v>
          </cell>
          <cell r="J2204" t="str">
            <v>Stk</v>
          </cell>
          <cell r="K2204">
            <v>45013</v>
          </cell>
          <cell r="L2204" t="str">
            <v/>
          </cell>
          <cell r="M2204" t="str">
            <v/>
          </cell>
          <cell r="N2204" t="str">
            <v/>
          </cell>
          <cell r="O2204" t="str">
            <v/>
          </cell>
          <cell r="P2204" t="str">
            <v/>
          </cell>
          <cell r="Q2204" t="str">
            <v/>
          </cell>
          <cell r="R2204" t="str">
            <v/>
          </cell>
          <cell r="S2204" t="str">
            <v/>
          </cell>
          <cell r="T2204" t="str">
            <v/>
          </cell>
          <cell r="U2204" t="str">
            <v/>
          </cell>
          <cell r="V2204" t="str">
            <v>N52</v>
          </cell>
          <cell r="W2204" t="str">
            <v/>
          </cell>
          <cell r="X2204" t="str">
            <v/>
          </cell>
          <cell r="Y2204" t="str">
            <v/>
          </cell>
          <cell r="Z2204" t="str">
            <v/>
          </cell>
          <cell r="AA2204" t="str">
            <v/>
          </cell>
          <cell r="AB2204" t="str">
            <v>PA_2262349-DA.7501-4P.3</v>
          </cell>
          <cell r="AC2204">
            <v>5</v>
          </cell>
          <cell r="AD2204" t="str">
            <v/>
          </cell>
          <cell r="AE2204">
            <v>0</v>
          </cell>
          <cell r="AF2204" t="str">
            <v/>
          </cell>
          <cell r="AG2204" t="str">
            <v>1080045</v>
          </cell>
          <cell r="AH2204">
            <v>45009.83489583333</v>
          </cell>
          <cell r="AI2204" t="str">
            <v>N52</v>
          </cell>
          <cell r="AJ2204" t="str">
            <v>F</v>
          </cell>
          <cell r="AK2204" t="str">
            <v/>
          </cell>
        </row>
        <row r="2205">
          <cell r="A2205" t="str">
            <v>1080045</v>
          </cell>
          <cell r="B2205">
            <v>0</v>
          </cell>
          <cell r="C2205" t="e">
            <v>#N/A</v>
          </cell>
          <cell r="D2205" t="str">
            <v>EK65</v>
          </cell>
          <cell r="E2205" t="str">
            <v>721398</v>
          </cell>
          <cell r="F2205" t="str">
            <v>B</v>
          </cell>
          <cell r="G2205" t="str">
            <v>1080045</v>
          </cell>
          <cell r="H2205" t="str">
            <v>Beilage</v>
          </cell>
          <cell r="I2205">
            <v>1</v>
          </cell>
          <cell r="J2205" t="str">
            <v>Stk</v>
          </cell>
          <cell r="K2205">
            <v>45013</v>
          </cell>
          <cell r="L2205" t="str">
            <v/>
          </cell>
          <cell r="M2205" t="str">
            <v/>
          </cell>
          <cell r="N2205" t="str">
            <v/>
          </cell>
          <cell r="O2205" t="str">
            <v/>
          </cell>
          <cell r="P2205" t="str">
            <v/>
          </cell>
          <cell r="Q2205" t="str">
            <v/>
          </cell>
          <cell r="R2205" t="str">
            <v/>
          </cell>
          <cell r="S2205" t="str">
            <v/>
          </cell>
          <cell r="T2205" t="str">
            <v/>
          </cell>
          <cell r="U2205" t="str">
            <v/>
          </cell>
          <cell r="V2205" t="str">
            <v>N52</v>
          </cell>
          <cell r="W2205" t="str">
            <v/>
          </cell>
          <cell r="X2205" t="str">
            <v/>
          </cell>
          <cell r="Y2205" t="str">
            <v/>
          </cell>
          <cell r="Z2205" t="str">
            <v/>
          </cell>
          <cell r="AA2205" t="str">
            <v/>
          </cell>
          <cell r="AB2205" t="str">
            <v>PA_2262349-DA.7501-4P.3</v>
          </cell>
          <cell r="AC2205">
            <v>5</v>
          </cell>
          <cell r="AD2205" t="str">
            <v/>
          </cell>
          <cell r="AE2205">
            <v>0</v>
          </cell>
          <cell r="AF2205" t="str">
            <v/>
          </cell>
          <cell r="AG2205" t="str">
            <v>1080045</v>
          </cell>
          <cell r="AH2205">
            <v>45009.83489583333</v>
          </cell>
          <cell r="AI2205" t="str">
            <v>N52</v>
          </cell>
          <cell r="AJ2205" t="str">
            <v>F</v>
          </cell>
          <cell r="AK2205" t="str">
            <v/>
          </cell>
        </row>
        <row r="2206">
          <cell r="A2206" t="str">
            <v>1080045</v>
          </cell>
          <cell r="B2206">
            <v>0</v>
          </cell>
          <cell r="C2206" t="e">
            <v>#N/A</v>
          </cell>
          <cell r="D2206" t="str">
            <v>EK65</v>
          </cell>
          <cell r="E2206" t="str">
            <v>721399</v>
          </cell>
          <cell r="F2206" t="str">
            <v>B</v>
          </cell>
          <cell r="G2206" t="str">
            <v>1080045</v>
          </cell>
          <cell r="H2206" t="str">
            <v>Beilage</v>
          </cell>
          <cell r="I2206">
            <v>1</v>
          </cell>
          <cell r="J2206" t="str">
            <v>Stk</v>
          </cell>
          <cell r="K2206">
            <v>45013</v>
          </cell>
          <cell r="L2206" t="str">
            <v/>
          </cell>
          <cell r="M2206" t="str">
            <v/>
          </cell>
          <cell r="N2206" t="str">
            <v/>
          </cell>
          <cell r="O2206" t="str">
            <v/>
          </cell>
          <cell r="P2206" t="str">
            <v/>
          </cell>
          <cell r="Q2206" t="str">
            <v/>
          </cell>
          <cell r="R2206" t="str">
            <v/>
          </cell>
          <cell r="S2206" t="str">
            <v/>
          </cell>
          <cell r="T2206" t="str">
            <v/>
          </cell>
          <cell r="U2206" t="str">
            <v/>
          </cell>
          <cell r="V2206" t="str">
            <v>N52</v>
          </cell>
          <cell r="W2206" t="str">
            <v/>
          </cell>
          <cell r="X2206" t="str">
            <v/>
          </cell>
          <cell r="Y2206" t="str">
            <v/>
          </cell>
          <cell r="Z2206" t="str">
            <v/>
          </cell>
          <cell r="AA2206" t="str">
            <v/>
          </cell>
          <cell r="AB2206" t="str">
            <v>PA_2262349-DA.7501-4P.3</v>
          </cell>
          <cell r="AC2206">
            <v>5</v>
          </cell>
          <cell r="AD2206" t="str">
            <v/>
          </cell>
          <cell r="AE2206">
            <v>0</v>
          </cell>
          <cell r="AF2206" t="str">
            <v/>
          </cell>
          <cell r="AG2206" t="str">
            <v>1080045</v>
          </cell>
          <cell r="AH2206">
            <v>45009.83489583333</v>
          </cell>
          <cell r="AI2206" t="str">
            <v>N52</v>
          </cell>
          <cell r="AJ2206" t="str">
            <v>F</v>
          </cell>
          <cell r="AK2206" t="str">
            <v/>
          </cell>
        </row>
        <row r="2207">
          <cell r="A2207" t="str">
            <v>1080045</v>
          </cell>
          <cell r="B2207">
            <v>0</v>
          </cell>
          <cell r="C2207" t="e">
            <v>#N/A</v>
          </cell>
          <cell r="D2207" t="str">
            <v>EK65</v>
          </cell>
          <cell r="E2207" t="str">
            <v>721400</v>
          </cell>
          <cell r="F2207" t="str">
            <v>B</v>
          </cell>
          <cell r="G2207" t="str">
            <v>1080045</v>
          </cell>
          <cell r="H2207" t="str">
            <v>Beilage</v>
          </cell>
          <cell r="I2207">
            <v>1</v>
          </cell>
          <cell r="J2207" t="str">
            <v>Stk</v>
          </cell>
          <cell r="K2207">
            <v>45013</v>
          </cell>
          <cell r="L2207" t="str">
            <v/>
          </cell>
          <cell r="M2207" t="str">
            <v/>
          </cell>
          <cell r="N2207" t="str">
            <v/>
          </cell>
          <cell r="O2207" t="str">
            <v/>
          </cell>
          <cell r="P2207" t="str">
            <v/>
          </cell>
          <cell r="Q2207" t="str">
            <v/>
          </cell>
          <cell r="R2207" t="str">
            <v/>
          </cell>
          <cell r="S2207" t="str">
            <v/>
          </cell>
          <cell r="T2207" t="str">
            <v/>
          </cell>
          <cell r="U2207" t="str">
            <v/>
          </cell>
          <cell r="V2207" t="str">
            <v>N52</v>
          </cell>
          <cell r="W2207" t="str">
            <v/>
          </cell>
          <cell r="X2207" t="str">
            <v/>
          </cell>
          <cell r="Y2207" t="str">
            <v/>
          </cell>
          <cell r="Z2207" t="str">
            <v/>
          </cell>
          <cell r="AA2207" t="str">
            <v/>
          </cell>
          <cell r="AB2207" t="str">
            <v>PA_2262349-DA.7501-4P.3</v>
          </cell>
          <cell r="AC2207">
            <v>5</v>
          </cell>
          <cell r="AD2207" t="str">
            <v/>
          </cell>
          <cell r="AE2207">
            <v>0</v>
          </cell>
          <cell r="AF2207" t="str">
            <v/>
          </cell>
          <cell r="AG2207" t="str">
            <v>1080045</v>
          </cell>
          <cell r="AH2207">
            <v>45009.83489583333</v>
          </cell>
          <cell r="AI2207" t="str">
            <v>N52</v>
          </cell>
          <cell r="AJ2207" t="str">
            <v>F</v>
          </cell>
          <cell r="AK2207" t="str">
            <v/>
          </cell>
        </row>
        <row r="2208">
          <cell r="A2208" t="str">
            <v>1080045</v>
          </cell>
          <cell r="B2208">
            <v>0</v>
          </cell>
          <cell r="C2208" t="e">
            <v>#N/A</v>
          </cell>
          <cell r="D2208" t="str">
            <v>EK65</v>
          </cell>
          <cell r="E2208" t="str">
            <v>721401</v>
          </cell>
          <cell r="F2208" t="str">
            <v>B</v>
          </cell>
          <cell r="G2208" t="str">
            <v>1080045</v>
          </cell>
          <cell r="H2208" t="str">
            <v>Beilage</v>
          </cell>
          <cell r="I2208">
            <v>1</v>
          </cell>
          <cell r="J2208" t="str">
            <v>Stk</v>
          </cell>
          <cell r="K2208">
            <v>45013</v>
          </cell>
          <cell r="L2208" t="str">
            <v/>
          </cell>
          <cell r="M2208" t="str">
            <v/>
          </cell>
          <cell r="N2208" t="str">
            <v/>
          </cell>
          <cell r="O2208" t="str">
            <v/>
          </cell>
          <cell r="P2208" t="str">
            <v/>
          </cell>
          <cell r="Q2208" t="str">
            <v/>
          </cell>
          <cell r="R2208" t="str">
            <v/>
          </cell>
          <cell r="S2208" t="str">
            <v/>
          </cell>
          <cell r="T2208" t="str">
            <v/>
          </cell>
          <cell r="U2208" t="str">
            <v/>
          </cell>
          <cell r="V2208" t="str">
            <v>N52</v>
          </cell>
          <cell r="W2208" t="str">
            <v/>
          </cell>
          <cell r="X2208" t="str">
            <v/>
          </cell>
          <cell r="Y2208" t="str">
            <v/>
          </cell>
          <cell r="Z2208" t="str">
            <v/>
          </cell>
          <cell r="AA2208" t="str">
            <v/>
          </cell>
          <cell r="AB2208" t="str">
            <v>PA_2262349-DA.7501-4P.3</v>
          </cell>
          <cell r="AC2208">
            <v>5</v>
          </cell>
          <cell r="AD2208" t="str">
            <v/>
          </cell>
          <cell r="AE2208">
            <v>0</v>
          </cell>
          <cell r="AF2208" t="str">
            <v/>
          </cell>
          <cell r="AG2208" t="str">
            <v>1080045</v>
          </cell>
          <cell r="AH2208">
            <v>45009.83489583333</v>
          </cell>
          <cell r="AI2208" t="str">
            <v>N52</v>
          </cell>
          <cell r="AJ2208" t="str">
            <v>F</v>
          </cell>
          <cell r="AK2208" t="str">
            <v/>
          </cell>
        </row>
        <row r="2209">
          <cell r="A2209" t="str">
            <v>1080045</v>
          </cell>
          <cell r="B2209">
            <v>0</v>
          </cell>
          <cell r="C2209" t="e">
            <v>#N/A</v>
          </cell>
          <cell r="D2209" t="str">
            <v>EK65</v>
          </cell>
          <cell r="E2209" t="str">
            <v>721402</v>
          </cell>
          <cell r="F2209" t="str">
            <v>B</v>
          </cell>
          <cell r="G2209" t="str">
            <v>1080045</v>
          </cell>
          <cell r="H2209" t="str">
            <v>Beilage</v>
          </cell>
          <cell r="I2209">
            <v>1</v>
          </cell>
          <cell r="J2209" t="str">
            <v>Stk</v>
          </cell>
          <cell r="K2209">
            <v>45013</v>
          </cell>
          <cell r="L2209" t="str">
            <v/>
          </cell>
          <cell r="M2209" t="str">
            <v/>
          </cell>
          <cell r="N2209" t="str">
            <v/>
          </cell>
          <cell r="O2209" t="str">
            <v/>
          </cell>
          <cell r="P2209" t="str">
            <v/>
          </cell>
          <cell r="Q2209" t="str">
            <v/>
          </cell>
          <cell r="R2209" t="str">
            <v/>
          </cell>
          <cell r="S2209" t="str">
            <v/>
          </cell>
          <cell r="T2209" t="str">
            <v/>
          </cell>
          <cell r="U2209" t="str">
            <v/>
          </cell>
          <cell r="V2209" t="str">
            <v>N52</v>
          </cell>
          <cell r="W2209" t="str">
            <v/>
          </cell>
          <cell r="X2209" t="str">
            <v/>
          </cell>
          <cell r="Y2209" t="str">
            <v/>
          </cell>
          <cell r="Z2209" t="str">
            <v/>
          </cell>
          <cell r="AA2209" t="str">
            <v/>
          </cell>
          <cell r="AB2209" t="str">
            <v>PA_2262349-DA.7501-4P.3</v>
          </cell>
          <cell r="AC2209">
            <v>5</v>
          </cell>
          <cell r="AD2209" t="str">
            <v/>
          </cell>
          <cell r="AE2209">
            <v>0</v>
          </cell>
          <cell r="AF2209" t="str">
            <v/>
          </cell>
          <cell r="AG2209" t="str">
            <v>1080045</v>
          </cell>
          <cell r="AH2209">
            <v>45009.83489583333</v>
          </cell>
          <cell r="AI2209" t="str">
            <v>N52</v>
          </cell>
          <cell r="AJ2209" t="str">
            <v>F</v>
          </cell>
          <cell r="AK2209" t="str">
            <v/>
          </cell>
        </row>
        <row r="2210">
          <cell r="A2210" t="str">
            <v>1080045</v>
          </cell>
          <cell r="B2210">
            <v>0</v>
          </cell>
          <cell r="C2210" t="e">
            <v>#N/A</v>
          </cell>
          <cell r="D2210" t="str">
            <v>EK65</v>
          </cell>
          <cell r="E2210" t="str">
            <v>721403</v>
          </cell>
          <cell r="F2210" t="str">
            <v>B</v>
          </cell>
          <cell r="G2210" t="str">
            <v>1080045</v>
          </cell>
          <cell r="H2210" t="str">
            <v>Beilage</v>
          </cell>
          <cell r="I2210">
            <v>1</v>
          </cell>
          <cell r="J2210" t="str">
            <v>Stk</v>
          </cell>
          <cell r="K2210">
            <v>45013</v>
          </cell>
          <cell r="L2210" t="str">
            <v/>
          </cell>
          <cell r="M2210" t="str">
            <v/>
          </cell>
          <cell r="N2210" t="str">
            <v/>
          </cell>
          <cell r="O2210" t="str">
            <v/>
          </cell>
          <cell r="P2210" t="str">
            <v/>
          </cell>
          <cell r="Q2210" t="str">
            <v/>
          </cell>
          <cell r="R2210" t="str">
            <v/>
          </cell>
          <cell r="S2210" t="str">
            <v/>
          </cell>
          <cell r="T2210" t="str">
            <v/>
          </cell>
          <cell r="U2210" t="str">
            <v/>
          </cell>
          <cell r="V2210" t="str">
            <v>N52</v>
          </cell>
          <cell r="W2210" t="str">
            <v/>
          </cell>
          <cell r="X2210" t="str">
            <v/>
          </cell>
          <cell r="Y2210" t="str">
            <v/>
          </cell>
          <cell r="Z2210" t="str">
            <v/>
          </cell>
          <cell r="AA2210" t="str">
            <v/>
          </cell>
          <cell r="AB2210" t="str">
            <v>PA_2262349-DA.7501-4P.3</v>
          </cell>
          <cell r="AC2210">
            <v>5</v>
          </cell>
          <cell r="AD2210" t="str">
            <v/>
          </cell>
          <cell r="AE2210">
            <v>0</v>
          </cell>
          <cell r="AF2210" t="str">
            <v/>
          </cell>
          <cell r="AG2210" t="str">
            <v>1080045</v>
          </cell>
          <cell r="AH2210">
            <v>45009.83489583333</v>
          </cell>
          <cell r="AI2210" t="str">
            <v>N52</v>
          </cell>
          <cell r="AJ2210" t="str">
            <v>F</v>
          </cell>
          <cell r="AK2210" t="str">
            <v/>
          </cell>
        </row>
        <row r="2211">
          <cell r="A2211" t="str">
            <v>1080045</v>
          </cell>
          <cell r="B2211">
            <v>0</v>
          </cell>
          <cell r="C2211" t="e">
            <v>#N/A</v>
          </cell>
          <cell r="D2211" t="str">
            <v>EK65</v>
          </cell>
          <cell r="E2211" t="str">
            <v>721404</v>
          </cell>
          <cell r="F2211" t="str">
            <v>B</v>
          </cell>
          <cell r="G2211" t="str">
            <v>1080045</v>
          </cell>
          <cell r="H2211" t="str">
            <v>Beilage</v>
          </cell>
          <cell r="I2211">
            <v>1</v>
          </cell>
          <cell r="J2211" t="str">
            <v>Stk</v>
          </cell>
          <cell r="K2211">
            <v>45013</v>
          </cell>
          <cell r="L2211" t="str">
            <v/>
          </cell>
          <cell r="M2211" t="str">
            <v/>
          </cell>
          <cell r="N2211" t="str">
            <v/>
          </cell>
          <cell r="O2211" t="str">
            <v/>
          </cell>
          <cell r="P2211" t="str">
            <v/>
          </cell>
          <cell r="Q2211" t="str">
            <v/>
          </cell>
          <cell r="R2211" t="str">
            <v/>
          </cell>
          <cell r="S2211" t="str">
            <v/>
          </cell>
          <cell r="T2211" t="str">
            <v/>
          </cell>
          <cell r="U2211" t="str">
            <v/>
          </cell>
          <cell r="V2211" t="str">
            <v>N52</v>
          </cell>
          <cell r="W2211" t="str">
            <v/>
          </cell>
          <cell r="X2211" t="str">
            <v/>
          </cell>
          <cell r="Y2211" t="str">
            <v/>
          </cell>
          <cell r="Z2211" t="str">
            <v/>
          </cell>
          <cell r="AA2211" t="str">
            <v/>
          </cell>
          <cell r="AB2211" t="str">
            <v>PA_2262349-DA.7501-4P.3</v>
          </cell>
          <cell r="AC2211">
            <v>5</v>
          </cell>
          <cell r="AD2211" t="str">
            <v/>
          </cell>
          <cell r="AE2211">
            <v>0</v>
          </cell>
          <cell r="AF2211" t="str">
            <v/>
          </cell>
          <cell r="AG2211" t="str">
            <v>1080045</v>
          </cell>
          <cell r="AH2211">
            <v>45009.83489583333</v>
          </cell>
          <cell r="AI2211" t="str">
            <v>N52</v>
          </cell>
          <cell r="AJ2211" t="str">
            <v>F</v>
          </cell>
          <cell r="AK2211" t="str">
            <v/>
          </cell>
        </row>
        <row r="2212">
          <cell r="A2212" t="str">
            <v>1080045</v>
          </cell>
          <cell r="B2212">
            <v>0</v>
          </cell>
          <cell r="C2212" t="e">
            <v>#N/A</v>
          </cell>
          <cell r="D2212" t="str">
            <v>EK65</v>
          </cell>
          <cell r="E2212" t="str">
            <v>721405</v>
          </cell>
          <cell r="F2212" t="str">
            <v>B</v>
          </cell>
          <cell r="G2212" t="str">
            <v>1080045</v>
          </cell>
          <cell r="H2212" t="str">
            <v>Beilage</v>
          </cell>
          <cell r="I2212">
            <v>1</v>
          </cell>
          <cell r="J2212" t="str">
            <v>Stk</v>
          </cell>
          <cell r="K2212">
            <v>45013</v>
          </cell>
          <cell r="L2212" t="str">
            <v/>
          </cell>
          <cell r="M2212" t="str">
            <v/>
          </cell>
          <cell r="N2212" t="str">
            <v/>
          </cell>
          <cell r="O2212" t="str">
            <v/>
          </cell>
          <cell r="P2212" t="str">
            <v/>
          </cell>
          <cell r="Q2212" t="str">
            <v/>
          </cell>
          <cell r="R2212" t="str">
            <v/>
          </cell>
          <cell r="S2212" t="str">
            <v/>
          </cell>
          <cell r="T2212" t="str">
            <v/>
          </cell>
          <cell r="U2212" t="str">
            <v/>
          </cell>
          <cell r="V2212" t="str">
            <v>N52</v>
          </cell>
          <cell r="W2212" t="str">
            <v/>
          </cell>
          <cell r="X2212" t="str">
            <v/>
          </cell>
          <cell r="Y2212" t="str">
            <v/>
          </cell>
          <cell r="Z2212" t="str">
            <v/>
          </cell>
          <cell r="AA2212" t="str">
            <v/>
          </cell>
          <cell r="AB2212" t="str">
            <v>PA_2262349-DA.7501-4P.3</v>
          </cell>
          <cell r="AC2212">
            <v>5</v>
          </cell>
          <cell r="AD2212" t="str">
            <v/>
          </cell>
          <cell r="AE2212">
            <v>0</v>
          </cell>
          <cell r="AF2212" t="str">
            <v/>
          </cell>
          <cell r="AG2212" t="str">
            <v>1080045</v>
          </cell>
          <cell r="AH2212">
            <v>45009.83489583333</v>
          </cell>
          <cell r="AI2212" t="str">
            <v>N52</v>
          </cell>
          <cell r="AJ2212" t="str">
            <v>F</v>
          </cell>
          <cell r="AK2212" t="str">
            <v/>
          </cell>
        </row>
        <row r="2213">
          <cell r="A2213" t="str">
            <v>1080045</v>
          </cell>
          <cell r="B2213">
            <v>0</v>
          </cell>
          <cell r="C2213" t="e">
            <v>#N/A</v>
          </cell>
          <cell r="D2213" t="str">
            <v>EK65</v>
          </cell>
          <cell r="E2213" t="str">
            <v>721406</v>
          </cell>
          <cell r="F2213" t="str">
            <v>B</v>
          </cell>
          <cell r="G2213" t="str">
            <v>1080045</v>
          </cell>
          <cell r="H2213" t="str">
            <v>Beilage</v>
          </cell>
          <cell r="I2213">
            <v>1</v>
          </cell>
          <cell r="J2213" t="str">
            <v>Stk</v>
          </cell>
          <cell r="K2213">
            <v>45013</v>
          </cell>
          <cell r="L2213" t="str">
            <v/>
          </cell>
          <cell r="M2213" t="str">
            <v/>
          </cell>
          <cell r="N2213" t="str">
            <v/>
          </cell>
          <cell r="O2213" t="str">
            <v/>
          </cell>
          <cell r="P2213" t="str">
            <v/>
          </cell>
          <cell r="Q2213" t="str">
            <v/>
          </cell>
          <cell r="R2213" t="str">
            <v/>
          </cell>
          <cell r="S2213" t="str">
            <v/>
          </cell>
          <cell r="T2213" t="str">
            <v/>
          </cell>
          <cell r="U2213" t="str">
            <v/>
          </cell>
          <cell r="V2213" t="str">
            <v>N52</v>
          </cell>
          <cell r="W2213" t="str">
            <v/>
          </cell>
          <cell r="X2213" t="str">
            <v/>
          </cell>
          <cell r="Y2213" t="str">
            <v/>
          </cell>
          <cell r="Z2213" t="str">
            <v/>
          </cell>
          <cell r="AA2213" t="str">
            <v/>
          </cell>
          <cell r="AB2213" t="str">
            <v>PA_2262349-DA.7501-4P.3</v>
          </cell>
          <cell r="AC2213">
            <v>5</v>
          </cell>
          <cell r="AD2213" t="str">
            <v/>
          </cell>
          <cell r="AE2213">
            <v>0</v>
          </cell>
          <cell r="AF2213" t="str">
            <v/>
          </cell>
          <cell r="AG2213" t="str">
            <v>1080045</v>
          </cell>
          <cell r="AH2213">
            <v>45009.83489583333</v>
          </cell>
          <cell r="AI2213" t="str">
            <v>N52</v>
          </cell>
          <cell r="AJ2213" t="str">
            <v>F</v>
          </cell>
          <cell r="AK2213" t="str">
            <v/>
          </cell>
        </row>
        <row r="2214">
          <cell r="A2214" t="str">
            <v>1080045</v>
          </cell>
          <cell r="B2214">
            <v>0</v>
          </cell>
          <cell r="C2214" t="e">
            <v>#N/A</v>
          </cell>
          <cell r="D2214" t="str">
            <v>EK65</v>
          </cell>
          <cell r="E2214" t="str">
            <v>721407</v>
          </cell>
          <cell r="F2214" t="str">
            <v>B</v>
          </cell>
          <cell r="G2214" t="str">
            <v>1080045</v>
          </cell>
          <cell r="H2214" t="str">
            <v>Beilage</v>
          </cell>
          <cell r="I2214">
            <v>1</v>
          </cell>
          <cell r="J2214" t="str">
            <v>Stk</v>
          </cell>
          <cell r="K2214">
            <v>45013</v>
          </cell>
          <cell r="L2214" t="str">
            <v/>
          </cell>
          <cell r="M2214" t="str">
            <v/>
          </cell>
          <cell r="N2214" t="str">
            <v/>
          </cell>
          <cell r="O2214" t="str">
            <v/>
          </cell>
          <cell r="P2214" t="str">
            <v/>
          </cell>
          <cell r="Q2214" t="str">
            <v/>
          </cell>
          <cell r="R2214" t="str">
            <v/>
          </cell>
          <cell r="S2214" t="str">
            <v/>
          </cell>
          <cell r="T2214" t="str">
            <v/>
          </cell>
          <cell r="U2214" t="str">
            <v/>
          </cell>
          <cell r="V2214" t="str">
            <v>N52</v>
          </cell>
          <cell r="W2214" t="str">
            <v/>
          </cell>
          <cell r="X2214" t="str">
            <v/>
          </cell>
          <cell r="Y2214" t="str">
            <v/>
          </cell>
          <cell r="Z2214" t="str">
            <v/>
          </cell>
          <cell r="AA2214" t="str">
            <v/>
          </cell>
          <cell r="AB2214" t="str">
            <v>PA_2262349-DA.7501-4P.3</v>
          </cell>
          <cell r="AC2214">
            <v>5</v>
          </cell>
          <cell r="AD2214" t="str">
            <v/>
          </cell>
          <cell r="AE2214">
            <v>0</v>
          </cell>
          <cell r="AF2214" t="str">
            <v/>
          </cell>
          <cell r="AG2214" t="str">
            <v>1080045</v>
          </cell>
          <cell r="AH2214">
            <v>45009.83489583333</v>
          </cell>
          <cell r="AI2214" t="str">
            <v>N52</v>
          </cell>
          <cell r="AJ2214" t="str">
            <v>F</v>
          </cell>
          <cell r="AK2214" t="str">
            <v/>
          </cell>
        </row>
        <row r="2215">
          <cell r="A2215" t="str">
            <v>1080045</v>
          </cell>
          <cell r="B2215">
            <v>0</v>
          </cell>
          <cell r="C2215" t="e">
            <v>#N/A</v>
          </cell>
          <cell r="D2215" t="str">
            <v>EK65</v>
          </cell>
          <cell r="E2215" t="str">
            <v>721408</v>
          </cell>
          <cell r="F2215" t="str">
            <v>B</v>
          </cell>
          <cell r="G2215" t="str">
            <v>1080045</v>
          </cell>
          <cell r="H2215" t="str">
            <v>Beilage</v>
          </cell>
          <cell r="I2215">
            <v>1</v>
          </cell>
          <cell r="J2215" t="str">
            <v>Stk</v>
          </cell>
          <cell r="K2215">
            <v>45013</v>
          </cell>
          <cell r="L2215" t="str">
            <v/>
          </cell>
          <cell r="M2215" t="str">
            <v/>
          </cell>
          <cell r="N2215" t="str">
            <v/>
          </cell>
          <cell r="O2215" t="str">
            <v/>
          </cell>
          <cell r="P2215" t="str">
            <v/>
          </cell>
          <cell r="Q2215" t="str">
            <v/>
          </cell>
          <cell r="R2215" t="str">
            <v/>
          </cell>
          <cell r="S2215" t="str">
            <v/>
          </cell>
          <cell r="T2215" t="str">
            <v/>
          </cell>
          <cell r="U2215" t="str">
            <v/>
          </cell>
          <cell r="V2215" t="str">
            <v>N52</v>
          </cell>
          <cell r="W2215" t="str">
            <v/>
          </cell>
          <cell r="X2215" t="str">
            <v/>
          </cell>
          <cell r="Y2215" t="str">
            <v/>
          </cell>
          <cell r="Z2215" t="str">
            <v/>
          </cell>
          <cell r="AA2215" t="str">
            <v/>
          </cell>
          <cell r="AB2215" t="str">
            <v>PA_2262349-DA.7501-4P.3</v>
          </cell>
          <cell r="AC2215">
            <v>5</v>
          </cell>
          <cell r="AD2215" t="str">
            <v/>
          </cell>
          <cell r="AE2215">
            <v>0</v>
          </cell>
          <cell r="AF2215" t="str">
            <v/>
          </cell>
          <cell r="AG2215" t="str">
            <v>1080045</v>
          </cell>
          <cell r="AH2215">
            <v>45009.83489583333</v>
          </cell>
          <cell r="AI2215" t="str">
            <v>N52</v>
          </cell>
          <cell r="AJ2215" t="str">
            <v>F</v>
          </cell>
          <cell r="AK2215" t="str">
            <v/>
          </cell>
        </row>
        <row r="2216">
          <cell r="A2216" t="str">
            <v>1080045</v>
          </cell>
          <cell r="B2216">
            <v>0</v>
          </cell>
          <cell r="C2216" t="e">
            <v>#N/A</v>
          </cell>
          <cell r="D2216" t="str">
            <v>EK65</v>
          </cell>
          <cell r="E2216" t="str">
            <v>721409</v>
          </cell>
          <cell r="F2216" t="str">
            <v>B</v>
          </cell>
          <cell r="G2216" t="str">
            <v>1080045</v>
          </cell>
          <cell r="H2216" t="str">
            <v>Beilage</v>
          </cell>
          <cell r="I2216">
            <v>1</v>
          </cell>
          <cell r="J2216" t="str">
            <v>Stk</v>
          </cell>
          <cell r="K2216">
            <v>45013</v>
          </cell>
          <cell r="L2216" t="str">
            <v/>
          </cell>
          <cell r="M2216" t="str">
            <v/>
          </cell>
          <cell r="N2216" t="str">
            <v/>
          </cell>
          <cell r="O2216" t="str">
            <v/>
          </cell>
          <cell r="P2216" t="str">
            <v/>
          </cell>
          <cell r="Q2216" t="str">
            <v/>
          </cell>
          <cell r="R2216" t="str">
            <v/>
          </cell>
          <cell r="S2216" t="str">
            <v/>
          </cell>
          <cell r="T2216" t="str">
            <v/>
          </cell>
          <cell r="U2216" t="str">
            <v/>
          </cell>
          <cell r="V2216" t="str">
            <v>N52</v>
          </cell>
          <cell r="W2216" t="str">
            <v/>
          </cell>
          <cell r="X2216" t="str">
            <v/>
          </cell>
          <cell r="Y2216" t="str">
            <v/>
          </cell>
          <cell r="Z2216" t="str">
            <v/>
          </cell>
          <cell r="AA2216" t="str">
            <v/>
          </cell>
          <cell r="AB2216" t="str">
            <v>PA_2262349-DA.7501-4P.3</v>
          </cell>
          <cell r="AC2216">
            <v>5</v>
          </cell>
          <cell r="AD2216" t="str">
            <v/>
          </cell>
          <cell r="AE2216">
            <v>0</v>
          </cell>
          <cell r="AF2216" t="str">
            <v/>
          </cell>
          <cell r="AG2216" t="str">
            <v>1080045</v>
          </cell>
          <cell r="AH2216">
            <v>45009.83489583333</v>
          </cell>
          <cell r="AI2216" t="str">
            <v>N52</v>
          </cell>
          <cell r="AJ2216" t="str">
            <v>F</v>
          </cell>
          <cell r="AK2216" t="str">
            <v/>
          </cell>
        </row>
        <row r="2217">
          <cell r="A2217" t="str">
            <v>1080045</v>
          </cell>
          <cell r="B2217">
            <v>0</v>
          </cell>
          <cell r="C2217" t="e">
            <v>#N/A</v>
          </cell>
          <cell r="D2217" t="str">
            <v>EK65</v>
          </cell>
          <cell r="E2217" t="str">
            <v>721410</v>
          </cell>
          <cell r="F2217" t="str">
            <v>B</v>
          </cell>
          <cell r="G2217" t="str">
            <v>1080045</v>
          </cell>
          <cell r="H2217" t="str">
            <v>Beilage</v>
          </cell>
          <cell r="I2217">
            <v>1</v>
          </cell>
          <cell r="J2217" t="str">
            <v>Stk</v>
          </cell>
          <cell r="K2217">
            <v>45013</v>
          </cell>
          <cell r="L2217" t="str">
            <v/>
          </cell>
          <cell r="M2217" t="str">
            <v/>
          </cell>
          <cell r="N2217" t="str">
            <v/>
          </cell>
          <cell r="O2217" t="str">
            <v/>
          </cell>
          <cell r="P2217" t="str">
            <v/>
          </cell>
          <cell r="Q2217" t="str">
            <v/>
          </cell>
          <cell r="R2217" t="str">
            <v/>
          </cell>
          <cell r="S2217" t="str">
            <v/>
          </cell>
          <cell r="T2217" t="str">
            <v/>
          </cell>
          <cell r="U2217" t="str">
            <v/>
          </cell>
          <cell r="V2217" t="str">
            <v>N52</v>
          </cell>
          <cell r="W2217" t="str">
            <v/>
          </cell>
          <cell r="X2217" t="str">
            <v/>
          </cell>
          <cell r="Y2217" t="str">
            <v/>
          </cell>
          <cell r="Z2217" t="str">
            <v/>
          </cell>
          <cell r="AA2217" t="str">
            <v/>
          </cell>
          <cell r="AB2217" t="str">
            <v>PA_2262349-DA.7501-4P.3</v>
          </cell>
          <cell r="AC2217">
            <v>5</v>
          </cell>
          <cell r="AD2217" t="str">
            <v/>
          </cell>
          <cell r="AE2217">
            <v>0</v>
          </cell>
          <cell r="AF2217" t="str">
            <v/>
          </cell>
          <cell r="AG2217" t="str">
            <v>1080045</v>
          </cell>
          <cell r="AH2217">
            <v>45009.83489583333</v>
          </cell>
          <cell r="AI2217" t="str">
            <v>N52</v>
          </cell>
          <cell r="AJ2217" t="str">
            <v>F</v>
          </cell>
          <cell r="AK2217" t="str">
            <v/>
          </cell>
        </row>
        <row r="2218">
          <cell r="A2218" t="str">
            <v>1080045</v>
          </cell>
          <cell r="B2218">
            <v>0</v>
          </cell>
          <cell r="C2218" t="e">
            <v>#N/A</v>
          </cell>
          <cell r="D2218" t="str">
            <v>EK65</v>
          </cell>
          <cell r="E2218" t="str">
            <v>721411</v>
          </cell>
          <cell r="F2218" t="str">
            <v>B</v>
          </cell>
          <cell r="G2218" t="str">
            <v>1080045</v>
          </cell>
          <cell r="H2218" t="str">
            <v>Beilage</v>
          </cell>
          <cell r="I2218">
            <v>1</v>
          </cell>
          <cell r="J2218" t="str">
            <v>Stk</v>
          </cell>
          <cell r="K2218">
            <v>45013</v>
          </cell>
          <cell r="L2218" t="str">
            <v/>
          </cell>
          <cell r="M2218" t="str">
            <v/>
          </cell>
          <cell r="N2218" t="str">
            <v/>
          </cell>
          <cell r="O2218" t="str">
            <v/>
          </cell>
          <cell r="P2218" t="str">
            <v/>
          </cell>
          <cell r="Q2218" t="str">
            <v/>
          </cell>
          <cell r="R2218" t="str">
            <v/>
          </cell>
          <cell r="S2218" t="str">
            <v/>
          </cell>
          <cell r="T2218" t="str">
            <v/>
          </cell>
          <cell r="U2218" t="str">
            <v/>
          </cell>
          <cell r="V2218" t="str">
            <v>N52</v>
          </cell>
          <cell r="W2218" t="str">
            <v/>
          </cell>
          <cell r="X2218" t="str">
            <v/>
          </cell>
          <cell r="Y2218" t="str">
            <v/>
          </cell>
          <cell r="Z2218" t="str">
            <v/>
          </cell>
          <cell r="AA2218" t="str">
            <v/>
          </cell>
          <cell r="AB2218" t="str">
            <v>PA_2262349-DA.7501-4P.3</v>
          </cell>
          <cell r="AC2218">
            <v>5</v>
          </cell>
          <cell r="AD2218" t="str">
            <v/>
          </cell>
          <cell r="AE2218">
            <v>0</v>
          </cell>
          <cell r="AF2218" t="str">
            <v/>
          </cell>
          <cell r="AG2218" t="str">
            <v>1080045</v>
          </cell>
          <cell r="AH2218">
            <v>45009.83489583333</v>
          </cell>
          <cell r="AI2218" t="str">
            <v>N52</v>
          </cell>
          <cell r="AJ2218" t="str">
            <v>F</v>
          </cell>
          <cell r="AK2218" t="str">
            <v/>
          </cell>
        </row>
        <row r="2219">
          <cell r="A2219" t="str">
            <v>1080045</v>
          </cell>
          <cell r="B2219">
            <v>0</v>
          </cell>
          <cell r="C2219" t="e">
            <v>#N/A</v>
          </cell>
          <cell r="D2219" t="str">
            <v>EK65</v>
          </cell>
          <cell r="E2219" t="str">
            <v>721412</v>
          </cell>
          <cell r="F2219" t="str">
            <v>B</v>
          </cell>
          <cell r="G2219" t="str">
            <v>1080045</v>
          </cell>
          <cell r="H2219" t="str">
            <v>Beilage</v>
          </cell>
          <cell r="I2219">
            <v>1</v>
          </cell>
          <cell r="J2219" t="str">
            <v>Stk</v>
          </cell>
          <cell r="K2219">
            <v>45013</v>
          </cell>
          <cell r="L2219" t="str">
            <v/>
          </cell>
          <cell r="M2219" t="str">
            <v/>
          </cell>
          <cell r="N2219" t="str">
            <v/>
          </cell>
          <cell r="O2219" t="str">
            <v/>
          </cell>
          <cell r="P2219" t="str">
            <v/>
          </cell>
          <cell r="Q2219" t="str">
            <v/>
          </cell>
          <cell r="R2219" t="str">
            <v/>
          </cell>
          <cell r="S2219" t="str">
            <v/>
          </cell>
          <cell r="T2219" t="str">
            <v/>
          </cell>
          <cell r="U2219" t="str">
            <v/>
          </cell>
          <cell r="V2219" t="str">
            <v>N52</v>
          </cell>
          <cell r="W2219" t="str">
            <v/>
          </cell>
          <cell r="X2219" t="str">
            <v/>
          </cell>
          <cell r="Y2219" t="str">
            <v/>
          </cell>
          <cell r="Z2219" t="str">
            <v/>
          </cell>
          <cell r="AA2219" t="str">
            <v/>
          </cell>
          <cell r="AB2219" t="str">
            <v>PA_2262349-DA.7501-4P.3</v>
          </cell>
          <cell r="AC2219">
            <v>5</v>
          </cell>
          <cell r="AD2219" t="str">
            <v/>
          </cell>
          <cell r="AE2219">
            <v>0</v>
          </cell>
          <cell r="AF2219" t="str">
            <v/>
          </cell>
          <cell r="AG2219" t="str">
            <v>1080045</v>
          </cell>
          <cell r="AH2219">
            <v>45009.83489583333</v>
          </cell>
          <cell r="AI2219" t="str">
            <v>N52</v>
          </cell>
          <cell r="AJ2219" t="str">
            <v>F</v>
          </cell>
          <cell r="AK2219" t="str">
            <v/>
          </cell>
        </row>
        <row r="2220">
          <cell r="A2220" t="str">
            <v>1080045</v>
          </cell>
          <cell r="B2220">
            <v>0</v>
          </cell>
          <cell r="C2220" t="e">
            <v>#N/A</v>
          </cell>
          <cell r="D2220" t="str">
            <v>EK65</v>
          </cell>
          <cell r="E2220" t="str">
            <v>721413</v>
          </cell>
          <cell r="F2220" t="str">
            <v>B</v>
          </cell>
          <cell r="G2220" t="str">
            <v>1080045</v>
          </cell>
          <cell r="H2220" t="str">
            <v>Beilage</v>
          </cell>
          <cell r="I2220">
            <v>1</v>
          </cell>
          <cell r="J2220" t="str">
            <v>Stk</v>
          </cell>
          <cell r="K2220">
            <v>45013</v>
          </cell>
          <cell r="L2220" t="str">
            <v/>
          </cell>
          <cell r="M2220" t="str">
            <v/>
          </cell>
          <cell r="N2220" t="str">
            <v/>
          </cell>
          <cell r="O2220" t="str">
            <v/>
          </cell>
          <cell r="P2220" t="str">
            <v/>
          </cell>
          <cell r="Q2220" t="str">
            <v/>
          </cell>
          <cell r="R2220" t="str">
            <v/>
          </cell>
          <cell r="S2220" t="str">
            <v/>
          </cell>
          <cell r="T2220" t="str">
            <v/>
          </cell>
          <cell r="U2220" t="str">
            <v/>
          </cell>
          <cell r="V2220" t="str">
            <v>N52</v>
          </cell>
          <cell r="W2220" t="str">
            <v/>
          </cell>
          <cell r="X2220" t="str">
            <v/>
          </cell>
          <cell r="Y2220" t="str">
            <v/>
          </cell>
          <cell r="Z2220" t="str">
            <v/>
          </cell>
          <cell r="AA2220" t="str">
            <v/>
          </cell>
          <cell r="AB2220" t="str">
            <v>PA_2262349-DA.7501-4P.3</v>
          </cell>
          <cell r="AC2220">
            <v>5</v>
          </cell>
          <cell r="AD2220" t="str">
            <v/>
          </cell>
          <cell r="AE2220">
            <v>0</v>
          </cell>
          <cell r="AF2220" t="str">
            <v/>
          </cell>
          <cell r="AG2220" t="str">
            <v>1080045</v>
          </cell>
          <cell r="AH2220">
            <v>45009.83489583333</v>
          </cell>
          <cell r="AI2220" t="str">
            <v>N52</v>
          </cell>
          <cell r="AJ2220" t="str">
            <v>F</v>
          </cell>
          <cell r="AK2220" t="str">
            <v/>
          </cell>
        </row>
        <row r="2221">
          <cell r="A2221" t="str">
            <v>1080045</v>
          </cell>
          <cell r="B2221">
            <v>0</v>
          </cell>
          <cell r="C2221" t="e">
            <v>#N/A</v>
          </cell>
          <cell r="D2221" t="str">
            <v>EK65</v>
          </cell>
          <cell r="E2221" t="str">
            <v>721414</v>
          </cell>
          <cell r="F2221" t="str">
            <v>B</v>
          </cell>
          <cell r="G2221" t="str">
            <v>1080045</v>
          </cell>
          <cell r="H2221" t="str">
            <v>Beilage</v>
          </cell>
          <cell r="I2221">
            <v>1</v>
          </cell>
          <cell r="J2221" t="str">
            <v>Stk</v>
          </cell>
          <cell r="K2221">
            <v>45013</v>
          </cell>
          <cell r="L2221" t="str">
            <v/>
          </cell>
          <cell r="M2221" t="str">
            <v/>
          </cell>
          <cell r="N2221" t="str">
            <v/>
          </cell>
          <cell r="O2221" t="str">
            <v/>
          </cell>
          <cell r="P2221" t="str">
            <v/>
          </cell>
          <cell r="Q2221" t="str">
            <v/>
          </cell>
          <cell r="R2221" t="str">
            <v/>
          </cell>
          <cell r="S2221" t="str">
            <v/>
          </cell>
          <cell r="T2221" t="str">
            <v/>
          </cell>
          <cell r="U2221" t="str">
            <v/>
          </cell>
          <cell r="V2221" t="str">
            <v>N52</v>
          </cell>
          <cell r="W2221" t="str">
            <v/>
          </cell>
          <cell r="X2221" t="str">
            <v/>
          </cell>
          <cell r="Y2221" t="str">
            <v/>
          </cell>
          <cell r="Z2221" t="str">
            <v/>
          </cell>
          <cell r="AA2221" t="str">
            <v/>
          </cell>
          <cell r="AB2221" t="str">
            <v>PA_2262349-DA.7501-4P.3</v>
          </cell>
          <cell r="AC2221">
            <v>5</v>
          </cell>
          <cell r="AD2221" t="str">
            <v/>
          </cell>
          <cell r="AE2221">
            <v>0</v>
          </cell>
          <cell r="AF2221" t="str">
            <v/>
          </cell>
          <cell r="AG2221" t="str">
            <v>1080045</v>
          </cell>
          <cell r="AH2221">
            <v>45009.834907407407</v>
          </cell>
          <cell r="AI2221" t="str">
            <v>N52</v>
          </cell>
          <cell r="AJ2221" t="str">
            <v>F</v>
          </cell>
          <cell r="AK2221" t="str">
            <v/>
          </cell>
        </row>
        <row r="2222">
          <cell r="A2222" t="str">
            <v>1080045</v>
          </cell>
          <cell r="B2222">
            <v>0</v>
          </cell>
          <cell r="C2222" t="e">
            <v>#N/A</v>
          </cell>
          <cell r="D2222" t="str">
            <v>EK65</v>
          </cell>
          <cell r="E2222" t="str">
            <v>721415</v>
          </cell>
          <cell r="F2222" t="str">
            <v>B</v>
          </cell>
          <cell r="G2222" t="str">
            <v>1080045</v>
          </cell>
          <cell r="H2222" t="str">
            <v>Beilage</v>
          </cell>
          <cell r="I2222">
            <v>1</v>
          </cell>
          <cell r="J2222" t="str">
            <v>Stk</v>
          </cell>
          <cell r="K2222">
            <v>45013</v>
          </cell>
          <cell r="L2222" t="str">
            <v/>
          </cell>
          <cell r="M2222" t="str">
            <v/>
          </cell>
          <cell r="N2222" t="str">
            <v/>
          </cell>
          <cell r="O2222" t="str">
            <v/>
          </cell>
          <cell r="P2222" t="str">
            <v/>
          </cell>
          <cell r="Q2222" t="str">
            <v/>
          </cell>
          <cell r="R2222" t="str">
            <v/>
          </cell>
          <cell r="S2222" t="str">
            <v/>
          </cell>
          <cell r="T2222" t="str">
            <v/>
          </cell>
          <cell r="U2222" t="str">
            <v/>
          </cell>
          <cell r="V2222" t="str">
            <v>N52</v>
          </cell>
          <cell r="W2222" t="str">
            <v/>
          </cell>
          <cell r="X2222" t="str">
            <v/>
          </cell>
          <cell r="Y2222" t="str">
            <v/>
          </cell>
          <cell r="Z2222" t="str">
            <v/>
          </cell>
          <cell r="AA2222" t="str">
            <v/>
          </cell>
          <cell r="AB2222" t="str">
            <v>PA_2262349-DA.7501-4P.3</v>
          </cell>
          <cell r="AC2222">
            <v>5</v>
          </cell>
          <cell r="AD2222" t="str">
            <v/>
          </cell>
          <cell r="AE2222">
            <v>0</v>
          </cell>
          <cell r="AF2222" t="str">
            <v/>
          </cell>
          <cell r="AG2222" t="str">
            <v>1080045</v>
          </cell>
          <cell r="AH2222">
            <v>45009.834907407407</v>
          </cell>
          <cell r="AI2222" t="str">
            <v>N52</v>
          </cell>
          <cell r="AJ2222" t="str">
            <v>F</v>
          </cell>
          <cell r="AK2222" t="str">
            <v/>
          </cell>
        </row>
        <row r="2223">
          <cell r="A2223" t="str">
            <v>1080045</v>
          </cell>
          <cell r="B2223">
            <v>0</v>
          </cell>
          <cell r="C2223" t="e">
            <v>#N/A</v>
          </cell>
          <cell r="D2223" t="str">
            <v>EK65</v>
          </cell>
          <cell r="E2223" t="str">
            <v>721416</v>
          </cell>
          <cell r="F2223" t="str">
            <v>B</v>
          </cell>
          <cell r="G2223" t="str">
            <v>1080045</v>
          </cell>
          <cell r="H2223" t="str">
            <v>Beilage</v>
          </cell>
          <cell r="I2223">
            <v>1</v>
          </cell>
          <cell r="J2223" t="str">
            <v>Stk</v>
          </cell>
          <cell r="K2223">
            <v>45013</v>
          </cell>
          <cell r="L2223" t="str">
            <v/>
          </cell>
          <cell r="M2223" t="str">
            <v/>
          </cell>
          <cell r="N2223" t="str">
            <v/>
          </cell>
          <cell r="O2223" t="str">
            <v/>
          </cell>
          <cell r="P2223" t="str">
            <v/>
          </cell>
          <cell r="Q2223" t="str">
            <v/>
          </cell>
          <cell r="R2223" t="str">
            <v/>
          </cell>
          <cell r="S2223" t="str">
            <v/>
          </cell>
          <cell r="T2223" t="str">
            <v/>
          </cell>
          <cell r="U2223" t="str">
            <v/>
          </cell>
          <cell r="V2223" t="str">
            <v>N52</v>
          </cell>
          <cell r="W2223" t="str">
            <v/>
          </cell>
          <cell r="X2223" t="str">
            <v/>
          </cell>
          <cell r="Y2223" t="str">
            <v/>
          </cell>
          <cell r="Z2223" t="str">
            <v/>
          </cell>
          <cell r="AA2223" t="str">
            <v/>
          </cell>
          <cell r="AB2223" t="str">
            <v>PA_2262349-DA.7501-4P.3</v>
          </cell>
          <cell r="AC2223">
            <v>5</v>
          </cell>
          <cell r="AD2223" t="str">
            <v/>
          </cell>
          <cell r="AE2223">
            <v>0</v>
          </cell>
          <cell r="AF2223" t="str">
            <v/>
          </cell>
          <cell r="AG2223" t="str">
            <v>1080045</v>
          </cell>
          <cell r="AH2223">
            <v>45009.834907407407</v>
          </cell>
          <cell r="AI2223" t="str">
            <v>N52</v>
          </cell>
          <cell r="AJ2223" t="str">
            <v>F</v>
          </cell>
          <cell r="AK2223" t="str">
            <v/>
          </cell>
        </row>
        <row r="2224">
          <cell r="A2224" t="str">
            <v>0696418831003</v>
          </cell>
          <cell r="B2224" t="e">
            <v>#N/A</v>
          </cell>
          <cell r="C2224" t="e">
            <v>#N/A</v>
          </cell>
          <cell r="D2224" t="str">
            <v>EK65</v>
          </cell>
          <cell r="E2224" t="str">
            <v>721446</v>
          </cell>
          <cell r="F2224" t="str">
            <v>E</v>
          </cell>
          <cell r="G2224" t="str">
            <v>0696418</v>
          </cell>
          <cell r="H2224" t="str">
            <v>Grundplatte vollst. w.g.</v>
          </cell>
          <cell r="I2224">
            <v>1</v>
          </cell>
          <cell r="J2224" t="str">
            <v>Stk</v>
          </cell>
          <cell r="K2224">
            <v>44995</v>
          </cell>
          <cell r="L2224" t="str">
            <v>831003</v>
          </cell>
          <cell r="M2224" t="str">
            <v/>
          </cell>
          <cell r="N2224" t="str">
            <v/>
          </cell>
          <cell r="O2224" t="str">
            <v/>
          </cell>
          <cell r="P2224" t="str">
            <v/>
          </cell>
          <cell r="Q2224" t="str">
            <v/>
          </cell>
          <cell r="R2224" t="str">
            <v/>
          </cell>
          <cell r="S2224" t="str">
            <v/>
          </cell>
          <cell r="T2224" t="str">
            <v/>
          </cell>
          <cell r="U2224" t="str">
            <v/>
          </cell>
          <cell r="V2224" t="str">
            <v>N32</v>
          </cell>
          <cell r="W2224" t="str">
            <v/>
          </cell>
          <cell r="X2224" t="str">
            <v/>
          </cell>
          <cell r="Y2224" t="str">
            <v/>
          </cell>
          <cell r="Z2224" t="str">
            <v/>
          </cell>
          <cell r="AA2224" t="str">
            <v/>
          </cell>
          <cell r="AB2224" t="str">
            <v>PA_2213939-CC.7500-3</v>
          </cell>
          <cell r="AC2224">
            <v>1</v>
          </cell>
          <cell r="AD2224" t="str">
            <v/>
          </cell>
          <cell r="AE2224">
            <v>0</v>
          </cell>
          <cell r="AF2224" t="str">
            <v/>
          </cell>
          <cell r="AG2224" t="str">
            <v>0696418</v>
          </cell>
          <cell r="AH2224">
            <v>45009.862037037034</v>
          </cell>
          <cell r="AI2224" t="str">
            <v>N32</v>
          </cell>
          <cell r="AJ2224" t="str">
            <v>F</v>
          </cell>
          <cell r="AK2224" t="str">
            <v>A</v>
          </cell>
        </row>
        <row r="2225">
          <cell r="A2225" t="str">
            <v>0696429831003</v>
          </cell>
          <cell r="B2225" t="e">
            <v>#N/A</v>
          </cell>
          <cell r="C2225" t="e">
            <v>#N/A</v>
          </cell>
          <cell r="D2225" t="str">
            <v>EK65</v>
          </cell>
          <cell r="E2225" t="str">
            <v>721447</v>
          </cell>
          <cell r="F2225" t="str">
            <v>E</v>
          </cell>
          <cell r="G2225" t="str">
            <v>0696429</v>
          </cell>
          <cell r="H2225" t="str">
            <v>Grundplatte vollst. sp.g.</v>
          </cell>
          <cell r="I2225">
            <v>1</v>
          </cell>
          <cell r="J2225" t="str">
            <v>Stk</v>
          </cell>
          <cell r="K2225">
            <v>44995</v>
          </cell>
          <cell r="L2225" t="str">
            <v>831003</v>
          </cell>
          <cell r="M2225" t="str">
            <v/>
          </cell>
          <cell r="N2225" t="str">
            <v/>
          </cell>
          <cell r="O2225" t="str">
            <v/>
          </cell>
          <cell r="P2225" t="str">
            <v/>
          </cell>
          <cell r="Q2225" t="str">
            <v/>
          </cell>
          <cell r="R2225" t="str">
            <v/>
          </cell>
          <cell r="S2225" t="str">
            <v/>
          </cell>
          <cell r="T2225" t="str">
            <v/>
          </cell>
          <cell r="U2225" t="str">
            <v/>
          </cell>
          <cell r="V2225" t="str">
            <v>N32</v>
          </cell>
          <cell r="W2225" t="str">
            <v/>
          </cell>
          <cell r="X2225" t="str">
            <v/>
          </cell>
          <cell r="Y2225" t="str">
            <v/>
          </cell>
          <cell r="Z2225" t="str">
            <v/>
          </cell>
          <cell r="AA2225" t="str">
            <v/>
          </cell>
          <cell r="AB2225" t="str">
            <v>PA_2213937-CC.7500-3</v>
          </cell>
          <cell r="AC2225">
            <v>1</v>
          </cell>
          <cell r="AD2225" t="str">
            <v/>
          </cell>
          <cell r="AE2225">
            <v>0</v>
          </cell>
          <cell r="AF2225" t="str">
            <v/>
          </cell>
          <cell r="AG2225" t="str">
            <v>0696429</v>
          </cell>
          <cell r="AH2225">
            <v>45009.862037037034</v>
          </cell>
          <cell r="AI2225" t="str">
            <v>N32</v>
          </cell>
          <cell r="AJ2225" t="str">
            <v>F</v>
          </cell>
          <cell r="AK2225" t="str">
            <v>A</v>
          </cell>
        </row>
        <row r="2226">
          <cell r="A2226" t="str">
            <v>0209465831003</v>
          </cell>
          <cell r="B2226" t="str">
            <v>Übergabe Task Force NSB, Bestand vorhanden umbuchen</v>
          </cell>
          <cell r="C2226" t="e">
            <v>#N/A</v>
          </cell>
          <cell r="D2226" t="str">
            <v>EK65</v>
          </cell>
          <cell r="E2226" t="str">
            <v>721646</v>
          </cell>
          <cell r="F2226" t="str">
            <v>E</v>
          </cell>
          <cell r="G2226" t="str">
            <v>0209465</v>
          </cell>
          <cell r="H2226" t="str">
            <v>SPEZIAL UNTERLEG- SCHEIBE D55X36,5X2</v>
          </cell>
          <cell r="I2226">
            <v>14</v>
          </cell>
          <cell r="J2226" t="str">
            <v>Stk</v>
          </cell>
          <cell r="K2226">
            <v>44984</v>
          </cell>
          <cell r="L2226" t="str">
            <v>831003</v>
          </cell>
          <cell r="M2226" t="str">
            <v/>
          </cell>
          <cell r="N2226" t="str">
            <v/>
          </cell>
          <cell r="O2226" t="str">
            <v/>
          </cell>
          <cell r="P2226" t="str">
            <v/>
          </cell>
          <cell r="Q2226" t="str">
            <v/>
          </cell>
          <cell r="R2226" t="str">
            <v/>
          </cell>
          <cell r="S2226" t="str">
            <v/>
          </cell>
          <cell r="T2226" t="str">
            <v/>
          </cell>
          <cell r="U2226" t="str">
            <v/>
          </cell>
          <cell r="V2226" t="str">
            <v>K30</v>
          </cell>
          <cell r="W2226" t="str">
            <v/>
          </cell>
          <cell r="X2226" t="str">
            <v/>
          </cell>
          <cell r="Y2226" t="str">
            <v/>
          </cell>
          <cell r="Z2226" t="str">
            <v/>
          </cell>
          <cell r="AA2226" t="str">
            <v/>
          </cell>
          <cell r="AB2226" t="str">
            <v>CHX1006075-QB.3000-4</v>
          </cell>
          <cell r="AC2226">
            <v>1</v>
          </cell>
          <cell r="AD2226" t="str">
            <v/>
          </cell>
          <cell r="AE2226">
            <v>0</v>
          </cell>
          <cell r="AF2226" t="str">
            <v/>
          </cell>
          <cell r="AG2226" t="str">
            <v>0209465</v>
          </cell>
          <cell r="AH2226">
            <v>45009.890590277777</v>
          </cell>
          <cell r="AI2226" t="str">
            <v>K30</v>
          </cell>
          <cell r="AJ2226" t="str">
            <v>F</v>
          </cell>
          <cell r="AK2226" t="str">
            <v>B</v>
          </cell>
        </row>
        <row r="2227">
          <cell r="A2227" t="str">
            <v>12669989820541</v>
          </cell>
          <cell r="B2227" t="e">
            <v>#N/A</v>
          </cell>
          <cell r="C2227" t="e">
            <v>#N/A</v>
          </cell>
          <cell r="D2227" t="str">
            <v>EK65</v>
          </cell>
          <cell r="E2227" t="str">
            <v>721654</v>
          </cell>
          <cell r="F2227" t="str">
            <v>E</v>
          </cell>
          <cell r="G2227" t="str">
            <v>12669989</v>
          </cell>
          <cell r="H2227" t="str">
            <v>Beilage beschichtet</v>
          </cell>
          <cell r="I2227">
            <v>176</v>
          </cell>
          <cell r="J2227" t="str">
            <v>Stk</v>
          </cell>
          <cell r="K2227">
            <v>45197</v>
          </cell>
          <cell r="L2227" t="str">
            <v>820541</v>
          </cell>
          <cell r="M2227" t="str">
            <v/>
          </cell>
          <cell r="N2227" t="str">
            <v/>
          </cell>
          <cell r="O2227" t="str">
            <v/>
          </cell>
          <cell r="P2227" t="str">
            <v/>
          </cell>
          <cell r="Q2227" t="str">
            <v/>
          </cell>
          <cell r="R2227" t="str">
            <v/>
          </cell>
          <cell r="S2227" t="str">
            <v/>
          </cell>
          <cell r="T2227" t="str">
            <v/>
          </cell>
          <cell r="U2227" t="str">
            <v/>
          </cell>
          <cell r="V2227" t="str">
            <v>N34</v>
          </cell>
          <cell r="W2227" t="str">
            <v/>
          </cell>
          <cell r="X2227" t="str">
            <v/>
          </cell>
          <cell r="Y2227" t="str">
            <v/>
          </cell>
          <cell r="Z2227" t="str">
            <v/>
          </cell>
          <cell r="AA2227" t="str">
            <v/>
          </cell>
          <cell r="AB2227" t="str">
            <v>PA_5261190-DC.3048-3</v>
          </cell>
          <cell r="AC2227">
            <v>1</v>
          </cell>
          <cell r="AD2227" t="str">
            <v/>
          </cell>
          <cell r="AE2227">
            <v>0</v>
          </cell>
          <cell r="AF2227" t="str">
            <v/>
          </cell>
          <cell r="AG2227" t="str">
            <v>12669989</v>
          </cell>
          <cell r="AH2227">
            <v>45009.89435185185</v>
          </cell>
          <cell r="AI2227" t="str">
            <v>N34</v>
          </cell>
          <cell r="AJ2227" t="str">
            <v>F</v>
          </cell>
          <cell r="AK2227" t="str">
            <v/>
          </cell>
        </row>
        <row r="2228">
          <cell r="A2228" t="str">
            <v>1313554</v>
          </cell>
          <cell r="B2228" t="str">
            <v>Übergabe Task Force</v>
          </cell>
          <cell r="C2228" t="e">
            <v>#N/A</v>
          </cell>
          <cell r="D2228" t="str">
            <v>EK65</v>
          </cell>
          <cell r="E2228" t="str">
            <v>721677</v>
          </cell>
          <cell r="F2228" t="str">
            <v>B</v>
          </cell>
          <cell r="G2228" t="str">
            <v>1313554</v>
          </cell>
          <cell r="H2228" t="str">
            <v>Dehnhuelse M16 / 40mm</v>
          </cell>
          <cell r="I2228">
            <v>150</v>
          </cell>
          <cell r="J2228" t="str">
            <v>Stk</v>
          </cell>
          <cell r="K2228">
            <v>45014</v>
          </cell>
          <cell r="L2228" t="str">
            <v/>
          </cell>
          <cell r="M2228" t="str">
            <v/>
          </cell>
          <cell r="N2228" t="str">
            <v/>
          </cell>
          <cell r="O2228" t="str">
            <v/>
          </cell>
          <cell r="P2228" t="str">
            <v/>
          </cell>
          <cell r="Q2228" t="str">
            <v/>
          </cell>
          <cell r="R2228" t="str">
            <v/>
          </cell>
          <cell r="S2228" t="str">
            <v/>
          </cell>
          <cell r="T2228" t="str">
            <v/>
          </cell>
          <cell r="U2228" t="str">
            <v/>
          </cell>
          <cell r="V2228" t="str">
            <v>N52</v>
          </cell>
          <cell r="W2228" t="str">
            <v/>
          </cell>
          <cell r="X2228" t="str">
            <v/>
          </cell>
          <cell r="Y2228" t="str">
            <v/>
          </cell>
          <cell r="Z2228" t="str">
            <v/>
          </cell>
          <cell r="AA2228" t="str">
            <v/>
          </cell>
          <cell r="AB2228" t="str">
            <v>PA_2172048-UA.7500-4</v>
          </cell>
          <cell r="AC2228">
            <v>4</v>
          </cell>
          <cell r="AD2228" t="str">
            <v/>
          </cell>
          <cell r="AE2228">
            <v>0</v>
          </cell>
          <cell r="AF2228" t="str">
            <v/>
          </cell>
          <cell r="AG2228" t="str">
            <v>1313554</v>
          </cell>
          <cell r="AH2228">
            <v>45012.835347222222</v>
          </cell>
          <cell r="AI2228" t="str">
            <v>N52</v>
          </cell>
          <cell r="AJ2228" t="str">
            <v>F</v>
          </cell>
          <cell r="AK2228" t="str">
            <v/>
          </cell>
        </row>
        <row r="2229">
          <cell r="A2229" t="str">
            <v>5732724</v>
          </cell>
          <cell r="B2229" t="e">
            <v>#N/A</v>
          </cell>
          <cell r="C2229" t="e">
            <v>#N/A</v>
          </cell>
          <cell r="D2229" t="str">
            <v>EK65</v>
          </cell>
          <cell r="E2229" t="str">
            <v>721685</v>
          </cell>
          <cell r="F2229" t="str">
            <v>B</v>
          </cell>
          <cell r="G2229" t="str">
            <v>5732724</v>
          </cell>
          <cell r="H2229" t="str">
            <v>DISTANZHUELSE</v>
          </cell>
          <cell r="I2229">
            <v>200</v>
          </cell>
          <cell r="J2229" t="str">
            <v>Stk</v>
          </cell>
          <cell r="K2229">
            <v>45014</v>
          </cell>
          <cell r="L2229" t="str">
            <v/>
          </cell>
          <cell r="M2229" t="str">
            <v/>
          </cell>
          <cell r="N2229" t="str">
            <v/>
          </cell>
          <cell r="O2229" t="str">
            <v/>
          </cell>
          <cell r="P2229" t="str">
            <v/>
          </cell>
          <cell r="Q2229" t="str">
            <v/>
          </cell>
          <cell r="R2229" t="str">
            <v/>
          </cell>
          <cell r="S2229" t="str">
            <v/>
          </cell>
          <cell r="T2229" t="str">
            <v/>
          </cell>
          <cell r="U2229" t="str">
            <v/>
          </cell>
          <cell r="V2229" t="str">
            <v>N32</v>
          </cell>
          <cell r="W2229" t="str">
            <v/>
          </cell>
          <cell r="X2229" t="str">
            <v/>
          </cell>
          <cell r="Y2229" t="str">
            <v/>
          </cell>
          <cell r="Z2229" t="str">
            <v/>
          </cell>
          <cell r="AA2229" t="str">
            <v/>
          </cell>
          <cell r="AB2229" t="str">
            <v>PA_1491407-CA.3021-4</v>
          </cell>
          <cell r="AC2229">
            <v>4</v>
          </cell>
          <cell r="AD2229" t="str">
            <v/>
          </cell>
          <cell r="AE2229">
            <v>0</v>
          </cell>
          <cell r="AF2229" t="str">
            <v/>
          </cell>
          <cell r="AG2229" t="str">
            <v>5732724</v>
          </cell>
          <cell r="AH2229">
            <v>45012.837523148148</v>
          </cell>
          <cell r="AI2229" t="str">
            <v>N32</v>
          </cell>
          <cell r="AJ2229" t="str">
            <v>F</v>
          </cell>
          <cell r="AK2229" t="str">
            <v/>
          </cell>
        </row>
        <row r="2230">
          <cell r="A2230" t="str">
            <v>12530759829052</v>
          </cell>
          <cell r="B2230" t="e">
            <v>#N/A</v>
          </cell>
          <cell r="C2230">
            <v>12</v>
          </cell>
          <cell r="D2230" t="str">
            <v>EK65</v>
          </cell>
          <cell r="E2230" t="str">
            <v>721803</v>
          </cell>
          <cell r="F2230" t="str">
            <v>E</v>
          </cell>
          <cell r="G2230" t="str">
            <v>12530759</v>
          </cell>
          <cell r="H2230" t="str">
            <v>Huelse AD20,ID11,L23</v>
          </cell>
          <cell r="I2230">
            <v>257</v>
          </cell>
          <cell r="J2230" t="str">
            <v>Stk</v>
          </cell>
          <cell r="K2230">
            <v>45419</v>
          </cell>
          <cell r="L2230" t="str">
            <v>829052</v>
          </cell>
          <cell r="M2230" t="str">
            <v/>
          </cell>
          <cell r="N2230" t="str">
            <v/>
          </cell>
          <cell r="O2230" t="str">
            <v/>
          </cell>
          <cell r="P2230" t="str">
            <v/>
          </cell>
          <cell r="Q2230" t="str">
            <v/>
          </cell>
          <cell r="R2230" t="str">
            <v/>
          </cell>
          <cell r="S2230" t="str">
            <v/>
          </cell>
          <cell r="T2230" t="str">
            <v/>
          </cell>
          <cell r="U2230" t="str">
            <v/>
          </cell>
          <cell r="V2230" t="str">
            <v>N52</v>
          </cell>
          <cell r="W2230" t="str">
            <v/>
          </cell>
          <cell r="X2230" t="str">
            <v/>
          </cell>
          <cell r="Y2230" t="str">
            <v/>
          </cell>
          <cell r="Z2230" t="str">
            <v/>
          </cell>
          <cell r="AA2230" t="str">
            <v/>
          </cell>
          <cell r="AB2230" t="str">
            <v>PA_4600785-QE.7005-4</v>
          </cell>
          <cell r="AC2230">
            <v>1</v>
          </cell>
          <cell r="AD2230" t="str">
            <v/>
          </cell>
          <cell r="AE2230">
            <v>0</v>
          </cell>
          <cell r="AF2230" t="str">
            <v/>
          </cell>
          <cell r="AG2230" t="str">
            <v>12530759</v>
          </cell>
          <cell r="AH2230">
            <v>45012.907627314817</v>
          </cell>
          <cell r="AI2230" t="str">
            <v>N52</v>
          </cell>
          <cell r="AJ2230" t="str">
            <v>F</v>
          </cell>
          <cell r="AK2230" t="str">
            <v/>
          </cell>
        </row>
        <row r="2231">
          <cell r="A2231" t="str">
            <v>12636851820541</v>
          </cell>
          <cell r="B2231" t="e">
            <v>#N/A</v>
          </cell>
          <cell r="C2231" t="e">
            <v>#N/A</v>
          </cell>
          <cell r="D2231" t="str">
            <v>EK65</v>
          </cell>
          <cell r="E2231" t="str">
            <v>721813</v>
          </cell>
          <cell r="F2231" t="str">
            <v>E</v>
          </cell>
          <cell r="G2231" t="str">
            <v>12636851</v>
          </cell>
          <cell r="H2231" t="str">
            <v>Pultplatte Schrank kpl. Wg. B</v>
          </cell>
          <cell r="I2231">
            <v>44</v>
          </cell>
          <cell r="J2231" t="str">
            <v>Stk</v>
          </cell>
          <cell r="K2231">
            <v>45111</v>
          </cell>
          <cell r="L2231" t="str">
            <v>820541</v>
          </cell>
          <cell r="M2231" t="str">
            <v/>
          </cell>
          <cell r="N2231" t="str">
            <v/>
          </cell>
          <cell r="O2231" t="str">
            <v/>
          </cell>
          <cell r="P2231" t="str">
            <v/>
          </cell>
          <cell r="Q2231" t="str">
            <v/>
          </cell>
          <cell r="R2231" t="str">
            <v/>
          </cell>
          <cell r="S2231" t="str">
            <v/>
          </cell>
          <cell r="T2231" t="str">
            <v/>
          </cell>
          <cell r="U2231" t="str">
            <v/>
          </cell>
          <cell r="V2231" t="str">
            <v>I25</v>
          </cell>
          <cell r="W2231" t="str">
            <v/>
          </cell>
          <cell r="X2231" t="str">
            <v/>
          </cell>
          <cell r="Y2231" t="str">
            <v/>
          </cell>
          <cell r="Z2231" t="str">
            <v/>
          </cell>
          <cell r="AA2231" t="str">
            <v/>
          </cell>
          <cell r="AB2231" t="str">
            <v>PA_5129805-TD.3048-3</v>
          </cell>
          <cell r="AC2231">
            <v>1</v>
          </cell>
          <cell r="AD2231" t="str">
            <v/>
          </cell>
          <cell r="AE2231">
            <v>0</v>
          </cell>
          <cell r="AF2231" t="str">
            <v/>
          </cell>
          <cell r="AG2231" t="str">
            <v>12636851</v>
          </cell>
          <cell r="AH2231">
            <v>45012.924733796295</v>
          </cell>
          <cell r="AI2231" t="str">
            <v>I25</v>
          </cell>
          <cell r="AJ2231" t="str">
            <v>F</v>
          </cell>
          <cell r="AK2231" t="str">
            <v/>
          </cell>
        </row>
        <row r="2232">
          <cell r="A2232" t="str">
            <v>12648121820541</v>
          </cell>
          <cell r="B2232" t="e">
            <v>#N/A</v>
          </cell>
          <cell r="C2232" t="e">
            <v>#N/A</v>
          </cell>
          <cell r="D2232" t="str">
            <v>EK65</v>
          </cell>
          <cell r="E2232" t="str">
            <v>721814</v>
          </cell>
          <cell r="F2232" t="str">
            <v>E</v>
          </cell>
          <cell r="G2232" t="str">
            <v>12648121</v>
          </cell>
          <cell r="H2232" t="str">
            <v>+14.20 Leittechniktafel vollst.</v>
          </cell>
          <cell r="I2232">
            <v>88</v>
          </cell>
          <cell r="J2232" t="str">
            <v>Stk</v>
          </cell>
          <cell r="K2232">
            <v>45111</v>
          </cell>
          <cell r="L2232" t="str">
            <v>820541</v>
          </cell>
          <cell r="M2232" t="str">
            <v/>
          </cell>
          <cell r="N2232" t="str">
            <v/>
          </cell>
          <cell r="O2232" t="str">
            <v/>
          </cell>
          <cell r="P2232" t="str">
            <v/>
          </cell>
          <cell r="Q2232" t="str">
            <v/>
          </cell>
          <cell r="R2232" t="str">
            <v/>
          </cell>
          <cell r="S2232" t="str">
            <v/>
          </cell>
          <cell r="T2232" t="str">
            <v/>
          </cell>
          <cell r="U2232" t="str">
            <v/>
          </cell>
          <cell r="V2232" t="str">
            <v>I24</v>
          </cell>
          <cell r="W2232" t="str">
            <v/>
          </cell>
          <cell r="X2232" t="str">
            <v/>
          </cell>
          <cell r="Y2232" t="str">
            <v/>
          </cell>
          <cell r="Z2232" t="str">
            <v/>
          </cell>
          <cell r="AA2232" t="str">
            <v/>
          </cell>
          <cell r="AB2232" t="str">
            <v>PA_4946583-UB.3048-1</v>
          </cell>
          <cell r="AC2232">
            <v>1</v>
          </cell>
          <cell r="AD2232" t="str">
            <v/>
          </cell>
          <cell r="AE2232">
            <v>0</v>
          </cell>
          <cell r="AF2232" t="str">
            <v/>
          </cell>
          <cell r="AG2232" t="str">
            <v>12648121</v>
          </cell>
          <cell r="AH2232">
            <v>45012.924745370372</v>
          </cell>
          <cell r="AI2232" t="str">
            <v>I24</v>
          </cell>
          <cell r="AJ2232" t="str">
            <v>F</v>
          </cell>
          <cell r="AK2232" t="str">
            <v/>
          </cell>
        </row>
        <row r="2233">
          <cell r="A2233" t="str">
            <v>0281834820531</v>
          </cell>
          <cell r="B2233" t="e">
            <v>#N/A</v>
          </cell>
          <cell r="C2233" t="e">
            <v>#N/A</v>
          </cell>
          <cell r="D2233" t="str">
            <v>EK65</v>
          </cell>
          <cell r="E2233" t="str">
            <v>721836</v>
          </cell>
          <cell r="F2233" t="str">
            <v>E</v>
          </cell>
          <cell r="G2233" t="str">
            <v>0281834</v>
          </cell>
          <cell r="H2233" t="str">
            <v>Unterlage</v>
          </cell>
          <cell r="I2233">
            <v>1</v>
          </cell>
          <cell r="J2233" t="str">
            <v>Stk</v>
          </cell>
          <cell r="K2233">
            <v>45215</v>
          </cell>
          <cell r="L2233" t="str">
            <v>820531</v>
          </cell>
          <cell r="M2233" t="str">
            <v/>
          </cell>
          <cell r="N2233" t="str">
            <v/>
          </cell>
          <cell r="O2233" t="str">
            <v/>
          </cell>
          <cell r="P2233" t="str">
            <v/>
          </cell>
          <cell r="Q2233" t="str">
            <v/>
          </cell>
          <cell r="R2233" t="str">
            <v/>
          </cell>
          <cell r="S2233" t="str">
            <v/>
          </cell>
          <cell r="T2233" t="str">
            <v/>
          </cell>
          <cell r="U2233" t="str">
            <v/>
          </cell>
          <cell r="V2233" t="str">
            <v>N55</v>
          </cell>
          <cell r="W2233" t="str">
            <v/>
          </cell>
          <cell r="X2233" t="str">
            <v/>
          </cell>
          <cell r="Y2233" t="str">
            <v/>
          </cell>
          <cell r="Z2233" t="str">
            <v/>
          </cell>
          <cell r="AA2233" t="str">
            <v/>
          </cell>
          <cell r="AB2233" t="str">
            <v>PA_2316607-CC.3046-3</v>
          </cell>
          <cell r="AC2233">
            <v>1</v>
          </cell>
          <cell r="AD2233" t="str">
            <v/>
          </cell>
          <cell r="AE2233">
            <v>0</v>
          </cell>
          <cell r="AF2233" t="str">
            <v/>
          </cell>
          <cell r="AG2233" t="str">
            <v>0281834</v>
          </cell>
          <cell r="AH2233">
            <v>45013.860995370371</v>
          </cell>
          <cell r="AI2233" t="str">
            <v>N55</v>
          </cell>
          <cell r="AJ2233" t="str">
            <v>F</v>
          </cell>
          <cell r="AK2233" t="str">
            <v/>
          </cell>
        </row>
        <row r="2234">
          <cell r="A2234" t="str">
            <v>0281845820531</v>
          </cell>
          <cell r="B2234" t="e">
            <v>#N/A</v>
          </cell>
          <cell r="C2234" t="e">
            <v>#N/A</v>
          </cell>
          <cell r="D2234" t="str">
            <v>EK65</v>
          </cell>
          <cell r="E2234" t="str">
            <v>721837</v>
          </cell>
          <cell r="F2234" t="str">
            <v>E</v>
          </cell>
          <cell r="G2234" t="str">
            <v>0281845</v>
          </cell>
          <cell r="H2234" t="str">
            <v>Unterlage</v>
          </cell>
          <cell r="I2234">
            <v>10</v>
          </cell>
          <cell r="J2234" t="str">
            <v>Stk</v>
          </cell>
          <cell r="K2234">
            <v>45210</v>
          </cell>
          <cell r="L2234" t="str">
            <v>820531</v>
          </cell>
          <cell r="M2234" t="str">
            <v/>
          </cell>
          <cell r="N2234" t="str">
            <v/>
          </cell>
          <cell r="O2234" t="str">
            <v/>
          </cell>
          <cell r="P2234" t="str">
            <v/>
          </cell>
          <cell r="Q2234" t="str">
            <v/>
          </cell>
          <cell r="R2234" t="str">
            <v/>
          </cell>
          <cell r="S2234" t="str">
            <v/>
          </cell>
          <cell r="T2234" t="str">
            <v/>
          </cell>
          <cell r="U2234" t="str">
            <v/>
          </cell>
          <cell r="V2234" t="str">
            <v>N55</v>
          </cell>
          <cell r="W2234" t="str">
            <v/>
          </cell>
          <cell r="X2234" t="str">
            <v/>
          </cell>
          <cell r="Y2234" t="str">
            <v/>
          </cell>
          <cell r="Z2234" t="str">
            <v/>
          </cell>
          <cell r="AA2234" t="str">
            <v/>
          </cell>
          <cell r="AB2234" t="str">
            <v>PA_2316578-CC.3046-3</v>
          </cell>
          <cell r="AC2234">
            <v>1</v>
          </cell>
          <cell r="AD2234" t="str">
            <v/>
          </cell>
          <cell r="AE2234">
            <v>0</v>
          </cell>
          <cell r="AF2234" t="str">
            <v/>
          </cell>
          <cell r="AG2234" t="str">
            <v>0281845</v>
          </cell>
          <cell r="AH2234">
            <v>45013.861006944448</v>
          </cell>
          <cell r="AI2234" t="str">
            <v>N55</v>
          </cell>
          <cell r="AJ2234" t="str">
            <v>F</v>
          </cell>
          <cell r="AK2234" t="str">
            <v/>
          </cell>
        </row>
        <row r="2235">
          <cell r="A2235" t="str">
            <v>0416654831003</v>
          </cell>
          <cell r="B2235" t="e">
            <v>#N/A</v>
          </cell>
          <cell r="C2235" t="e">
            <v>#N/A</v>
          </cell>
          <cell r="D2235" t="str">
            <v>EK65</v>
          </cell>
          <cell r="E2235" t="str">
            <v>721838</v>
          </cell>
          <cell r="F2235" t="str">
            <v>E</v>
          </cell>
          <cell r="G2235" t="str">
            <v>0416654</v>
          </cell>
          <cell r="H2235" t="str">
            <v>Beilage 4mm</v>
          </cell>
          <cell r="I2235">
            <v>40</v>
          </cell>
          <cell r="J2235" t="str">
            <v>Stk</v>
          </cell>
          <cell r="K2235">
            <v>44991</v>
          </cell>
          <cell r="L2235" t="str">
            <v>831003</v>
          </cell>
          <cell r="M2235" t="str">
            <v/>
          </cell>
          <cell r="N2235" t="str">
            <v/>
          </cell>
          <cell r="O2235" t="str">
            <v/>
          </cell>
          <cell r="P2235" t="str">
            <v/>
          </cell>
          <cell r="Q2235" t="str">
            <v/>
          </cell>
          <cell r="R2235" t="str">
            <v/>
          </cell>
          <cell r="S2235" t="str">
            <v/>
          </cell>
          <cell r="T2235" t="str">
            <v/>
          </cell>
          <cell r="U2235" t="str">
            <v/>
          </cell>
          <cell r="V2235" t="str">
            <v>N52</v>
          </cell>
          <cell r="W2235" t="str">
            <v/>
          </cell>
          <cell r="X2235" t="str">
            <v/>
          </cell>
          <cell r="Y2235" t="str">
            <v/>
          </cell>
          <cell r="Z2235" t="str">
            <v/>
          </cell>
          <cell r="AA2235" t="str">
            <v/>
          </cell>
          <cell r="AB2235" t="str">
            <v>PA_2177786-CC.7500-4</v>
          </cell>
          <cell r="AC2235">
            <v>1</v>
          </cell>
          <cell r="AD2235" t="str">
            <v/>
          </cell>
          <cell r="AE2235">
            <v>0</v>
          </cell>
          <cell r="AF2235" t="str">
            <v/>
          </cell>
          <cell r="AG2235" t="str">
            <v>0416654</v>
          </cell>
          <cell r="AH2235">
            <v>45013.861574074072</v>
          </cell>
          <cell r="AI2235" t="str">
            <v>N52</v>
          </cell>
          <cell r="AJ2235" t="str">
            <v>F</v>
          </cell>
          <cell r="AK2235" t="str">
            <v/>
          </cell>
        </row>
        <row r="2236">
          <cell r="A2236" t="str">
            <v>0544415820531</v>
          </cell>
          <cell r="B2236" t="str">
            <v>Übergabe Task Force</v>
          </cell>
          <cell r="C2236" t="e">
            <v>#N/A</v>
          </cell>
          <cell r="D2236" t="str">
            <v>EK65</v>
          </cell>
          <cell r="E2236" t="str">
            <v>721871</v>
          </cell>
          <cell r="F2236" t="str">
            <v>E</v>
          </cell>
          <cell r="G2236" t="str">
            <v>0544415</v>
          </cell>
          <cell r="H2236" t="str">
            <v>Platte</v>
          </cell>
          <cell r="I2236">
            <v>7</v>
          </cell>
          <cell r="J2236" t="str">
            <v>Stk</v>
          </cell>
          <cell r="K2236">
            <v>45211</v>
          </cell>
          <cell r="L2236" t="str">
            <v>820531</v>
          </cell>
          <cell r="M2236" t="str">
            <v/>
          </cell>
          <cell r="N2236" t="str">
            <v/>
          </cell>
          <cell r="O2236" t="str">
            <v/>
          </cell>
          <cell r="P2236" t="str">
            <v/>
          </cell>
          <cell r="Q2236" t="str">
            <v>EN 755-2</v>
          </cell>
          <cell r="R2236" t="str">
            <v>EN AW-6060</v>
          </cell>
          <cell r="S2236" t="str">
            <v/>
          </cell>
          <cell r="T2236" t="str">
            <v/>
          </cell>
          <cell r="U2236" t="str">
            <v>RCK20x2x2590</v>
          </cell>
          <cell r="V2236" t="str">
            <v>N52</v>
          </cell>
          <cell r="W2236" t="str">
            <v/>
          </cell>
          <cell r="X2236" t="str">
            <v/>
          </cell>
          <cell r="Y2236" t="str">
            <v/>
          </cell>
          <cell r="Z2236" t="str">
            <v/>
          </cell>
          <cell r="AA2236" t="str">
            <v/>
          </cell>
          <cell r="AB2236" t="str">
            <v/>
          </cell>
          <cell r="AC2236">
            <v>1</v>
          </cell>
          <cell r="AD2236" t="str">
            <v/>
          </cell>
          <cell r="AE2236">
            <v>0</v>
          </cell>
          <cell r="AF2236" t="str">
            <v/>
          </cell>
          <cell r="AG2236" t="str">
            <v>0544415</v>
          </cell>
          <cell r="AH2236">
            <v>45013.90457175926</v>
          </cell>
          <cell r="AI2236" t="str">
            <v>N52</v>
          </cell>
          <cell r="AJ2236" t="str">
            <v/>
          </cell>
          <cell r="AK2236" t="str">
            <v/>
          </cell>
        </row>
        <row r="2237">
          <cell r="A2237" t="str">
            <v>12636553820541</v>
          </cell>
          <cell r="B2237" t="e">
            <v>#N/A</v>
          </cell>
          <cell r="C2237" t="e">
            <v>#N/A</v>
          </cell>
          <cell r="D2237" t="str">
            <v>EK65</v>
          </cell>
          <cell r="E2237" t="str">
            <v>721879</v>
          </cell>
          <cell r="F2237" t="str">
            <v>E</v>
          </cell>
          <cell r="G2237" t="str">
            <v>12636553</v>
          </cell>
          <cell r="H2237" t="str">
            <v>e.d. 1394102 Beilage t=1mm</v>
          </cell>
          <cell r="I2237">
            <v>352</v>
          </cell>
          <cell r="J2237" t="str">
            <v>Stk</v>
          </cell>
          <cell r="K2237">
            <v>45170</v>
          </cell>
          <cell r="L2237" t="str">
            <v>820541</v>
          </cell>
          <cell r="M2237" t="str">
            <v/>
          </cell>
          <cell r="N2237" t="str">
            <v/>
          </cell>
          <cell r="O2237" t="str">
            <v/>
          </cell>
          <cell r="P2237" t="str">
            <v/>
          </cell>
          <cell r="Q2237" t="str">
            <v/>
          </cell>
          <cell r="R2237" t="str">
            <v/>
          </cell>
          <cell r="S2237" t="str">
            <v/>
          </cell>
          <cell r="T2237" t="str">
            <v/>
          </cell>
          <cell r="U2237" t="str">
            <v/>
          </cell>
          <cell r="V2237" t="str">
            <v>N52</v>
          </cell>
          <cell r="W2237" t="str">
            <v/>
          </cell>
          <cell r="X2237" t="str">
            <v/>
          </cell>
          <cell r="Y2237" t="str">
            <v/>
          </cell>
          <cell r="Z2237" t="str">
            <v/>
          </cell>
          <cell r="AA2237" t="str">
            <v/>
          </cell>
          <cell r="AB2237" t="str">
            <v>PA_5128998-TB.3048-4</v>
          </cell>
          <cell r="AC2237">
            <v>1</v>
          </cell>
          <cell r="AD2237" t="str">
            <v/>
          </cell>
          <cell r="AE2237">
            <v>0</v>
          </cell>
          <cell r="AF2237" t="str">
            <v/>
          </cell>
          <cell r="AG2237" t="str">
            <v>12636553</v>
          </cell>
          <cell r="AH2237">
            <v>45013.910763888889</v>
          </cell>
          <cell r="AI2237" t="str">
            <v>N52</v>
          </cell>
          <cell r="AJ2237" t="str">
            <v>F</v>
          </cell>
          <cell r="AK2237" t="str">
            <v/>
          </cell>
        </row>
        <row r="2238">
          <cell r="A2238" t="str">
            <v>12636556820541</v>
          </cell>
          <cell r="B2238" t="e">
            <v>#N/A</v>
          </cell>
          <cell r="C2238" t="e">
            <v>#N/A</v>
          </cell>
          <cell r="D2238" t="str">
            <v>EK65</v>
          </cell>
          <cell r="E2238" t="str">
            <v>721880</v>
          </cell>
          <cell r="F2238" t="str">
            <v>E</v>
          </cell>
          <cell r="G2238" t="str">
            <v>12636556</v>
          </cell>
          <cell r="H2238" t="str">
            <v>e.d. 1394113 Beilage t=2mm</v>
          </cell>
          <cell r="I2238">
            <v>352</v>
          </cell>
          <cell r="J2238" t="str">
            <v>Stk</v>
          </cell>
          <cell r="K2238">
            <v>45170</v>
          </cell>
          <cell r="L2238" t="str">
            <v>820541</v>
          </cell>
          <cell r="M2238" t="str">
            <v/>
          </cell>
          <cell r="N2238" t="str">
            <v/>
          </cell>
          <cell r="O2238" t="str">
            <v/>
          </cell>
          <cell r="P2238" t="str">
            <v/>
          </cell>
          <cell r="Q2238" t="str">
            <v/>
          </cell>
          <cell r="R2238" t="str">
            <v/>
          </cell>
          <cell r="S2238" t="str">
            <v/>
          </cell>
          <cell r="T2238" t="str">
            <v/>
          </cell>
          <cell r="U2238" t="str">
            <v/>
          </cell>
          <cell r="V2238" t="str">
            <v>N52</v>
          </cell>
          <cell r="W2238" t="str">
            <v/>
          </cell>
          <cell r="X2238" t="str">
            <v/>
          </cell>
          <cell r="Y2238" t="str">
            <v/>
          </cell>
          <cell r="Z2238" t="str">
            <v/>
          </cell>
          <cell r="AA2238" t="str">
            <v/>
          </cell>
          <cell r="AB2238" t="str">
            <v>PA_5129010-TB.3048-4</v>
          </cell>
          <cell r="AC2238">
            <v>1</v>
          </cell>
          <cell r="AD2238" t="str">
            <v/>
          </cell>
          <cell r="AE2238">
            <v>0</v>
          </cell>
          <cell r="AF2238" t="str">
            <v/>
          </cell>
          <cell r="AG2238" t="str">
            <v>12636556</v>
          </cell>
          <cell r="AH2238">
            <v>45013.910787037035</v>
          </cell>
          <cell r="AI2238" t="str">
            <v>N52</v>
          </cell>
          <cell r="AJ2238" t="str">
            <v>F</v>
          </cell>
          <cell r="AK2238" t="str">
            <v/>
          </cell>
        </row>
        <row r="2239">
          <cell r="A2239" t="str">
            <v>12636559820541</v>
          </cell>
          <cell r="B2239" t="e">
            <v>#N/A</v>
          </cell>
          <cell r="C2239" t="e">
            <v>#N/A</v>
          </cell>
          <cell r="D2239" t="str">
            <v>EK65</v>
          </cell>
          <cell r="E2239" t="str">
            <v>721881</v>
          </cell>
          <cell r="F2239" t="str">
            <v>E</v>
          </cell>
          <cell r="G2239" t="str">
            <v>12636559</v>
          </cell>
          <cell r="H2239" t="str">
            <v>e.d. 1394124 Beilage t=3mm</v>
          </cell>
          <cell r="I2239">
            <v>352</v>
          </cell>
          <cell r="J2239" t="str">
            <v>Stk</v>
          </cell>
          <cell r="K2239">
            <v>45170</v>
          </cell>
          <cell r="L2239" t="str">
            <v>820541</v>
          </cell>
          <cell r="M2239" t="str">
            <v/>
          </cell>
          <cell r="N2239" t="str">
            <v/>
          </cell>
          <cell r="O2239" t="str">
            <v/>
          </cell>
          <cell r="P2239" t="str">
            <v/>
          </cell>
          <cell r="Q2239" t="str">
            <v/>
          </cell>
          <cell r="R2239" t="str">
            <v/>
          </cell>
          <cell r="S2239" t="str">
            <v/>
          </cell>
          <cell r="T2239" t="str">
            <v/>
          </cell>
          <cell r="U2239" t="str">
            <v/>
          </cell>
          <cell r="V2239" t="str">
            <v>N52</v>
          </cell>
          <cell r="W2239" t="str">
            <v/>
          </cell>
          <cell r="X2239" t="str">
            <v/>
          </cell>
          <cell r="Y2239" t="str">
            <v/>
          </cell>
          <cell r="Z2239" t="str">
            <v/>
          </cell>
          <cell r="AA2239" t="str">
            <v/>
          </cell>
          <cell r="AB2239" t="str">
            <v>PA_5129025-TB.3048-4</v>
          </cell>
          <cell r="AC2239">
            <v>1</v>
          </cell>
          <cell r="AD2239" t="str">
            <v/>
          </cell>
          <cell r="AE2239">
            <v>0</v>
          </cell>
          <cell r="AF2239" t="str">
            <v/>
          </cell>
          <cell r="AG2239" t="str">
            <v>12636559</v>
          </cell>
          <cell r="AH2239">
            <v>45013.910798611112</v>
          </cell>
          <cell r="AI2239" t="str">
            <v>N52</v>
          </cell>
          <cell r="AJ2239" t="str">
            <v>F</v>
          </cell>
          <cell r="AK2239" t="str">
            <v/>
          </cell>
        </row>
        <row r="2240">
          <cell r="A2240" t="str">
            <v>12636564820541</v>
          </cell>
          <cell r="B2240" t="e">
            <v>#N/A</v>
          </cell>
          <cell r="C2240" t="e">
            <v>#N/A</v>
          </cell>
          <cell r="D2240" t="str">
            <v>EK65</v>
          </cell>
          <cell r="E2240" t="str">
            <v>721882</v>
          </cell>
          <cell r="F2240" t="str">
            <v>E</v>
          </cell>
          <cell r="G2240" t="str">
            <v>12636564</v>
          </cell>
          <cell r="H2240" t="str">
            <v>Beilage t=7mm</v>
          </cell>
          <cell r="I2240">
            <v>352</v>
          </cell>
          <cell r="J2240" t="str">
            <v>Stk</v>
          </cell>
          <cell r="K2240">
            <v>45170</v>
          </cell>
          <cell r="L2240" t="str">
            <v>820541</v>
          </cell>
          <cell r="M2240" t="str">
            <v/>
          </cell>
          <cell r="N2240" t="str">
            <v/>
          </cell>
          <cell r="O2240" t="str">
            <v/>
          </cell>
          <cell r="P2240" t="str">
            <v/>
          </cell>
          <cell r="Q2240" t="str">
            <v/>
          </cell>
          <cell r="R2240" t="str">
            <v/>
          </cell>
          <cell r="S2240" t="str">
            <v/>
          </cell>
          <cell r="T2240" t="str">
            <v/>
          </cell>
          <cell r="U2240" t="str">
            <v/>
          </cell>
          <cell r="V2240" t="str">
            <v>N52</v>
          </cell>
          <cell r="W2240" t="str">
            <v/>
          </cell>
          <cell r="X2240" t="str">
            <v/>
          </cell>
          <cell r="Y2240" t="str">
            <v/>
          </cell>
          <cell r="Z2240" t="str">
            <v/>
          </cell>
          <cell r="AA2240" t="str">
            <v/>
          </cell>
          <cell r="AB2240" t="str">
            <v>PA_5129029-TB.3048-4</v>
          </cell>
          <cell r="AC2240">
            <v>1</v>
          </cell>
          <cell r="AD2240" t="str">
            <v/>
          </cell>
          <cell r="AE2240">
            <v>0</v>
          </cell>
          <cell r="AF2240" t="str">
            <v/>
          </cell>
          <cell r="AG2240" t="str">
            <v>12636564</v>
          </cell>
          <cell r="AH2240">
            <v>45013.910810185182</v>
          </cell>
          <cell r="AI2240" t="str">
            <v>N52</v>
          </cell>
          <cell r="AJ2240" t="str">
            <v>F</v>
          </cell>
          <cell r="AK2240" t="str">
            <v/>
          </cell>
        </row>
        <row r="2241">
          <cell r="A2241" t="str">
            <v>12672027820541</v>
          </cell>
          <cell r="B2241" t="e">
            <v>#N/A</v>
          </cell>
          <cell r="C2241" t="e">
            <v>#N/A</v>
          </cell>
          <cell r="D2241" t="str">
            <v>EK65</v>
          </cell>
          <cell r="E2241" t="str">
            <v>721927</v>
          </cell>
          <cell r="F2241" t="str">
            <v>E</v>
          </cell>
          <cell r="G2241" t="str">
            <v>12672027</v>
          </cell>
          <cell r="H2241" t="str">
            <v>Schottplatte</v>
          </cell>
          <cell r="I2241">
            <v>44</v>
          </cell>
          <cell r="J2241" t="str">
            <v>Stk</v>
          </cell>
          <cell r="K2241">
            <v>45166</v>
          </cell>
          <cell r="L2241" t="str">
            <v>820541</v>
          </cell>
          <cell r="M2241" t="str">
            <v/>
          </cell>
          <cell r="N2241" t="str">
            <v/>
          </cell>
          <cell r="O2241" t="str">
            <v/>
          </cell>
          <cell r="P2241" t="str">
            <v/>
          </cell>
          <cell r="Q2241" t="str">
            <v/>
          </cell>
          <cell r="R2241" t="str">
            <v/>
          </cell>
          <cell r="S2241" t="str">
            <v/>
          </cell>
          <cell r="T2241" t="str">
            <v/>
          </cell>
          <cell r="U2241" t="str">
            <v/>
          </cell>
          <cell r="V2241" t="str">
            <v>N52</v>
          </cell>
          <cell r="W2241" t="str">
            <v/>
          </cell>
          <cell r="X2241" t="str">
            <v/>
          </cell>
          <cell r="Y2241" t="str">
            <v/>
          </cell>
          <cell r="Z2241" t="str">
            <v/>
          </cell>
          <cell r="AA2241" t="str">
            <v/>
          </cell>
          <cell r="AB2241" t="str">
            <v>PA_5184452-QE.3048-3</v>
          </cell>
          <cell r="AC2241">
            <v>1</v>
          </cell>
          <cell r="AD2241" t="str">
            <v/>
          </cell>
          <cell r="AE2241">
            <v>0</v>
          </cell>
          <cell r="AF2241" t="str">
            <v/>
          </cell>
          <cell r="AG2241" t="str">
            <v>12672027</v>
          </cell>
          <cell r="AH2241">
            <v>45013.911226851851</v>
          </cell>
          <cell r="AI2241" t="str">
            <v>N52</v>
          </cell>
          <cell r="AJ2241" t="str">
            <v>F</v>
          </cell>
          <cell r="AK2241" t="str">
            <v/>
          </cell>
        </row>
        <row r="2242">
          <cell r="A2242" t="str">
            <v>1123153820463</v>
          </cell>
          <cell r="B2242" t="e">
            <v>#N/A</v>
          </cell>
          <cell r="C2242" t="e">
            <v>#N/A</v>
          </cell>
          <cell r="D2242" t="str">
            <v>EK65</v>
          </cell>
          <cell r="E2242" t="str">
            <v>722125</v>
          </cell>
          <cell r="F2242" t="str">
            <v>E</v>
          </cell>
          <cell r="G2242" t="str">
            <v>1123153</v>
          </cell>
          <cell r="H2242" t="str">
            <v>Winkel</v>
          </cell>
          <cell r="I2242">
            <v>2</v>
          </cell>
          <cell r="J2242" t="str">
            <v>Stk</v>
          </cell>
          <cell r="K2242">
            <v>44867</v>
          </cell>
          <cell r="L2242" t="str">
            <v>820463</v>
          </cell>
          <cell r="M2242" t="str">
            <v/>
          </cell>
          <cell r="N2242" t="str">
            <v/>
          </cell>
          <cell r="O2242" t="str">
            <v/>
          </cell>
          <cell r="P2242" t="str">
            <v/>
          </cell>
          <cell r="Q2242" t="str">
            <v/>
          </cell>
          <cell r="R2242" t="str">
            <v/>
          </cell>
          <cell r="S2242" t="str">
            <v/>
          </cell>
          <cell r="T2242" t="str">
            <v/>
          </cell>
          <cell r="U2242" t="str">
            <v/>
          </cell>
          <cell r="V2242" t="str">
            <v>N52</v>
          </cell>
          <cell r="W2242" t="str">
            <v>2.1</v>
          </cell>
          <cell r="X2242" t="str">
            <v/>
          </cell>
          <cell r="Y2242" t="str">
            <v/>
          </cell>
          <cell r="Z2242" t="str">
            <v/>
          </cell>
          <cell r="AA2242" t="str">
            <v/>
          </cell>
          <cell r="AB2242" t="str">
            <v>PA_2208448-CC.3038-2</v>
          </cell>
          <cell r="AC2242">
            <v>1</v>
          </cell>
          <cell r="AD2242" t="str">
            <v/>
          </cell>
          <cell r="AE2242">
            <v>0</v>
          </cell>
          <cell r="AF2242" t="str">
            <v/>
          </cell>
          <cell r="AG2242" t="str">
            <v>1123153</v>
          </cell>
          <cell r="AH2242">
            <v>45014.86645833333</v>
          </cell>
          <cell r="AI2242" t="str">
            <v>N52</v>
          </cell>
          <cell r="AJ2242" t="str">
            <v>F</v>
          </cell>
          <cell r="AK2242" t="str">
            <v/>
          </cell>
        </row>
        <row r="2243">
          <cell r="A2243" t="str">
            <v>12516114829530</v>
          </cell>
          <cell r="B2243" t="str">
            <v>Angefragt 22.03.2023</v>
          </cell>
          <cell r="C2243" t="e">
            <v>#N/A</v>
          </cell>
          <cell r="D2243" t="str">
            <v>EK65</v>
          </cell>
          <cell r="E2243" t="str">
            <v>722130</v>
          </cell>
          <cell r="F2243" t="str">
            <v>E</v>
          </cell>
          <cell r="G2243" t="str">
            <v>12516114</v>
          </cell>
          <cell r="H2243" t="str">
            <v>Beilage</v>
          </cell>
          <cell r="I2243">
            <v>48</v>
          </cell>
          <cell r="J2243" t="str">
            <v>Stk</v>
          </cell>
          <cell r="K2243">
            <v>45061</v>
          </cell>
          <cell r="L2243" t="str">
            <v>829530</v>
          </cell>
          <cell r="M2243" t="str">
            <v/>
          </cell>
          <cell r="N2243" t="str">
            <v/>
          </cell>
          <cell r="O2243" t="str">
            <v/>
          </cell>
          <cell r="P2243" t="str">
            <v/>
          </cell>
          <cell r="Q2243" t="str">
            <v/>
          </cell>
          <cell r="R2243" t="str">
            <v/>
          </cell>
          <cell r="S2243" t="str">
            <v/>
          </cell>
          <cell r="T2243" t="str">
            <v/>
          </cell>
          <cell r="U2243" t="str">
            <v/>
          </cell>
          <cell r="V2243" t="str">
            <v>N52</v>
          </cell>
          <cell r="W2243" t="str">
            <v/>
          </cell>
          <cell r="X2243" t="str">
            <v/>
          </cell>
          <cell r="Y2243" t="str">
            <v/>
          </cell>
          <cell r="Z2243" t="str">
            <v/>
          </cell>
          <cell r="AA2243" t="str">
            <v/>
          </cell>
          <cell r="AB2243" t="str">
            <v>PA_4551854-ED.7005-4</v>
          </cell>
          <cell r="AC2243">
            <v>1</v>
          </cell>
          <cell r="AD2243" t="str">
            <v/>
          </cell>
          <cell r="AE2243">
            <v>0</v>
          </cell>
          <cell r="AF2243" t="str">
            <v/>
          </cell>
          <cell r="AG2243" t="str">
            <v>12516114</v>
          </cell>
          <cell r="AH2243">
            <v>45014.87159722222</v>
          </cell>
          <cell r="AI2243" t="str">
            <v>N52</v>
          </cell>
          <cell r="AJ2243" t="str">
            <v>F</v>
          </cell>
          <cell r="AK2243" t="str">
            <v/>
          </cell>
        </row>
        <row r="2244">
          <cell r="A2244" t="str">
            <v>12575026829051</v>
          </cell>
          <cell r="B2244" t="e">
            <v>#N/A</v>
          </cell>
          <cell r="C2244">
            <v>7</v>
          </cell>
          <cell r="D2244" t="str">
            <v>EK65</v>
          </cell>
          <cell r="E2244" t="str">
            <v>722137</v>
          </cell>
          <cell r="F2244" t="str">
            <v>E</v>
          </cell>
          <cell r="G2244" t="str">
            <v>12575026</v>
          </cell>
          <cell r="H2244" t="str">
            <v>Dichtkragen w.g</v>
          </cell>
          <cell r="I2244">
            <v>588</v>
          </cell>
          <cell r="J2244" t="str">
            <v>Stk</v>
          </cell>
          <cell r="K2244">
            <v>45316</v>
          </cell>
          <cell r="L2244" t="str">
            <v>829051</v>
          </cell>
          <cell r="M2244" t="str">
            <v/>
          </cell>
          <cell r="N2244" t="str">
            <v/>
          </cell>
          <cell r="O2244" t="str">
            <v/>
          </cell>
          <cell r="P2244" t="str">
            <v/>
          </cell>
          <cell r="Q2244" t="str">
            <v/>
          </cell>
          <cell r="R2244" t="str">
            <v/>
          </cell>
          <cell r="S2244" t="str">
            <v/>
          </cell>
          <cell r="T2244" t="str">
            <v/>
          </cell>
          <cell r="U2244" t="str">
            <v/>
          </cell>
          <cell r="V2244" t="str">
            <v>N52</v>
          </cell>
          <cell r="W2244" t="str">
            <v/>
          </cell>
          <cell r="X2244" t="str">
            <v/>
          </cell>
          <cell r="Y2244" t="str">
            <v/>
          </cell>
          <cell r="Z2244" t="str">
            <v/>
          </cell>
          <cell r="AA2244" t="str">
            <v/>
          </cell>
          <cell r="AB2244" t="str">
            <v>PA_4266254-CC.7004-3</v>
          </cell>
          <cell r="AC2244">
            <v>1</v>
          </cell>
          <cell r="AD2244" t="str">
            <v/>
          </cell>
          <cell r="AE2244">
            <v>0</v>
          </cell>
          <cell r="AF2244" t="str">
            <v/>
          </cell>
          <cell r="AG2244" t="str">
            <v>12575026</v>
          </cell>
          <cell r="AH2244">
            <v>45014.874884259261</v>
          </cell>
          <cell r="AI2244" t="str">
            <v>N52</v>
          </cell>
          <cell r="AJ2244" t="str">
            <v>F</v>
          </cell>
          <cell r="AK2244" t="str">
            <v>A</v>
          </cell>
        </row>
        <row r="2245">
          <cell r="A2245" t="str">
            <v>12656288820541</v>
          </cell>
          <cell r="B2245" t="e">
            <v>#N/A</v>
          </cell>
          <cell r="C2245" t="e">
            <v>#N/A</v>
          </cell>
          <cell r="D2245" t="str">
            <v>EK65</v>
          </cell>
          <cell r="E2245" t="str">
            <v>722141</v>
          </cell>
          <cell r="F2245" t="str">
            <v>E</v>
          </cell>
          <cell r="G2245" t="str">
            <v>12656288</v>
          </cell>
          <cell r="H2245" t="str">
            <v>Riffelblech Trittstufe</v>
          </cell>
          <cell r="I2245">
            <v>10</v>
          </cell>
          <cell r="J2245" t="str">
            <v>Stk</v>
          </cell>
          <cell r="K2245">
            <v>45166</v>
          </cell>
          <cell r="L2245" t="str">
            <v>820541</v>
          </cell>
          <cell r="M2245" t="str">
            <v/>
          </cell>
          <cell r="N2245" t="str">
            <v/>
          </cell>
          <cell r="O2245" t="str">
            <v/>
          </cell>
          <cell r="P2245" t="str">
            <v/>
          </cell>
          <cell r="Q2245" t="str">
            <v/>
          </cell>
          <cell r="R2245" t="str">
            <v/>
          </cell>
          <cell r="S2245" t="str">
            <v/>
          </cell>
          <cell r="T2245" t="str">
            <v/>
          </cell>
          <cell r="U2245" t="str">
            <v/>
          </cell>
          <cell r="V2245" t="str">
            <v>N52</v>
          </cell>
          <cell r="W2245" t="str">
            <v/>
          </cell>
          <cell r="X2245" t="str">
            <v/>
          </cell>
          <cell r="Y2245" t="str">
            <v/>
          </cell>
          <cell r="Z2245" t="str">
            <v/>
          </cell>
          <cell r="AA2245" t="str">
            <v/>
          </cell>
          <cell r="AB2245" t="str">
            <v>PA_5209525-NB.3048-3</v>
          </cell>
          <cell r="AC2245">
            <v>1</v>
          </cell>
          <cell r="AD2245" t="str">
            <v/>
          </cell>
          <cell r="AE2245">
            <v>0</v>
          </cell>
          <cell r="AF2245" t="str">
            <v/>
          </cell>
          <cell r="AG2245" t="str">
            <v>12656288</v>
          </cell>
          <cell r="AH2245">
            <v>45014.875868055555</v>
          </cell>
          <cell r="AI2245" t="str">
            <v>N52</v>
          </cell>
          <cell r="AJ2245" t="str">
            <v>F</v>
          </cell>
          <cell r="AK2245" t="str">
            <v/>
          </cell>
        </row>
        <row r="2246">
          <cell r="A2246" t="str">
            <v>12656298820541</v>
          </cell>
          <cell r="B2246" t="e">
            <v>#N/A</v>
          </cell>
          <cell r="C2246" t="e">
            <v>#N/A</v>
          </cell>
          <cell r="D2246" t="str">
            <v>EK65</v>
          </cell>
          <cell r="E2246" t="str">
            <v>722142</v>
          </cell>
          <cell r="F2246" t="str">
            <v>E</v>
          </cell>
          <cell r="G2246" t="str">
            <v>12656298</v>
          </cell>
          <cell r="H2246" t="str">
            <v>Trittblech innen</v>
          </cell>
          <cell r="I2246">
            <v>10</v>
          </cell>
          <cell r="J2246" t="str">
            <v>Stk</v>
          </cell>
          <cell r="K2246">
            <v>45166</v>
          </cell>
          <cell r="L2246" t="str">
            <v>820541</v>
          </cell>
          <cell r="M2246" t="str">
            <v/>
          </cell>
          <cell r="N2246" t="str">
            <v/>
          </cell>
          <cell r="O2246" t="str">
            <v/>
          </cell>
          <cell r="P2246" t="str">
            <v/>
          </cell>
          <cell r="Q2246" t="str">
            <v/>
          </cell>
          <cell r="R2246" t="str">
            <v/>
          </cell>
          <cell r="S2246" t="str">
            <v/>
          </cell>
          <cell r="T2246" t="str">
            <v/>
          </cell>
          <cell r="U2246" t="str">
            <v/>
          </cell>
          <cell r="V2246" t="str">
            <v>N52</v>
          </cell>
          <cell r="W2246" t="str">
            <v/>
          </cell>
          <cell r="X2246" t="str">
            <v/>
          </cell>
          <cell r="Y2246" t="str">
            <v/>
          </cell>
          <cell r="Z2246" t="str">
            <v/>
          </cell>
          <cell r="AA2246" t="str">
            <v/>
          </cell>
          <cell r="AB2246" t="str">
            <v>PA_5209566-NB.3048-3</v>
          </cell>
          <cell r="AC2246">
            <v>1</v>
          </cell>
          <cell r="AD2246" t="str">
            <v/>
          </cell>
          <cell r="AE2246">
            <v>0</v>
          </cell>
          <cell r="AF2246" t="str">
            <v/>
          </cell>
          <cell r="AG2246" t="str">
            <v>12656298</v>
          </cell>
          <cell r="AH2246">
            <v>45014.875868055555</v>
          </cell>
          <cell r="AI2246" t="str">
            <v>N52</v>
          </cell>
          <cell r="AJ2246" t="str">
            <v>F</v>
          </cell>
          <cell r="AK2246" t="str">
            <v/>
          </cell>
        </row>
        <row r="2247">
          <cell r="A2247" t="str">
            <v>12656307820541</v>
          </cell>
          <cell r="B2247" t="e">
            <v>#N/A</v>
          </cell>
          <cell r="C2247" t="e">
            <v>#N/A</v>
          </cell>
          <cell r="D2247" t="str">
            <v>EK65</v>
          </cell>
          <cell r="E2247" t="str">
            <v>722143</v>
          </cell>
          <cell r="F2247" t="str">
            <v>E</v>
          </cell>
          <cell r="G2247" t="str">
            <v>12656307</v>
          </cell>
          <cell r="H2247" t="str">
            <v>Trittblech aussen</v>
          </cell>
          <cell r="I2247">
            <v>10</v>
          </cell>
          <cell r="J2247" t="str">
            <v>Stk</v>
          </cell>
          <cell r="K2247">
            <v>45166</v>
          </cell>
          <cell r="L2247" t="str">
            <v>820541</v>
          </cell>
          <cell r="M2247" t="str">
            <v/>
          </cell>
          <cell r="N2247" t="str">
            <v/>
          </cell>
          <cell r="O2247" t="str">
            <v/>
          </cell>
          <cell r="P2247" t="str">
            <v/>
          </cell>
          <cell r="Q2247" t="str">
            <v/>
          </cell>
          <cell r="R2247" t="str">
            <v/>
          </cell>
          <cell r="S2247" t="str">
            <v/>
          </cell>
          <cell r="T2247" t="str">
            <v/>
          </cell>
          <cell r="U2247" t="str">
            <v/>
          </cell>
          <cell r="V2247" t="str">
            <v>N52</v>
          </cell>
          <cell r="W2247" t="str">
            <v/>
          </cell>
          <cell r="X2247" t="str">
            <v/>
          </cell>
          <cell r="Y2247" t="str">
            <v/>
          </cell>
          <cell r="Z2247" t="str">
            <v/>
          </cell>
          <cell r="AA2247" t="str">
            <v/>
          </cell>
          <cell r="AB2247" t="str">
            <v>PA_5209596-NB.3048-3</v>
          </cell>
          <cell r="AC2247">
            <v>1</v>
          </cell>
          <cell r="AD2247" t="str">
            <v/>
          </cell>
          <cell r="AE2247">
            <v>0</v>
          </cell>
          <cell r="AF2247" t="str">
            <v/>
          </cell>
          <cell r="AG2247" t="str">
            <v>12656307</v>
          </cell>
          <cell r="AH2247">
            <v>45014.875879629632</v>
          </cell>
          <cell r="AI2247" t="str">
            <v>N52</v>
          </cell>
          <cell r="AJ2247" t="str">
            <v>F</v>
          </cell>
          <cell r="AK2247" t="str">
            <v/>
          </cell>
        </row>
        <row r="2248">
          <cell r="A2248" t="str">
            <v>12639922820541</v>
          </cell>
          <cell r="B2248" t="e">
            <v>#N/A</v>
          </cell>
          <cell r="C2248" t="e">
            <v>#N/A</v>
          </cell>
          <cell r="D2248" t="str">
            <v>EK65</v>
          </cell>
          <cell r="E2248" t="str">
            <v>722261</v>
          </cell>
          <cell r="F2248" t="str">
            <v>E</v>
          </cell>
          <cell r="G2248" t="str">
            <v>12639922</v>
          </cell>
          <cell r="H2248" t="str">
            <v>R- Profil Bodenlagerung</v>
          </cell>
          <cell r="I2248">
            <v>264</v>
          </cell>
          <cell r="J2248" t="str">
            <v>Stk</v>
          </cell>
          <cell r="K2248">
            <v>45168</v>
          </cell>
          <cell r="L2248" t="str">
            <v>820541</v>
          </cell>
          <cell r="M2248" t="str">
            <v/>
          </cell>
          <cell r="N2248" t="str">
            <v/>
          </cell>
          <cell r="O2248" t="str">
            <v/>
          </cell>
          <cell r="P2248" t="str">
            <v/>
          </cell>
          <cell r="Q2248" t="str">
            <v/>
          </cell>
          <cell r="R2248" t="str">
            <v/>
          </cell>
          <cell r="S2248" t="str">
            <v/>
          </cell>
          <cell r="T2248" t="str">
            <v/>
          </cell>
          <cell r="U2248" t="str">
            <v/>
          </cell>
          <cell r="V2248" t="str">
            <v>N52</v>
          </cell>
          <cell r="W2248" t="str">
            <v/>
          </cell>
          <cell r="X2248" t="str">
            <v/>
          </cell>
          <cell r="Y2248" t="str">
            <v/>
          </cell>
          <cell r="Z2248" t="str">
            <v/>
          </cell>
          <cell r="AA2248" t="str">
            <v/>
          </cell>
          <cell r="AB2248" t="str">
            <v>PA_5100111-CC.3048-3</v>
          </cell>
          <cell r="AC2248">
            <v>1</v>
          </cell>
          <cell r="AD2248" t="str">
            <v/>
          </cell>
          <cell r="AE2248">
            <v>0</v>
          </cell>
          <cell r="AF2248" t="str">
            <v/>
          </cell>
          <cell r="AG2248" t="str">
            <v>12639922</v>
          </cell>
          <cell r="AH2248">
            <v>45014.905312499999</v>
          </cell>
          <cell r="AI2248" t="str">
            <v>N52</v>
          </cell>
          <cell r="AJ2248" t="str">
            <v>F</v>
          </cell>
          <cell r="AK2248" t="str">
            <v/>
          </cell>
        </row>
        <row r="2249">
          <cell r="A2249" t="str">
            <v>12656754820541</v>
          </cell>
          <cell r="B2249" t="e">
            <v>#N/A</v>
          </cell>
          <cell r="C2249" t="e">
            <v>#N/A</v>
          </cell>
          <cell r="D2249" t="str">
            <v>EK65</v>
          </cell>
          <cell r="E2249" t="str">
            <v>722277</v>
          </cell>
          <cell r="F2249" t="str">
            <v>E</v>
          </cell>
          <cell r="G2249" t="str">
            <v>12656754</v>
          </cell>
          <cell r="H2249" t="str">
            <v>Halteplatte</v>
          </cell>
          <cell r="I2249">
            <v>528</v>
          </cell>
          <cell r="J2249" t="str">
            <v>Stk</v>
          </cell>
          <cell r="K2249">
            <v>45167</v>
          </cell>
          <cell r="L2249" t="str">
            <v>820541</v>
          </cell>
          <cell r="M2249" t="str">
            <v/>
          </cell>
          <cell r="N2249" t="str">
            <v/>
          </cell>
          <cell r="O2249" t="str">
            <v/>
          </cell>
          <cell r="P2249" t="str">
            <v/>
          </cell>
          <cell r="Q2249" t="str">
            <v/>
          </cell>
          <cell r="R2249" t="str">
            <v/>
          </cell>
          <cell r="S2249" t="str">
            <v/>
          </cell>
          <cell r="T2249" t="str">
            <v/>
          </cell>
          <cell r="U2249" t="str">
            <v/>
          </cell>
          <cell r="V2249" t="str">
            <v>N52</v>
          </cell>
          <cell r="W2249" t="str">
            <v/>
          </cell>
          <cell r="X2249" t="str">
            <v/>
          </cell>
          <cell r="Y2249" t="str">
            <v/>
          </cell>
          <cell r="Z2249" t="str">
            <v/>
          </cell>
          <cell r="AA2249" t="str">
            <v/>
          </cell>
          <cell r="AB2249" t="str">
            <v>PA_5211476-NB.3048-4</v>
          </cell>
          <cell r="AC2249">
            <v>1</v>
          </cell>
          <cell r="AD2249" t="str">
            <v/>
          </cell>
          <cell r="AE2249">
            <v>0</v>
          </cell>
          <cell r="AF2249" t="str">
            <v/>
          </cell>
          <cell r="AG2249" t="str">
            <v>12656754</v>
          </cell>
          <cell r="AH2249">
            <v>45014.905555555553</v>
          </cell>
          <cell r="AI2249" t="str">
            <v>N52</v>
          </cell>
          <cell r="AJ2249" t="str">
            <v>F</v>
          </cell>
          <cell r="AK2249" t="str">
            <v/>
          </cell>
        </row>
        <row r="2250">
          <cell r="A2250" t="str">
            <v>2584460820531</v>
          </cell>
          <cell r="B2250" t="e">
            <v>#N/A</v>
          </cell>
          <cell r="C2250" t="e">
            <v>#N/A</v>
          </cell>
          <cell r="D2250" t="str">
            <v>EK65</v>
          </cell>
          <cell r="E2250" t="str">
            <v>722286</v>
          </cell>
          <cell r="F2250" t="str">
            <v>E</v>
          </cell>
          <cell r="G2250" t="str">
            <v>2584460</v>
          </cell>
          <cell r="H2250" t="str">
            <v>Nutenstein</v>
          </cell>
          <cell r="I2250">
            <v>47</v>
          </cell>
          <cell r="J2250" t="str">
            <v>Stk</v>
          </cell>
          <cell r="K2250">
            <v>45092</v>
          </cell>
          <cell r="L2250" t="str">
            <v>820531</v>
          </cell>
          <cell r="M2250" t="str">
            <v/>
          </cell>
          <cell r="N2250" t="str">
            <v/>
          </cell>
          <cell r="O2250" t="str">
            <v/>
          </cell>
          <cell r="P2250" t="str">
            <v/>
          </cell>
          <cell r="Q2250" t="str">
            <v/>
          </cell>
          <cell r="R2250" t="str">
            <v/>
          </cell>
          <cell r="S2250" t="str">
            <v/>
          </cell>
          <cell r="T2250" t="str">
            <v/>
          </cell>
          <cell r="U2250" t="str">
            <v/>
          </cell>
          <cell r="V2250" t="str">
            <v>N52</v>
          </cell>
          <cell r="W2250" t="str">
            <v/>
          </cell>
          <cell r="X2250" t="str">
            <v/>
          </cell>
          <cell r="Y2250" t="str">
            <v/>
          </cell>
          <cell r="Z2250" t="str">
            <v/>
          </cell>
          <cell r="AA2250" t="str">
            <v/>
          </cell>
          <cell r="AB2250" t="str">
            <v>PA_2262237-CD.3038-4</v>
          </cell>
          <cell r="AC2250">
            <v>1</v>
          </cell>
          <cell r="AD2250" t="str">
            <v/>
          </cell>
          <cell r="AE2250">
            <v>0</v>
          </cell>
          <cell r="AF2250" t="str">
            <v/>
          </cell>
          <cell r="AG2250" t="str">
            <v>2584460</v>
          </cell>
          <cell r="AH2250">
            <v>45014.908865740741</v>
          </cell>
          <cell r="AI2250" t="str">
            <v>N52</v>
          </cell>
          <cell r="AJ2250" t="str">
            <v>F</v>
          </cell>
          <cell r="AK2250" t="str">
            <v/>
          </cell>
        </row>
        <row r="2251">
          <cell r="A2251" t="str">
            <v>12533985829053</v>
          </cell>
          <cell r="B2251" t="e">
            <v>#N/A</v>
          </cell>
          <cell r="C2251" t="e">
            <v>#N/A</v>
          </cell>
          <cell r="D2251" t="str">
            <v>EK65</v>
          </cell>
          <cell r="E2251" t="str">
            <v>722295</v>
          </cell>
          <cell r="F2251" t="str">
            <v>E</v>
          </cell>
          <cell r="G2251" t="str">
            <v>12533985</v>
          </cell>
          <cell r="H2251" t="str">
            <v>Hitzeblech vollst.</v>
          </cell>
          <cell r="I2251">
            <v>52</v>
          </cell>
          <cell r="J2251" t="str">
            <v>Stk</v>
          </cell>
          <cell r="K2251">
            <v>45197</v>
          </cell>
          <cell r="L2251" t="str">
            <v>829053</v>
          </cell>
          <cell r="M2251" t="str">
            <v/>
          </cell>
          <cell r="N2251" t="str">
            <v/>
          </cell>
          <cell r="O2251" t="str">
            <v/>
          </cell>
          <cell r="P2251" t="str">
            <v/>
          </cell>
          <cell r="Q2251" t="str">
            <v/>
          </cell>
          <cell r="R2251" t="str">
            <v/>
          </cell>
          <cell r="S2251" t="str">
            <v/>
          </cell>
          <cell r="T2251" t="str">
            <v/>
          </cell>
          <cell r="U2251" t="str">
            <v/>
          </cell>
          <cell r="V2251" t="str">
            <v>N38</v>
          </cell>
          <cell r="W2251" t="str">
            <v/>
          </cell>
          <cell r="X2251" t="str">
            <v/>
          </cell>
          <cell r="Y2251" t="str">
            <v/>
          </cell>
          <cell r="Z2251" t="str">
            <v/>
          </cell>
          <cell r="AA2251" t="str">
            <v/>
          </cell>
          <cell r="AB2251" t="str">
            <v>PA_4437726-UA.7005-2</v>
          </cell>
          <cell r="AC2251">
            <v>1</v>
          </cell>
          <cell r="AD2251" t="str">
            <v/>
          </cell>
          <cell r="AE2251">
            <v>0</v>
          </cell>
          <cell r="AF2251" t="str">
            <v/>
          </cell>
          <cell r="AG2251" t="str">
            <v>12533985</v>
          </cell>
          <cell r="AH2251">
            <v>45014.926666666666</v>
          </cell>
          <cell r="AI2251" t="str">
            <v>N38</v>
          </cell>
          <cell r="AJ2251" t="str">
            <v>F</v>
          </cell>
          <cell r="AK2251" t="str">
            <v/>
          </cell>
        </row>
        <row r="2252">
          <cell r="A2252" t="str">
            <v>12533985829054</v>
          </cell>
          <cell r="B2252" t="e">
            <v>#N/A</v>
          </cell>
          <cell r="C2252" t="e">
            <v>#N/A</v>
          </cell>
          <cell r="D2252" t="str">
            <v>EK65</v>
          </cell>
          <cell r="E2252" t="str">
            <v>722296</v>
          </cell>
          <cell r="F2252" t="str">
            <v>E</v>
          </cell>
          <cell r="G2252" t="str">
            <v>12533985</v>
          </cell>
          <cell r="H2252" t="str">
            <v>Hitzeblech vollst.</v>
          </cell>
          <cell r="I2252">
            <v>16</v>
          </cell>
          <cell r="J2252" t="str">
            <v>Stk</v>
          </cell>
          <cell r="K2252">
            <v>45231</v>
          </cell>
          <cell r="L2252" t="str">
            <v>829054</v>
          </cell>
          <cell r="M2252" t="str">
            <v/>
          </cell>
          <cell r="N2252" t="str">
            <v/>
          </cell>
          <cell r="O2252" t="str">
            <v/>
          </cell>
          <cell r="P2252" t="str">
            <v/>
          </cell>
          <cell r="Q2252" t="str">
            <v/>
          </cell>
          <cell r="R2252" t="str">
            <v/>
          </cell>
          <cell r="S2252" t="str">
            <v/>
          </cell>
          <cell r="T2252" t="str">
            <v/>
          </cell>
          <cell r="U2252" t="str">
            <v/>
          </cell>
          <cell r="V2252" t="str">
            <v>N38</v>
          </cell>
          <cell r="W2252" t="str">
            <v/>
          </cell>
          <cell r="X2252" t="str">
            <v/>
          </cell>
          <cell r="Y2252" t="str">
            <v/>
          </cell>
          <cell r="Z2252" t="str">
            <v/>
          </cell>
          <cell r="AA2252" t="str">
            <v/>
          </cell>
          <cell r="AB2252" t="str">
            <v>PA_4437726-UA.7005-2</v>
          </cell>
          <cell r="AC2252">
            <v>1</v>
          </cell>
          <cell r="AD2252" t="str">
            <v/>
          </cell>
          <cell r="AE2252">
            <v>0</v>
          </cell>
          <cell r="AF2252" t="str">
            <v/>
          </cell>
          <cell r="AG2252" t="str">
            <v>12533985</v>
          </cell>
          <cell r="AH2252">
            <v>45014.926666666666</v>
          </cell>
          <cell r="AI2252" t="str">
            <v>N38</v>
          </cell>
          <cell r="AJ2252" t="str">
            <v>F</v>
          </cell>
          <cell r="AK2252" t="str">
            <v/>
          </cell>
        </row>
        <row r="2253">
          <cell r="A2253" t="str">
            <v>12598558829053</v>
          </cell>
          <cell r="B2253" t="e">
            <v>#N/A</v>
          </cell>
          <cell r="C2253">
            <v>5</v>
          </cell>
          <cell r="D2253" t="str">
            <v>EK65</v>
          </cell>
          <cell r="E2253" t="str">
            <v>722297</v>
          </cell>
          <cell r="F2253" t="str">
            <v>E</v>
          </cell>
          <cell r="G2253" t="str">
            <v>12598558</v>
          </cell>
          <cell r="H2253" t="str">
            <v>Abdeckung Fuehrungsschiene</v>
          </cell>
          <cell r="I2253">
            <v>101</v>
          </cell>
          <cell r="J2253" t="str">
            <v>Stk</v>
          </cell>
          <cell r="K2253">
            <v>45198</v>
          </cell>
          <cell r="L2253" t="str">
            <v>829053</v>
          </cell>
          <cell r="M2253" t="str">
            <v/>
          </cell>
          <cell r="N2253" t="str">
            <v/>
          </cell>
          <cell r="O2253" t="str">
            <v/>
          </cell>
          <cell r="P2253" t="str">
            <v/>
          </cell>
          <cell r="Q2253" t="str">
            <v/>
          </cell>
          <cell r="R2253" t="str">
            <v/>
          </cell>
          <cell r="S2253" t="str">
            <v/>
          </cell>
          <cell r="T2253" t="str">
            <v/>
          </cell>
          <cell r="U2253" t="str">
            <v/>
          </cell>
          <cell r="V2253" t="str">
            <v>N52</v>
          </cell>
          <cell r="W2253" t="str">
            <v/>
          </cell>
          <cell r="X2253" t="str">
            <v/>
          </cell>
          <cell r="Y2253" t="str">
            <v/>
          </cell>
          <cell r="Z2253" t="str">
            <v/>
          </cell>
          <cell r="AA2253" t="str">
            <v/>
          </cell>
          <cell r="AB2253" t="str">
            <v>PA_4940577-NB.7005-2</v>
          </cell>
          <cell r="AC2253">
            <v>1</v>
          </cell>
          <cell r="AD2253" t="str">
            <v/>
          </cell>
          <cell r="AE2253">
            <v>0</v>
          </cell>
          <cell r="AF2253" t="str">
            <v/>
          </cell>
          <cell r="AG2253" t="str">
            <v>12598558</v>
          </cell>
          <cell r="AH2253">
            <v>45014.927418981482</v>
          </cell>
          <cell r="AI2253" t="str">
            <v>N52</v>
          </cell>
          <cell r="AJ2253" t="str">
            <v>F</v>
          </cell>
          <cell r="AK2253" t="str">
            <v>B</v>
          </cell>
        </row>
        <row r="2254">
          <cell r="A2254" t="str">
            <v>0418116</v>
          </cell>
          <cell r="B2254" t="e">
            <v>#N/A</v>
          </cell>
          <cell r="C2254" t="e">
            <v>#N/A</v>
          </cell>
          <cell r="D2254" t="str">
            <v>EK65</v>
          </cell>
          <cell r="E2254" t="str">
            <v>722304</v>
          </cell>
          <cell r="F2254" t="str">
            <v>B</v>
          </cell>
          <cell r="G2254" t="str">
            <v>0418116</v>
          </cell>
          <cell r="H2254" t="str">
            <v>Ausgleichsplatte</v>
          </cell>
          <cell r="I2254">
            <v>10</v>
          </cell>
          <cell r="J2254" t="str">
            <v>Stk</v>
          </cell>
          <cell r="K2254">
            <v>45017</v>
          </cell>
          <cell r="L2254" t="str">
            <v/>
          </cell>
          <cell r="M2254" t="str">
            <v/>
          </cell>
          <cell r="N2254" t="str">
            <v/>
          </cell>
          <cell r="O2254" t="str">
            <v/>
          </cell>
          <cell r="P2254" t="str">
            <v/>
          </cell>
          <cell r="Q2254" t="str">
            <v/>
          </cell>
          <cell r="R2254" t="str">
            <v/>
          </cell>
          <cell r="S2254" t="str">
            <v/>
          </cell>
          <cell r="T2254" t="str">
            <v/>
          </cell>
          <cell r="U2254" t="str">
            <v/>
          </cell>
          <cell r="V2254" t="str">
            <v>N32</v>
          </cell>
          <cell r="W2254" t="str">
            <v/>
          </cell>
          <cell r="X2254" t="str">
            <v/>
          </cell>
          <cell r="Y2254" t="str">
            <v/>
          </cell>
          <cell r="Z2254" t="str">
            <v/>
          </cell>
          <cell r="AA2254" t="str">
            <v/>
          </cell>
          <cell r="AB2254" t="str">
            <v>PA_2186430-BG.7500-3P.4</v>
          </cell>
          <cell r="AC2254">
            <v>4</v>
          </cell>
          <cell r="AD2254" t="str">
            <v/>
          </cell>
          <cell r="AE2254">
            <v>0</v>
          </cell>
          <cell r="AF2254" t="str">
            <v/>
          </cell>
          <cell r="AG2254" t="str">
            <v>0418116</v>
          </cell>
          <cell r="AH2254">
            <v>45015.834027777775</v>
          </cell>
          <cell r="AI2254" t="str">
            <v>N32</v>
          </cell>
          <cell r="AJ2254" t="str">
            <v>F</v>
          </cell>
          <cell r="AK2254" t="str">
            <v>B</v>
          </cell>
        </row>
        <row r="2255">
          <cell r="A2255" t="str">
            <v>0438834</v>
          </cell>
          <cell r="B2255" t="e">
            <v>#N/A</v>
          </cell>
          <cell r="C2255" t="e">
            <v>#N/A</v>
          </cell>
          <cell r="D2255" t="str">
            <v>EK65</v>
          </cell>
          <cell r="E2255" t="str">
            <v>722305</v>
          </cell>
          <cell r="F2255" t="str">
            <v>B</v>
          </cell>
          <cell r="G2255" t="str">
            <v>0438834</v>
          </cell>
          <cell r="H2255" t="str">
            <v>Unterlegscheibe</v>
          </cell>
          <cell r="I2255">
            <v>150</v>
          </cell>
          <cell r="J2255" t="str">
            <v>Stk</v>
          </cell>
          <cell r="K2255">
            <v>45017</v>
          </cell>
          <cell r="L2255" t="str">
            <v/>
          </cell>
          <cell r="M2255" t="str">
            <v/>
          </cell>
          <cell r="N2255" t="str">
            <v/>
          </cell>
          <cell r="O2255" t="str">
            <v/>
          </cell>
          <cell r="P2255" t="str">
            <v/>
          </cell>
          <cell r="Q2255" t="str">
            <v/>
          </cell>
          <cell r="R2255" t="str">
            <v/>
          </cell>
          <cell r="S2255" t="str">
            <v/>
          </cell>
          <cell r="T2255" t="str">
            <v/>
          </cell>
          <cell r="U2255" t="str">
            <v/>
          </cell>
          <cell r="V2255" t="str">
            <v>N52</v>
          </cell>
          <cell r="W2255" t="str">
            <v/>
          </cell>
          <cell r="X2255" t="str">
            <v/>
          </cell>
          <cell r="Y2255" t="str">
            <v/>
          </cell>
          <cell r="Z2255" t="str">
            <v/>
          </cell>
          <cell r="AA2255" t="str">
            <v/>
          </cell>
          <cell r="AB2255" t="str">
            <v>PA_2224762-CD.7500-4</v>
          </cell>
          <cell r="AC2255">
            <v>4</v>
          </cell>
          <cell r="AD2255" t="str">
            <v/>
          </cell>
          <cell r="AE2255">
            <v>0</v>
          </cell>
          <cell r="AF2255" t="str">
            <v/>
          </cell>
          <cell r="AG2255" t="str">
            <v>0438834</v>
          </cell>
          <cell r="AH2255">
            <v>45015.834062499998</v>
          </cell>
          <cell r="AI2255" t="str">
            <v>N52</v>
          </cell>
          <cell r="AJ2255" t="str">
            <v>F</v>
          </cell>
          <cell r="AK2255" t="str">
            <v/>
          </cell>
        </row>
        <row r="2256">
          <cell r="A2256" t="str">
            <v>12656065820541</v>
          </cell>
          <cell r="B2256" t="e">
            <v>#N/A</v>
          </cell>
          <cell r="C2256" t="e">
            <v>#N/A</v>
          </cell>
          <cell r="D2256" t="str">
            <v>EK65</v>
          </cell>
          <cell r="E2256" t="str">
            <v>722366</v>
          </cell>
          <cell r="F2256" t="str">
            <v>E</v>
          </cell>
          <cell r="G2256" t="str">
            <v>12656065</v>
          </cell>
          <cell r="H2256" t="str">
            <v>Z-Winkel wg</v>
          </cell>
          <cell r="I2256">
            <v>15</v>
          </cell>
          <cell r="J2256" t="str">
            <v>Stk</v>
          </cell>
          <cell r="K2256">
            <v>45166</v>
          </cell>
          <cell r="L2256" t="str">
            <v>820541</v>
          </cell>
          <cell r="M2256" t="str">
            <v/>
          </cell>
          <cell r="N2256" t="str">
            <v/>
          </cell>
          <cell r="O2256" t="str">
            <v/>
          </cell>
          <cell r="P2256" t="str">
            <v/>
          </cell>
          <cell r="Q2256" t="str">
            <v/>
          </cell>
          <cell r="R2256" t="str">
            <v/>
          </cell>
          <cell r="S2256" t="str">
            <v/>
          </cell>
          <cell r="T2256" t="str">
            <v/>
          </cell>
          <cell r="U2256" t="str">
            <v/>
          </cell>
          <cell r="V2256" t="str">
            <v>N52</v>
          </cell>
          <cell r="W2256" t="str">
            <v/>
          </cell>
          <cell r="X2256" t="str">
            <v/>
          </cell>
          <cell r="Y2256" t="str">
            <v/>
          </cell>
          <cell r="Z2256" t="str">
            <v/>
          </cell>
          <cell r="AA2256" t="str">
            <v/>
          </cell>
          <cell r="AB2256" t="str">
            <v>PA_4984623-CD.3048-4</v>
          </cell>
          <cell r="AC2256">
            <v>1</v>
          </cell>
          <cell r="AD2256" t="str">
            <v/>
          </cell>
          <cell r="AE2256">
            <v>0</v>
          </cell>
          <cell r="AF2256" t="str">
            <v/>
          </cell>
          <cell r="AG2256" t="str">
            <v>12656065</v>
          </cell>
          <cell r="AH2256">
            <v>45015.898495370369</v>
          </cell>
          <cell r="AI2256" t="str">
            <v>N52</v>
          </cell>
          <cell r="AJ2256" t="str">
            <v>F</v>
          </cell>
          <cell r="AK2256" t="str">
            <v/>
          </cell>
        </row>
        <row r="2257">
          <cell r="A2257" t="str">
            <v>12656109820541</v>
          </cell>
          <cell r="B2257" t="e">
            <v>#N/A</v>
          </cell>
          <cell r="C2257" t="e">
            <v>#N/A</v>
          </cell>
          <cell r="D2257" t="str">
            <v>EK65</v>
          </cell>
          <cell r="E2257" t="str">
            <v>722367</v>
          </cell>
          <cell r="F2257" t="str">
            <v>E</v>
          </cell>
          <cell r="G2257" t="str">
            <v>12656109</v>
          </cell>
          <cell r="H2257" t="str">
            <v>Z-Winkel sp.g.</v>
          </cell>
          <cell r="I2257">
            <v>15</v>
          </cell>
          <cell r="J2257" t="str">
            <v>Stk</v>
          </cell>
          <cell r="K2257">
            <v>45166</v>
          </cell>
          <cell r="L2257" t="str">
            <v>820541</v>
          </cell>
          <cell r="M2257" t="str">
            <v/>
          </cell>
          <cell r="N2257" t="str">
            <v/>
          </cell>
          <cell r="O2257" t="str">
            <v/>
          </cell>
          <cell r="P2257" t="str">
            <v/>
          </cell>
          <cell r="Q2257" t="str">
            <v/>
          </cell>
          <cell r="R2257" t="str">
            <v/>
          </cell>
          <cell r="S2257" t="str">
            <v/>
          </cell>
          <cell r="T2257" t="str">
            <v/>
          </cell>
          <cell r="U2257" t="str">
            <v/>
          </cell>
          <cell r="V2257" t="str">
            <v>N52</v>
          </cell>
          <cell r="W2257" t="str">
            <v/>
          </cell>
          <cell r="X2257" t="str">
            <v/>
          </cell>
          <cell r="Y2257" t="str">
            <v/>
          </cell>
          <cell r="Z2257" t="str">
            <v/>
          </cell>
          <cell r="AA2257" t="str">
            <v/>
          </cell>
          <cell r="AB2257" t="str">
            <v>PA_4984623-CD.3048-4</v>
          </cell>
          <cell r="AC2257">
            <v>1</v>
          </cell>
          <cell r="AD2257" t="str">
            <v/>
          </cell>
          <cell r="AE2257">
            <v>0</v>
          </cell>
          <cell r="AF2257" t="str">
            <v/>
          </cell>
          <cell r="AG2257" t="str">
            <v>12656109</v>
          </cell>
          <cell r="AH2257">
            <v>45015.898495370369</v>
          </cell>
          <cell r="AI2257" t="str">
            <v>N52</v>
          </cell>
          <cell r="AJ2257" t="str">
            <v>F</v>
          </cell>
          <cell r="AK2257" t="str">
            <v/>
          </cell>
        </row>
        <row r="2258">
          <cell r="A2258" t="str">
            <v>12665402820541</v>
          </cell>
          <cell r="B2258" t="e">
            <v>#N/A</v>
          </cell>
          <cell r="C2258" t="e">
            <v>#N/A</v>
          </cell>
          <cell r="D2258" t="str">
            <v>EK65</v>
          </cell>
          <cell r="E2258" t="str">
            <v>722370</v>
          </cell>
          <cell r="F2258" t="str">
            <v>E</v>
          </cell>
          <cell r="G2258" t="str">
            <v>12665402</v>
          </cell>
          <cell r="H2258" t="str">
            <v>Haltewinkel</v>
          </cell>
          <cell r="I2258">
            <v>40</v>
          </cell>
          <cell r="J2258" t="str">
            <v>Stk</v>
          </cell>
          <cell r="K2258">
            <v>45166</v>
          </cell>
          <cell r="L2258" t="str">
            <v>820541</v>
          </cell>
          <cell r="M2258" t="str">
            <v/>
          </cell>
          <cell r="N2258" t="str">
            <v/>
          </cell>
          <cell r="O2258" t="str">
            <v/>
          </cell>
          <cell r="P2258" t="str">
            <v/>
          </cell>
          <cell r="Q2258" t="str">
            <v/>
          </cell>
          <cell r="R2258" t="str">
            <v/>
          </cell>
          <cell r="S2258" t="str">
            <v/>
          </cell>
          <cell r="T2258" t="str">
            <v/>
          </cell>
          <cell r="U2258" t="str">
            <v/>
          </cell>
          <cell r="V2258" t="str">
            <v>N52</v>
          </cell>
          <cell r="W2258" t="str">
            <v/>
          </cell>
          <cell r="X2258" t="str">
            <v/>
          </cell>
          <cell r="Y2258" t="str">
            <v/>
          </cell>
          <cell r="Z2258" t="str">
            <v/>
          </cell>
          <cell r="AA2258" t="str">
            <v/>
          </cell>
          <cell r="AB2258" t="str">
            <v>PA_5246183-CD.3048-3</v>
          </cell>
          <cell r="AC2258">
            <v>1</v>
          </cell>
          <cell r="AD2258" t="str">
            <v/>
          </cell>
          <cell r="AE2258">
            <v>0</v>
          </cell>
          <cell r="AF2258" t="str">
            <v/>
          </cell>
          <cell r="AG2258" t="str">
            <v>12665402</v>
          </cell>
          <cell r="AH2258">
            <v>45015.898530092592</v>
          </cell>
          <cell r="AI2258" t="str">
            <v>N52</v>
          </cell>
          <cell r="AJ2258" t="str">
            <v>F</v>
          </cell>
          <cell r="AK2258" t="str">
            <v/>
          </cell>
        </row>
        <row r="2259">
          <cell r="A2259" t="str">
            <v>12665746820541</v>
          </cell>
          <cell r="B2259" t="e">
            <v>#N/A</v>
          </cell>
          <cell r="C2259" t="e">
            <v>#N/A</v>
          </cell>
          <cell r="D2259" t="str">
            <v>EK65</v>
          </cell>
          <cell r="E2259" t="str">
            <v>722371</v>
          </cell>
          <cell r="F2259" t="str">
            <v>E</v>
          </cell>
          <cell r="G2259" t="str">
            <v>12665746</v>
          </cell>
          <cell r="H2259" t="str">
            <v>Z-Winkel sp.g.</v>
          </cell>
          <cell r="I2259">
            <v>10</v>
          </cell>
          <cell r="J2259" t="str">
            <v>Stk</v>
          </cell>
          <cell r="K2259">
            <v>45166</v>
          </cell>
          <cell r="L2259" t="str">
            <v>820541</v>
          </cell>
          <cell r="M2259" t="str">
            <v/>
          </cell>
          <cell r="N2259" t="str">
            <v/>
          </cell>
          <cell r="O2259" t="str">
            <v/>
          </cell>
          <cell r="P2259" t="str">
            <v/>
          </cell>
          <cell r="Q2259" t="str">
            <v/>
          </cell>
          <cell r="R2259" t="str">
            <v/>
          </cell>
          <cell r="S2259" t="str">
            <v/>
          </cell>
          <cell r="T2259" t="str">
            <v/>
          </cell>
          <cell r="U2259" t="str">
            <v/>
          </cell>
          <cell r="V2259" t="str">
            <v>N52</v>
          </cell>
          <cell r="W2259" t="str">
            <v/>
          </cell>
          <cell r="X2259" t="str">
            <v/>
          </cell>
          <cell r="Y2259" t="str">
            <v/>
          </cell>
          <cell r="Z2259" t="str">
            <v/>
          </cell>
          <cell r="AA2259" t="str">
            <v/>
          </cell>
          <cell r="AB2259" t="str">
            <v>PA_4980502-CD.3048-3</v>
          </cell>
          <cell r="AC2259">
            <v>1</v>
          </cell>
          <cell r="AD2259" t="str">
            <v/>
          </cell>
          <cell r="AE2259">
            <v>0</v>
          </cell>
          <cell r="AF2259" t="str">
            <v/>
          </cell>
          <cell r="AG2259" t="str">
            <v>12665746</v>
          </cell>
          <cell r="AH2259">
            <v>45015.898541666669</v>
          </cell>
          <cell r="AI2259" t="str">
            <v>N52</v>
          </cell>
          <cell r="AJ2259" t="str">
            <v>F</v>
          </cell>
          <cell r="AK2259" t="str">
            <v/>
          </cell>
        </row>
        <row r="2260">
          <cell r="A2260" t="str">
            <v>12665747820541</v>
          </cell>
          <cell r="B2260" t="e">
            <v>#N/A</v>
          </cell>
          <cell r="C2260" t="e">
            <v>#N/A</v>
          </cell>
          <cell r="D2260" t="str">
            <v>EK65</v>
          </cell>
          <cell r="E2260" t="str">
            <v>722372</v>
          </cell>
          <cell r="F2260" t="str">
            <v>E</v>
          </cell>
          <cell r="G2260" t="str">
            <v>12665747</v>
          </cell>
          <cell r="H2260" t="str">
            <v>Z-Winkel w.g.</v>
          </cell>
          <cell r="I2260">
            <v>10</v>
          </cell>
          <cell r="J2260" t="str">
            <v>Stk</v>
          </cell>
          <cell r="K2260">
            <v>45166</v>
          </cell>
          <cell r="L2260" t="str">
            <v>820541</v>
          </cell>
          <cell r="M2260" t="str">
            <v/>
          </cell>
          <cell r="N2260" t="str">
            <v/>
          </cell>
          <cell r="O2260" t="str">
            <v/>
          </cell>
          <cell r="P2260" t="str">
            <v/>
          </cell>
          <cell r="Q2260" t="str">
            <v/>
          </cell>
          <cell r="R2260" t="str">
            <v/>
          </cell>
          <cell r="S2260" t="str">
            <v/>
          </cell>
          <cell r="T2260" t="str">
            <v/>
          </cell>
          <cell r="U2260" t="str">
            <v/>
          </cell>
          <cell r="V2260" t="str">
            <v>N52</v>
          </cell>
          <cell r="W2260" t="str">
            <v/>
          </cell>
          <cell r="X2260" t="str">
            <v/>
          </cell>
          <cell r="Y2260" t="str">
            <v/>
          </cell>
          <cell r="Z2260" t="str">
            <v/>
          </cell>
          <cell r="AA2260" t="str">
            <v/>
          </cell>
          <cell r="AB2260" t="str">
            <v>PA_4980502-CD.3048-3</v>
          </cell>
          <cell r="AC2260">
            <v>1</v>
          </cell>
          <cell r="AD2260" t="str">
            <v/>
          </cell>
          <cell r="AE2260">
            <v>0</v>
          </cell>
          <cell r="AF2260" t="str">
            <v/>
          </cell>
          <cell r="AG2260" t="str">
            <v>12665747</v>
          </cell>
          <cell r="AH2260">
            <v>45015.898541666669</v>
          </cell>
          <cell r="AI2260" t="str">
            <v>N52</v>
          </cell>
          <cell r="AJ2260" t="str">
            <v>F</v>
          </cell>
          <cell r="AK2260" t="str">
            <v/>
          </cell>
        </row>
        <row r="2261">
          <cell r="A2261" t="str">
            <v>12665748820541</v>
          </cell>
          <cell r="B2261" t="e">
            <v>#N/A</v>
          </cell>
          <cell r="C2261" t="e">
            <v>#N/A</v>
          </cell>
          <cell r="D2261" t="str">
            <v>EK65</v>
          </cell>
          <cell r="E2261" t="str">
            <v>722373</v>
          </cell>
          <cell r="F2261" t="str">
            <v>E</v>
          </cell>
          <cell r="G2261" t="str">
            <v>12665748</v>
          </cell>
          <cell r="H2261" t="str">
            <v>U-Profil wg</v>
          </cell>
          <cell r="I2261">
            <v>20</v>
          </cell>
          <cell r="J2261" t="str">
            <v>Stk</v>
          </cell>
          <cell r="K2261">
            <v>45166</v>
          </cell>
          <cell r="L2261" t="str">
            <v>820541</v>
          </cell>
          <cell r="M2261" t="str">
            <v/>
          </cell>
          <cell r="N2261" t="str">
            <v/>
          </cell>
          <cell r="O2261" t="str">
            <v/>
          </cell>
          <cell r="P2261" t="str">
            <v/>
          </cell>
          <cell r="Q2261" t="str">
            <v/>
          </cell>
          <cell r="R2261" t="str">
            <v/>
          </cell>
          <cell r="S2261" t="str">
            <v/>
          </cell>
          <cell r="T2261" t="str">
            <v/>
          </cell>
          <cell r="U2261" t="str">
            <v/>
          </cell>
          <cell r="V2261" t="str">
            <v>N52</v>
          </cell>
          <cell r="W2261" t="str">
            <v/>
          </cell>
          <cell r="X2261" t="str">
            <v/>
          </cell>
          <cell r="Y2261" t="str">
            <v/>
          </cell>
          <cell r="Z2261" t="str">
            <v/>
          </cell>
          <cell r="AA2261" t="str">
            <v/>
          </cell>
          <cell r="AB2261" t="str">
            <v>PA_4978705-CD.3048-3</v>
          </cell>
          <cell r="AC2261">
            <v>1</v>
          </cell>
          <cell r="AD2261" t="str">
            <v/>
          </cell>
          <cell r="AE2261">
            <v>0</v>
          </cell>
          <cell r="AF2261" t="str">
            <v/>
          </cell>
          <cell r="AG2261" t="str">
            <v>12665748</v>
          </cell>
          <cell r="AH2261">
            <v>45015.898553240739</v>
          </cell>
          <cell r="AI2261" t="str">
            <v>N52</v>
          </cell>
          <cell r="AJ2261" t="str">
            <v/>
          </cell>
          <cell r="AK2261" t="str">
            <v/>
          </cell>
        </row>
        <row r="2262">
          <cell r="A2262" t="str">
            <v>12665749820541</v>
          </cell>
          <cell r="B2262" t="e">
            <v>#N/A</v>
          </cell>
          <cell r="C2262" t="e">
            <v>#N/A</v>
          </cell>
          <cell r="D2262" t="str">
            <v>EK65</v>
          </cell>
          <cell r="E2262" t="str">
            <v>722374</v>
          </cell>
          <cell r="F2262" t="str">
            <v>E</v>
          </cell>
          <cell r="G2262" t="str">
            <v>12665749</v>
          </cell>
          <cell r="H2262" t="str">
            <v>U-Profil sp.g.</v>
          </cell>
          <cell r="I2262">
            <v>20</v>
          </cell>
          <cell r="J2262" t="str">
            <v>Stk</v>
          </cell>
          <cell r="K2262">
            <v>45166</v>
          </cell>
          <cell r="L2262" t="str">
            <v>820541</v>
          </cell>
          <cell r="M2262" t="str">
            <v/>
          </cell>
          <cell r="N2262" t="str">
            <v/>
          </cell>
          <cell r="O2262" t="str">
            <v/>
          </cell>
          <cell r="P2262" t="str">
            <v/>
          </cell>
          <cell r="Q2262" t="str">
            <v/>
          </cell>
          <cell r="R2262" t="str">
            <v/>
          </cell>
          <cell r="S2262" t="str">
            <v/>
          </cell>
          <cell r="T2262" t="str">
            <v/>
          </cell>
          <cell r="U2262" t="str">
            <v/>
          </cell>
          <cell r="V2262" t="str">
            <v>N52</v>
          </cell>
          <cell r="W2262" t="str">
            <v/>
          </cell>
          <cell r="X2262" t="str">
            <v/>
          </cell>
          <cell r="Y2262" t="str">
            <v/>
          </cell>
          <cell r="Z2262" t="str">
            <v/>
          </cell>
          <cell r="AA2262" t="str">
            <v/>
          </cell>
          <cell r="AB2262" t="str">
            <v>PA_4978705-CD.3048-3</v>
          </cell>
          <cell r="AC2262">
            <v>1</v>
          </cell>
          <cell r="AD2262" t="str">
            <v/>
          </cell>
          <cell r="AE2262">
            <v>0</v>
          </cell>
          <cell r="AF2262" t="str">
            <v/>
          </cell>
          <cell r="AG2262" t="str">
            <v>12665749</v>
          </cell>
          <cell r="AH2262">
            <v>45015.898553240739</v>
          </cell>
          <cell r="AI2262" t="str">
            <v>N52</v>
          </cell>
          <cell r="AJ2262" t="str">
            <v/>
          </cell>
          <cell r="AK2262" t="str">
            <v/>
          </cell>
        </row>
        <row r="2263">
          <cell r="A2263" t="str">
            <v>12665750820541</v>
          </cell>
          <cell r="B2263" t="e">
            <v>#N/A</v>
          </cell>
          <cell r="C2263" t="e">
            <v>#N/A</v>
          </cell>
          <cell r="D2263" t="str">
            <v>EK65</v>
          </cell>
          <cell r="E2263" t="str">
            <v>722375</v>
          </cell>
          <cell r="F2263" t="str">
            <v>E</v>
          </cell>
          <cell r="G2263" t="str">
            <v>12665750</v>
          </cell>
          <cell r="H2263" t="str">
            <v>Z-Winkel sp.g.</v>
          </cell>
          <cell r="I2263">
            <v>15</v>
          </cell>
          <cell r="J2263" t="str">
            <v>Stk</v>
          </cell>
          <cell r="K2263">
            <v>45166</v>
          </cell>
          <cell r="L2263" t="str">
            <v>820541</v>
          </cell>
          <cell r="M2263" t="str">
            <v/>
          </cell>
          <cell r="N2263" t="str">
            <v/>
          </cell>
          <cell r="O2263" t="str">
            <v/>
          </cell>
          <cell r="P2263" t="str">
            <v/>
          </cell>
          <cell r="Q2263" t="str">
            <v/>
          </cell>
          <cell r="R2263" t="str">
            <v/>
          </cell>
          <cell r="S2263" t="str">
            <v/>
          </cell>
          <cell r="T2263" t="str">
            <v/>
          </cell>
          <cell r="U2263" t="str">
            <v/>
          </cell>
          <cell r="V2263" t="str">
            <v>N52</v>
          </cell>
          <cell r="W2263" t="str">
            <v/>
          </cell>
          <cell r="X2263" t="str">
            <v/>
          </cell>
          <cell r="Y2263" t="str">
            <v/>
          </cell>
          <cell r="Z2263" t="str">
            <v/>
          </cell>
          <cell r="AA2263" t="str">
            <v/>
          </cell>
          <cell r="AB2263" t="str">
            <v>PA_4981916-CD.3048-3</v>
          </cell>
          <cell r="AC2263">
            <v>1</v>
          </cell>
          <cell r="AD2263" t="str">
            <v/>
          </cell>
          <cell r="AE2263">
            <v>0</v>
          </cell>
          <cell r="AF2263" t="str">
            <v/>
          </cell>
          <cell r="AG2263" t="str">
            <v>12665750</v>
          </cell>
          <cell r="AH2263">
            <v>45015.898564814815</v>
          </cell>
          <cell r="AI2263" t="str">
            <v>N52</v>
          </cell>
          <cell r="AJ2263" t="str">
            <v>F</v>
          </cell>
          <cell r="AK2263" t="str">
            <v/>
          </cell>
        </row>
        <row r="2264">
          <cell r="A2264" t="str">
            <v>12665751820541</v>
          </cell>
          <cell r="B2264" t="e">
            <v>#N/A</v>
          </cell>
          <cell r="C2264" t="e">
            <v>#N/A</v>
          </cell>
          <cell r="D2264" t="str">
            <v>EK65</v>
          </cell>
          <cell r="E2264" t="str">
            <v>722376</v>
          </cell>
          <cell r="F2264" t="str">
            <v>E</v>
          </cell>
          <cell r="G2264" t="str">
            <v>12665751</v>
          </cell>
          <cell r="H2264" t="str">
            <v>Z-Winkel</v>
          </cell>
          <cell r="I2264">
            <v>15</v>
          </cell>
          <cell r="J2264" t="str">
            <v>Stk</v>
          </cell>
          <cell r="K2264">
            <v>45166</v>
          </cell>
          <cell r="L2264" t="str">
            <v>820541</v>
          </cell>
          <cell r="M2264" t="str">
            <v/>
          </cell>
          <cell r="N2264" t="str">
            <v/>
          </cell>
          <cell r="O2264" t="str">
            <v/>
          </cell>
          <cell r="P2264" t="str">
            <v/>
          </cell>
          <cell r="Q2264" t="str">
            <v/>
          </cell>
          <cell r="R2264" t="str">
            <v/>
          </cell>
          <cell r="S2264" t="str">
            <v/>
          </cell>
          <cell r="T2264" t="str">
            <v/>
          </cell>
          <cell r="U2264" t="str">
            <v/>
          </cell>
          <cell r="V2264" t="str">
            <v>N52</v>
          </cell>
          <cell r="W2264" t="str">
            <v/>
          </cell>
          <cell r="X2264" t="str">
            <v/>
          </cell>
          <cell r="Y2264" t="str">
            <v/>
          </cell>
          <cell r="Z2264" t="str">
            <v/>
          </cell>
          <cell r="AA2264" t="str">
            <v/>
          </cell>
          <cell r="AB2264" t="str">
            <v>PA_4981916-CD.3048-3</v>
          </cell>
          <cell r="AC2264">
            <v>1</v>
          </cell>
          <cell r="AD2264" t="str">
            <v/>
          </cell>
          <cell r="AE2264">
            <v>0</v>
          </cell>
          <cell r="AF2264" t="str">
            <v/>
          </cell>
          <cell r="AG2264" t="str">
            <v>12665751</v>
          </cell>
          <cell r="AH2264">
            <v>45015.898564814815</v>
          </cell>
          <cell r="AI2264" t="str">
            <v>N52</v>
          </cell>
          <cell r="AJ2264" t="str">
            <v>F</v>
          </cell>
          <cell r="AK2264" t="str">
            <v/>
          </cell>
        </row>
        <row r="2265">
          <cell r="A2265" t="str">
            <v>0209476820541</v>
          </cell>
          <cell r="B2265" t="e">
            <v>#N/A</v>
          </cell>
          <cell r="C2265" t="e">
            <v>#N/A</v>
          </cell>
          <cell r="D2265" t="str">
            <v>EK65</v>
          </cell>
          <cell r="E2265" t="str">
            <v>722918</v>
          </cell>
          <cell r="F2265" t="str">
            <v>E</v>
          </cell>
          <cell r="G2265" t="str">
            <v>0209476</v>
          </cell>
          <cell r="H2265" t="str">
            <v>SPEZIAL UNTERLEG- SCHEIBE D48X30,5X2</v>
          </cell>
          <cell r="I2265">
            <v>176</v>
          </cell>
          <cell r="J2265" t="str">
            <v>Stk</v>
          </cell>
          <cell r="K2265">
            <v>45167</v>
          </cell>
          <cell r="L2265" t="str">
            <v>820541</v>
          </cell>
          <cell r="M2265" t="str">
            <v/>
          </cell>
          <cell r="N2265" t="str">
            <v/>
          </cell>
          <cell r="O2265" t="str">
            <v/>
          </cell>
          <cell r="P2265" t="str">
            <v/>
          </cell>
          <cell r="Q2265" t="str">
            <v/>
          </cell>
          <cell r="R2265" t="str">
            <v/>
          </cell>
          <cell r="S2265" t="str">
            <v/>
          </cell>
          <cell r="T2265" t="str">
            <v/>
          </cell>
          <cell r="U2265" t="str">
            <v/>
          </cell>
          <cell r="V2265" t="str">
            <v>K30</v>
          </cell>
          <cell r="W2265" t="str">
            <v/>
          </cell>
          <cell r="X2265" t="str">
            <v/>
          </cell>
          <cell r="Y2265" t="str">
            <v/>
          </cell>
          <cell r="Z2265" t="str">
            <v/>
          </cell>
          <cell r="AA2265" t="str">
            <v/>
          </cell>
          <cell r="AB2265" t="str">
            <v>CHX1017148-QB.3000-4</v>
          </cell>
          <cell r="AC2265">
            <v>1</v>
          </cell>
          <cell r="AD2265" t="str">
            <v/>
          </cell>
          <cell r="AE2265">
            <v>0</v>
          </cell>
          <cell r="AF2265" t="str">
            <v/>
          </cell>
          <cell r="AG2265" t="str">
            <v>0209476</v>
          </cell>
          <cell r="AH2265">
            <v>45015.921620370369</v>
          </cell>
          <cell r="AI2265" t="str">
            <v>K30</v>
          </cell>
          <cell r="AJ2265" t="str">
            <v>F</v>
          </cell>
          <cell r="AK2265" t="str">
            <v>C</v>
          </cell>
        </row>
        <row r="2266">
          <cell r="A2266" t="str">
            <v>0682813820541</v>
          </cell>
          <cell r="B2266" t="e">
            <v>#N/A</v>
          </cell>
          <cell r="C2266" t="e">
            <v>#N/A</v>
          </cell>
          <cell r="D2266" t="str">
            <v>EK65</v>
          </cell>
          <cell r="E2266" t="str">
            <v>722927</v>
          </cell>
          <cell r="F2266" t="str">
            <v>E</v>
          </cell>
          <cell r="G2266" t="str">
            <v>0682813</v>
          </cell>
          <cell r="H2266" t="str">
            <v>Unterlage</v>
          </cell>
          <cell r="I2266">
            <v>528</v>
          </cell>
          <cell r="J2266" t="str">
            <v>Stk</v>
          </cell>
          <cell r="K2266">
            <v>45167</v>
          </cell>
          <cell r="L2266" t="str">
            <v>820541</v>
          </cell>
          <cell r="M2266" t="str">
            <v/>
          </cell>
          <cell r="N2266" t="str">
            <v/>
          </cell>
          <cell r="O2266" t="str">
            <v/>
          </cell>
          <cell r="P2266" t="str">
            <v/>
          </cell>
          <cell r="Q2266" t="str">
            <v/>
          </cell>
          <cell r="R2266" t="str">
            <v/>
          </cell>
          <cell r="S2266" t="str">
            <v/>
          </cell>
          <cell r="T2266" t="str">
            <v/>
          </cell>
          <cell r="U2266" t="str">
            <v/>
          </cell>
          <cell r="V2266" t="str">
            <v>N52</v>
          </cell>
          <cell r="W2266" t="str">
            <v/>
          </cell>
          <cell r="X2266" t="str">
            <v/>
          </cell>
          <cell r="Y2266" t="str">
            <v/>
          </cell>
          <cell r="Z2266" t="str">
            <v/>
          </cell>
          <cell r="AA2266" t="str">
            <v/>
          </cell>
          <cell r="AB2266" t="str">
            <v>PA_2201120-MB.3034-4</v>
          </cell>
          <cell r="AC2266">
            <v>1</v>
          </cell>
          <cell r="AD2266" t="str">
            <v/>
          </cell>
          <cell r="AE2266">
            <v>0</v>
          </cell>
          <cell r="AF2266" t="str">
            <v/>
          </cell>
          <cell r="AG2266" t="str">
            <v>0682813</v>
          </cell>
          <cell r="AH2266">
            <v>45015.922569444447</v>
          </cell>
          <cell r="AI2266" t="str">
            <v>N52</v>
          </cell>
          <cell r="AJ2266" t="str">
            <v>F</v>
          </cell>
          <cell r="AK2266" t="str">
            <v/>
          </cell>
        </row>
        <row r="2267">
          <cell r="A2267" t="str">
            <v>12664287820541</v>
          </cell>
          <cell r="B2267" t="e">
            <v>#N/A</v>
          </cell>
          <cell r="C2267" t="e">
            <v>#N/A</v>
          </cell>
          <cell r="D2267" t="str">
            <v>EK65</v>
          </cell>
          <cell r="E2267" t="str">
            <v>722954</v>
          </cell>
          <cell r="F2267" t="str">
            <v>E</v>
          </cell>
          <cell r="G2267" t="str">
            <v>12664287</v>
          </cell>
          <cell r="H2267" t="str">
            <v>Dehnhuelse</v>
          </cell>
          <cell r="I2267">
            <v>528</v>
          </cell>
          <cell r="J2267" t="str">
            <v>Stk</v>
          </cell>
          <cell r="K2267">
            <v>45195</v>
          </cell>
          <cell r="L2267" t="str">
            <v>820541</v>
          </cell>
          <cell r="M2267" t="str">
            <v/>
          </cell>
          <cell r="N2267" t="str">
            <v/>
          </cell>
          <cell r="O2267" t="str">
            <v/>
          </cell>
          <cell r="P2267" t="str">
            <v/>
          </cell>
          <cell r="Q2267" t="str">
            <v/>
          </cell>
          <cell r="R2267" t="str">
            <v/>
          </cell>
          <cell r="S2267" t="str">
            <v/>
          </cell>
          <cell r="T2267" t="str">
            <v/>
          </cell>
          <cell r="U2267" t="str">
            <v/>
          </cell>
          <cell r="V2267" t="str">
            <v>N52</v>
          </cell>
          <cell r="W2267" t="str">
            <v/>
          </cell>
          <cell r="X2267" t="str">
            <v/>
          </cell>
          <cell r="Y2267" t="str">
            <v/>
          </cell>
          <cell r="Z2267" t="str">
            <v/>
          </cell>
          <cell r="AA2267" t="str">
            <v/>
          </cell>
          <cell r="AB2267" t="str">
            <v>PA_5002618-DB.3048-4</v>
          </cell>
          <cell r="AC2267">
            <v>1</v>
          </cell>
          <cell r="AD2267" t="str">
            <v/>
          </cell>
          <cell r="AE2267">
            <v>0</v>
          </cell>
          <cell r="AF2267" t="str">
            <v/>
          </cell>
          <cell r="AG2267" t="str">
            <v>12664287</v>
          </cell>
          <cell r="AH2267">
            <v>45015.924004629633</v>
          </cell>
          <cell r="AI2267" t="str">
            <v>N52</v>
          </cell>
          <cell r="AJ2267" t="str">
            <v>F</v>
          </cell>
          <cell r="AK2267" t="str">
            <v/>
          </cell>
        </row>
        <row r="2268">
          <cell r="A2268" t="str">
            <v>12664296820541</v>
          </cell>
          <cell r="B2268" t="e">
            <v>#N/A</v>
          </cell>
          <cell r="C2268" t="e">
            <v>#N/A</v>
          </cell>
          <cell r="D2268" t="str">
            <v>EK65</v>
          </cell>
          <cell r="E2268" t="str">
            <v>722955</v>
          </cell>
          <cell r="F2268" t="str">
            <v>E</v>
          </cell>
          <cell r="G2268" t="str">
            <v>12664296</v>
          </cell>
          <cell r="H2268" t="str">
            <v>Unterlage</v>
          </cell>
          <cell r="I2268">
            <v>264</v>
          </cell>
          <cell r="J2268" t="str">
            <v>Stk</v>
          </cell>
          <cell r="K2268">
            <v>45195</v>
          </cell>
          <cell r="L2268" t="str">
            <v>820541</v>
          </cell>
          <cell r="M2268" t="str">
            <v/>
          </cell>
          <cell r="N2268" t="str">
            <v/>
          </cell>
          <cell r="O2268" t="str">
            <v/>
          </cell>
          <cell r="P2268" t="str">
            <v/>
          </cell>
          <cell r="Q2268" t="str">
            <v/>
          </cell>
          <cell r="R2268" t="str">
            <v/>
          </cell>
          <cell r="S2268" t="str">
            <v/>
          </cell>
          <cell r="T2268" t="str">
            <v/>
          </cell>
          <cell r="U2268" t="str">
            <v/>
          </cell>
          <cell r="V2268" t="str">
            <v>N52</v>
          </cell>
          <cell r="W2268" t="str">
            <v/>
          </cell>
          <cell r="X2268" t="str">
            <v/>
          </cell>
          <cell r="Y2268" t="str">
            <v/>
          </cell>
          <cell r="Z2268" t="str">
            <v/>
          </cell>
          <cell r="AA2268" t="str">
            <v/>
          </cell>
          <cell r="AB2268" t="str">
            <v>PA_5202290-DB.3048-4</v>
          </cell>
          <cell r="AC2268">
            <v>1</v>
          </cell>
          <cell r="AD2268" t="str">
            <v/>
          </cell>
          <cell r="AE2268">
            <v>0</v>
          </cell>
          <cell r="AF2268" t="str">
            <v/>
          </cell>
          <cell r="AG2268" t="str">
            <v>12664296</v>
          </cell>
          <cell r="AH2268">
            <v>45015.924016203702</v>
          </cell>
          <cell r="AI2268" t="str">
            <v>N52</v>
          </cell>
          <cell r="AJ2268" t="str">
            <v>F</v>
          </cell>
          <cell r="AK2268" t="str">
            <v/>
          </cell>
        </row>
        <row r="2269">
          <cell r="A2269" t="str">
            <v>12672019820541</v>
          </cell>
          <cell r="B2269" t="e">
            <v>#N/A</v>
          </cell>
          <cell r="C2269" t="e">
            <v>#N/A</v>
          </cell>
          <cell r="D2269" t="str">
            <v>EK65</v>
          </cell>
          <cell r="E2269" t="str">
            <v>722956</v>
          </cell>
          <cell r="F2269" t="str">
            <v>E</v>
          </cell>
          <cell r="G2269" t="str">
            <v>12672019</v>
          </cell>
          <cell r="H2269" t="str">
            <v>Halter, vollst.</v>
          </cell>
          <cell r="I2269">
            <v>88</v>
          </cell>
          <cell r="J2269" t="str">
            <v>Stk</v>
          </cell>
          <cell r="K2269">
            <v>45166</v>
          </cell>
          <cell r="L2269" t="str">
            <v>820541</v>
          </cell>
          <cell r="M2269" t="str">
            <v/>
          </cell>
          <cell r="N2269" t="str">
            <v/>
          </cell>
          <cell r="O2269" t="str">
            <v/>
          </cell>
          <cell r="P2269" t="str">
            <v/>
          </cell>
          <cell r="Q2269" t="str">
            <v/>
          </cell>
          <cell r="R2269" t="str">
            <v/>
          </cell>
          <cell r="S2269" t="str">
            <v/>
          </cell>
          <cell r="T2269" t="str">
            <v/>
          </cell>
          <cell r="U2269" t="str">
            <v/>
          </cell>
          <cell r="V2269" t="str">
            <v>N38</v>
          </cell>
          <cell r="W2269" t="str">
            <v/>
          </cell>
          <cell r="X2269" t="str">
            <v/>
          </cell>
          <cell r="Y2269" t="str">
            <v/>
          </cell>
          <cell r="Z2269" t="str">
            <v/>
          </cell>
          <cell r="AA2269" t="str">
            <v/>
          </cell>
          <cell r="AB2269" t="str">
            <v>PA_5120541-QE.3048-3</v>
          </cell>
          <cell r="AC2269">
            <v>1</v>
          </cell>
          <cell r="AD2269" t="str">
            <v/>
          </cell>
          <cell r="AE2269">
            <v>0</v>
          </cell>
          <cell r="AF2269" t="str">
            <v/>
          </cell>
          <cell r="AG2269" t="str">
            <v>12672019</v>
          </cell>
          <cell r="AH2269">
            <v>45015.924467592595</v>
          </cell>
          <cell r="AI2269" t="str">
            <v>N38</v>
          </cell>
          <cell r="AJ2269" t="str">
            <v>F</v>
          </cell>
          <cell r="AK2269" t="str">
            <v/>
          </cell>
        </row>
        <row r="2270">
          <cell r="A2270" t="str">
            <v>12672026820541</v>
          </cell>
          <cell r="B2270" t="e">
            <v>#N/A</v>
          </cell>
          <cell r="C2270" t="e">
            <v>#N/A</v>
          </cell>
          <cell r="D2270" t="str">
            <v>EK65</v>
          </cell>
          <cell r="E2270" t="str">
            <v>722957</v>
          </cell>
          <cell r="F2270" t="str">
            <v>E</v>
          </cell>
          <cell r="G2270" t="str">
            <v>12672026</v>
          </cell>
          <cell r="H2270" t="str">
            <v>Schottplatte</v>
          </cell>
          <cell r="I2270">
            <v>88</v>
          </cell>
          <cell r="J2270" t="str">
            <v>Stk</v>
          </cell>
          <cell r="K2270">
            <v>45166</v>
          </cell>
          <cell r="L2270" t="str">
            <v>820541</v>
          </cell>
          <cell r="M2270" t="str">
            <v/>
          </cell>
          <cell r="N2270" t="str">
            <v/>
          </cell>
          <cell r="O2270" t="str">
            <v/>
          </cell>
          <cell r="P2270" t="str">
            <v/>
          </cell>
          <cell r="Q2270" t="str">
            <v/>
          </cell>
          <cell r="R2270" t="str">
            <v/>
          </cell>
          <cell r="S2270" t="str">
            <v/>
          </cell>
          <cell r="T2270" t="str">
            <v/>
          </cell>
          <cell r="U2270" t="str">
            <v/>
          </cell>
          <cell r="V2270" t="str">
            <v>N52</v>
          </cell>
          <cell r="W2270" t="str">
            <v/>
          </cell>
          <cell r="X2270" t="str">
            <v/>
          </cell>
          <cell r="Y2270" t="str">
            <v/>
          </cell>
          <cell r="Z2270" t="str">
            <v/>
          </cell>
          <cell r="AA2270" t="str">
            <v/>
          </cell>
          <cell r="AB2270" t="str">
            <v>PA_4900207-QE.3048-3</v>
          </cell>
          <cell r="AC2270">
            <v>1</v>
          </cell>
          <cell r="AD2270" t="str">
            <v/>
          </cell>
          <cell r="AE2270">
            <v>0</v>
          </cell>
          <cell r="AF2270" t="str">
            <v/>
          </cell>
          <cell r="AG2270" t="str">
            <v>12672026</v>
          </cell>
          <cell r="AH2270">
            <v>45015.924560185187</v>
          </cell>
          <cell r="AI2270" t="str">
            <v>N52</v>
          </cell>
          <cell r="AJ2270" t="str">
            <v>F</v>
          </cell>
          <cell r="AK2270" t="str">
            <v/>
          </cell>
        </row>
        <row r="2271">
          <cell r="A2271" t="str">
            <v>12673137820541</v>
          </cell>
          <cell r="B2271" t="e">
            <v>#N/A</v>
          </cell>
          <cell r="C2271" t="e">
            <v>#N/A</v>
          </cell>
          <cell r="D2271" t="str">
            <v>EK65</v>
          </cell>
          <cell r="E2271" t="str">
            <v>722972</v>
          </cell>
          <cell r="F2271" t="str">
            <v>E</v>
          </cell>
          <cell r="G2271" t="str">
            <v>12673137</v>
          </cell>
          <cell r="H2271" t="str">
            <v>Schottplatte</v>
          </cell>
          <cell r="I2271">
            <v>44</v>
          </cell>
          <cell r="J2271" t="str">
            <v>Stk</v>
          </cell>
          <cell r="K2271">
            <v>45167</v>
          </cell>
          <cell r="L2271" t="str">
            <v>820541</v>
          </cell>
          <cell r="M2271" t="str">
            <v/>
          </cell>
          <cell r="N2271" t="str">
            <v/>
          </cell>
          <cell r="O2271" t="str">
            <v/>
          </cell>
          <cell r="P2271" t="str">
            <v/>
          </cell>
          <cell r="Q2271" t="str">
            <v/>
          </cell>
          <cell r="R2271" t="str">
            <v/>
          </cell>
          <cell r="S2271" t="str">
            <v/>
          </cell>
          <cell r="T2271" t="str">
            <v/>
          </cell>
          <cell r="U2271" t="str">
            <v/>
          </cell>
          <cell r="V2271" t="str">
            <v>N52</v>
          </cell>
          <cell r="W2271" t="str">
            <v/>
          </cell>
          <cell r="X2271" t="str">
            <v/>
          </cell>
          <cell r="Y2271" t="str">
            <v/>
          </cell>
          <cell r="Z2271" t="str">
            <v/>
          </cell>
          <cell r="AA2271" t="str">
            <v/>
          </cell>
          <cell r="AB2271" t="str">
            <v>PA_5185992-QE.3048-3</v>
          </cell>
          <cell r="AC2271">
            <v>1</v>
          </cell>
          <cell r="AD2271" t="str">
            <v/>
          </cell>
          <cell r="AE2271">
            <v>0</v>
          </cell>
          <cell r="AF2271" t="str">
            <v/>
          </cell>
          <cell r="AG2271" t="str">
            <v>12673137</v>
          </cell>
          <cell r="AH2271">
            <v>45015.924699074072</v>
          </cell>
          <cell r="AI2271" t="str">
            <v>N52</v>
          </cell>
          <cell r="AJ2271" t="str">
            <v>F</v>
          </cell>
          <cell r="AK2271" t="str">
            <v/>
          </cell>
        </row>
        <row r="2272">
          <cell r="A2272" t="str">
            <v>5775932820541</v>
          </cell>
          <cell r="B2272" t="e">
            <v>#N/A</v>
          </cell>
          <cell r="C2272" t="e">
            <v>#N/A</v>
          </cell>
          <cell r="D2272" t="str">
            <v>EK65</v>
          </cell>
          <cell r="E2272" t="str">
            <v>723033</v>
          </cell>
          <cell r="F2272" t="str">
            <v>E</v>
          </cell>
          <cell r="G2272" t="str">
            <v>5775932</v>
          </cell>
          <cell r="H2272" t="str">
            <v>BUCHSE</v>
          </cell>
          <cell r="I2272">
            <v>1584</v>
          </cell>
          <cell r="J2272" t="str">
            <v>Stk</v>
          </cell>
          <cell r="K2272">
            <v>45167</v>
          </cell>
          <cell r="L2272" t="str">
            <v>820541</v>
          </cell>
          <cell r="M2272" t="str">
            <v/>
          </cell>
          <cell r="N2272" t="str">
            <v/>
          </cell>
          <cell r="O2272" t="str">
            <v/>
          </cell>
          <cell r="P2272" t="str">
            <v/>
          </cell>
          <cell r="Q2272" t="str">
            <v/>
          </cell>
          <cell r="R2272" t="str">
            <v/>
          </cell>
          <cell r="S2272" t="str">
            <v/>
          </cell>
          <cell r="T2272" t="str">
            <v/>
          </cell>
          <cell r="U2272" t="str">
            <v/>
          </cell>
          <cell r="V2272" t="str">
            <v>N52</v>
          </cell>
          <cell r="W2272" t="str">
            <v/>
          </cell>
          <cell r="X2272" t="str">
            <v/>
          </cell>
          <cell r="Y2272" t="str">
            <v/>
          </cell>
          <cell r="Z2272" t="str">
            <v/>
          </cell>
          <cell r="AA2272" t="str">
            <v/>
          </cell>
          <cell r="AB2272" t="str">
            <v>PA_1998678-MB.3021-4</v>
          </cell>
          <cell r="AC2272">
            <v>1</v>
          </cell>
          <cell r="AD2272" t="str">
            <v/>
          </cell>
          <cell r="AE2272">
            <v>0</v>
          </cell>
          <cell r="AF2272" t="str">
            <v/>
          </cell>
          <cell r="AG2272" t="str">
            <v>5775932</v>
          </cell>
          <cell r="AH2272">
            <v>45015.92796296296</v>
          </cell>
          <cell r="AI2272" t="str">
            <v>N52</v>
          </cell>
          <cell r="AJ2272" t="str">
            <v>F</v>
          </cell>
          <cell r="AK2272" t="str">
            <v/>
          </cell>
        </row>
        <row r="2273">
          <cell r="A2273" t="str">
            <v>5819645820541</v>
          </cell>
          <cell r="B2273" t="e">
            <v>#N/A</v>
          </cell>
          <cell r="C2273" t="e">
            <v>#N/A</v>
          </cell>
          <cell r="D2273" t="str">
            <v>EK65</v>
          </cell>
          <cell r="E2273" t="str">
            <v>723034</v>
          </cell>
          <cell r="F2273" t="str">
            <v>E</v>
          </cell>
          <cell r="G2273" t="str">
            <v>5819645</v>
          </cell>
          <cell r="H2273" t="str">
            <v>ABSTANDSHALTER</v>
          </cell>
          <cell r="I2273">
            <v>176</v>
          </cell>
          <cell r="J2273" t="str">
            <v>Stk</v>
          </cell>
          <cell r="K2273">
            <v>45167</v>
          </cell>
          <cell r="L2273" t="str">
            <v>820541</v>
          </cell>
          <cell r="M2273" t="str">
            <v/>
          </cell>
          <cell r="N2273" t="str">
            <v/>
          </cell>
          <cell r="O2273" t="str">
            <v/>
          </cell>
          <cell r="P2273" t="str">
            <v/>
          </cell>
          <cell r="Q2273" t="str">
            <v/>
          </cell>
          <cell r="R2273" t="str">
            <v/>
          </cell>
          <cell r="S2273" t="str">
            <v/>
          </cell>
          <cell r="T2273" t="str">
            <v/>
          </cell>
          <cell r="U2273" t="str">
            <v/>
          </cell>
          <cell r="V2273" t="str">
            <v>N32</v>
          </cell>
          <cell r="W2273" t="str">
            <v/>
          </cell>
          <cell r="X2273" t="str">
            <v/>
          </cell>
          <cell r="Y2273" t="str">
            <v/>
          </cell>
          <cell r="Z2273" t="str">
            <v/>
          </cell>
          <cell r="AA2273" t="str">
            <v/>
          </cell>
          <cell r="AB2273" t="str">
            <v>PA_2003857-MB.3022-3</v>
          </cell>
          <cell r="AC2273">
            <v>1</v>
          </cell>
          <cell r="AD2273" t="str">
            <v/>
          </cell>
          <cell r="AE2273">
            <v>0</v>
          </cell>
          <cell r="AF2273" t="str">
            <v/>
          </cell>
          <cell r="AG2273" t="str">
            <v>5819645</v>
          </cell>
          <cell r="AH2273">
            <v>45015.92800925926</v>
          </cell>
          <cell r="AI2273" t="str">
            <v>N32</v>
          </cell>
          <cell r="AJ2273" t="str">
            <v>F</v>
          </cell>
          <cell r="AK2273" t="str">
            <v>A</v>
          </cell>
        </row>
        <row r="2274">
          <cell r="A2274" t="str">
            <v>5924450820541</v>
          </cell>
          <cell r="B2274" t="e">
            <v>#N/A</v>
          </cell>
          <cell r="C2274" t="e">
            <v>#N/A</v>
          </cell>
          <cell r="D2274" t="str">
            <v>EK65</v>
          </cell>
          <cell r="E2274" t="str">
            <v>723035</v>
          </cell>
          <cell r="F2274" t="str">
            <v>E</v>
          </cell>
          <cell r="G2274" t="str">
            <v>5924450</v>
          </cell>
          <cell r="H2274" t="str">
            <v>HUTBLECH</v>
          </cell>
          <cell r="I2274">
            <v>176</v>
          </cell>
          <cell r="J2274" t="str">
            <v>Stk</v>
          </cell>
          <cell r="K2274">
            <v>45167</v>
          </cell>
          <cell r="L2274" t="str">
            <v>820541</v>
          </cell>
          <cell r="M2274" t="str">
            <v/>
          </cell>
          <cell r="N2274" t="str">
            <v/>
          </cell>
          <cell r="O2274" t="str">
            <v/>
          </cell>
          <cell r="P2274" t="str">
            <v/>
          </cell>
          <cell r="Q2274" t="str">
            <v/>
          </cell>
          <cell r="R2274" t="str">
            <v/>
          </cell>
          <cell r="S2274" t="str">
            <v/>
          </cell>
          <cell r="T2274" t="str">
            <v/>
          </cell>
          <cell r="U2274" t="str">
            <v/>
          </cell>
          <cell r="V2274" t="str">
            <v>N32</v>
          </cell>
          <cell r="W2274" t="str">
            <v/>
          </cell>
          <cell r="X2274" t="str">
            <v/>
          </cell>
          <cell r="Y2274" t="str">
            <v/>
          </cell>
          <cell r="Z2274" t="str">
            <v/>
          </cell>
          <cell r="AA2274" t="str">
            <v/>
          </cell>
          <cell r="AB2274" t="str">
            <v>PA_2032364-MB.3022-4</v>
          </cell>
          <cell r="AC2274">
            <v>1</v>
          </cell>
          <cell r="AD2274" t="str">
            <v/>
          </cell>
          <cell r="AE2274">
            <v>0</v>
          </cell>
          <cell r="AF2274" t="str">
            <v/>
          </cell>
          <cell r="AG2274" t="str">
            <v>5924450</v>
          </cell>
          <cell r="AH2274">
            <v>45015.928078703706</v>
          </cell>
          <cell r="AI2274" t="str">
            <v>N32</v>
          </cell>
          <cell r="AJ2274" t="str">
            <v>F</v>
          </cell>
          <cell r="AK2274" t="str">
            <v/>
          </cell>
        </row>
        <row r="2275">
          <cell r="A2275" t="str">
            <v>70001941828521</v>
          </cell>
          <cell r="B2275">
            <v>0</v>
          </cell>
          <cell r="C2275" t="e">
            <v>#N/A</v>
          </cell>
          <cell r="D2275" t="str">
            <v>EK65</v>
          </cell>
          <cell r="E2275" t="str">
            <v>706893</v>
          </cell>
          <cell r="F2275" t="str">
            <v>E</v>
          </cell>
          <cell r="G2275" t="str">
            <v>70001941</v>
          </cell>
          <cell r="H2275" t="str">
            <v>SHIM 0,5 MM</v>
          </cell>
          <cell r="I2275">
            <v>1440</v>
          </cell>
          <cell r="J2275" t="str">
            <v>Stk</v>
          </cell>
          <cell r="K2275">
            <v>45112</v>
          </cell>
          <cell r="L2275" t="str">
            <v>828521</v>
          </cell>
          <cell r="M2275" t="str">
            <v/>
          </cell>
          <cell r="N2275" t="str">
            <v/>
          </cell>
          <cell r="O2275" t="str">
            <v/>
          </cell>
          <cell r="P2275" t="str">
            <v/>
          </cell>
          <cell r="Q2275" t="str">
            <v/>
          </cell>
          <cell r="R2275" t="str">
            <v/>
          </cell>
          <cell r="S2275" t="str">
            <v/>
          </cell>
          <cell r="T2275" t="str">
            <v/>
          </cell>
          <cell r="U2275" t="str">
            <v>BB20037010013</v>
          </cell>
          <cell r="V2275" t="str">
            <v>B00</v>
          </cell>
          <cell r="W2275" t="str">
            <v/>
          </cell>
          <cell r="X2275" t="str">
            <v/>
          </cell>
          <cell r="Y2275" t="str">
            <v/>
          </cell>
          <cell r="Z2275" t="str">
            <v/>
          </cell>
          <cell r="AA2275" t="str">
            <v/>
          </cell>
          <cell r="AB2275" t="str">
            <v>70001941</v>
          </cell>
          <cell r="AC2275">
            <v>1</v>
          </cell>
          <cell r="AD2275" t="str">
            <v/>
          </cell>
          <cell r="AE2275">
            <v>0</v>
          </cell>
          <cell r="AF2275" t="str">
            <v/>
          </cell>
          <cell r="AG2275" t="str">
            <v>70001941</v>
          </cell>
          <cell r="AH2275">
            <v>44961.012442129628</v>
          </cell>
          <cell r="AI2275" t="str">
            <v>B00</v>
          </cell>
          <cell r="AJ2275" t="str">
            <v>F</v>
          </cell>
          <cell r="AK2275" t="str">
            <v>--</v>
          </cell>
        </row>
        <row r="2276">
          <cell r="A2276" t="str">
            <v>70002004828521</v>
          </cell>
          <cell r="B2276">
            <v>0</v>
          </cell>
          <cell r="C2276" t="e">
            <v>#N/A</v>
          </cell>
          <cell r="D2276" t="str">
            <v>EK65</v>
          </cell>
          <cell r="E2276" t="str">
            <v>706899</v>
          </cell>
          <cell r="F2276" t="str">
            <v>E</v>
          </cell>
          <cell r="G2276" t="str">
            <v>70002004</v>
          </cell>
          <cell r="H2276" t="str">
            <v>SHIM</v>
          </cell>
          <cell r="I2276">
            <v>180</v>
          </cell>
          <cell r="J2276" t="str">
            <v>Stk</v>
          </cell>
          <cell r="K2276">
            <v>45112</v>
          </cell>
          <cell r="L2276" t="str">
            <v>828521</v>
          </cell>
          <cell r="M2276" t="str">
            <v/>
          </cell>
          <cell r="N2276" t="str">
            <v/>
          </cell>
          <cell r="O2276" t="str">
            <v/>
          </cell>
          <cell r="P2276" t="str">
            <v/>
          </cell>
          <cell r="Q2276" t="str">
            <v/>
          </cell>
          <cell r="R2276" t="str">
            <v/>
          </cell>
          <cell r="S2276" t="str">
            <v/>
          </cell>
          <cell r="T2276" t="str">
            <v/>
          </cell>
          <cell r="U2276" t="str">
            <v>BB20046211002</v>
          </cell>
          <cell r="V2276" t="str">
            <v>B00</v>
          </cell>
          <cell r="W2276" t="str">
            <v/>
          </cell>
          <cell r="X2276" t="str">
            <v/>
          </cell>
          <cell r="Y2276" t="str">
            <v/>
          </cell>
          <cell r="Z2276" t="str">
            <v/>
          </cell>
          <cell r="AA2276" t="str">
            <v/>
          </cell>
          <cell r="AB2276" t="str">
            <v>70002004</v>
          </cell>
          <cell r="AC2276">
            <v>1</v>
          </cell>
          <cell r="AD2276" t="str">
            <v/>
          </cell>
          <cell r="AE2276">
            <v>0</v>
          </cell>
          <cell r="AF2276" t="str">
            <v/>
          </cell>
          <cell r="AG2276" t="str">
            <v>70002004</v>
          </cell>
          <cell r="AH2276">
            <v>44961.013171296298</v>
          </cell>
          <cell r="AI2276" t="str">
            <v>B00</v>
          </cell>
          <cell r="AJ2276" t="str">
            <v>F</v>
          </cell>
          <cell r="AK2276" t="str">
            <v>--</v>
          </cell>
        </row>
        <row r="2277">
          <cell r="A2277" t="str">
            <v>12517788829053</v>
          </cell>
          <cell r="B2277" t="e">
            <v>#N/A</v>
          </cell>
          <cell r="C2277" t="e">
            <v>#N/A</v>
          </cell>
          <cell r="D2277" t="str">
            <v>EK65</v>
          </cell>
          <cell r="E2277" t="str">
            <v>723174</v>
          </cell>
          <cell r="F2277" t="str">
            <v>E</v>
          </cell>
          <cell r="G2277" t="str">
            <v>12517788</v>
          </cell>
          <cell r="H2277" t="str">
            <v>Halter vorkonfektioniert</v>
          </cell>
          <cell r="I2277">
            <v>104</v>
          </cell>
          <cell r="J2277" t="str">
            <v>Stk</v>
          </cell>
          <cell r="K2277">
            <v>45197</v>
          </cell>
          <cell r="L2277" t="str">
            <v>829053</v>
          </cell>
          <cell r="M2277" t="str">
            <v/>
          </cell>
          <cell r="N2277" t="str">
            <v/>
          </cell>
          <cell r="O2277" t="str">
            <v/>
          </cell>
          <cell r="P2277" t="str">
            <v/>
          </cell>
          <cell r="Q2277" t="str">
            <v/>
          </cell>
          <cell r="R2277" t="str">
            <v/>
          </cell>
          <cell r="S2277" t="str">
            <v/>
          </cell>
          <cell r="T2277" t="str">
            <v/>
          </cell>
          <cell r="U2277" t="str">
            <v/>
          </cell>
          <cell r="V2277" t="str">
            <v>N38</v>
          </cell>
          <cell r="W2277" t="str">
            <v/>
          </cell>
          <cell r="X2277" t="str">
            <v/>
          </cell>
          <cell r="Y2277" t="str">
            <v/>
          </cell>
          <cell r="Z2277" t="str">
            <v/>
          </cell>
          <cell r="AA2277" t="str">
            <v/>
          </cell>
          <cell r="AB2277" t="str">
            <v>PA_4431606-UA.7005-3</v>
          </cell>
          <cell r="AC2277">
            <v>1</v>
          </cell>
          <cell r="AD2277" t="str">
            <v/>
          </cell>
          <cell r="AE2277">
            <v>0</v>
          </cell>
          <cell r="AF2277" t="str">
            <v/>
          </cell>
          <cell r="AG2277" t="str">
            <v>12517788</v>
          </cell>
          <cell r="AH2277">
            <v>45015.963946759257</v>
          </cell>
          <cell r="AI2277" t="str">
            <v>N38</v>
          </cell>
          <cell r="AJ2277" t="str">
            <v>F</v>
          </cell>
          <cell r="AK2277" t="str">
            <v/>
          </cell>
        </row>
        <row r="2278">
          <cell r="A2278" t="str">
            <v>12517788829054</v>
          </cell>
          <cell r="B2278" t="e">
            <v>#N/A</v>
          </cell>
          <cell r="C2278" t="e">
            <v>#N/A</v>
          </cell>
          <cell r="D2278" t="str">
            <v>EK65</v>
          </cell>
          <cell r="E2278" t="str">
            <v>723175</v>
          </cell>
          <cell r="F2278" t="str">
            <v>E</v>
          </cell>
          <cell r="G2278" t="str">
            <v>12517788</v>
          </cell>
          <cell r="H2278" t="str">
            <v>Halter vorkonfektioniert</v>
          </cell>
          <cell r="I2278">
            <v>35</v>
          </cell>
          <cell r="J2278" t="str">
            <v>Stk</v>
          </cell>
          <cell r="K2278">
            <v>45209</v>
          </cell>
          <cell r="L2278" t="str">
            <v>829054</v>
          </cell>
          <cell r="M2278" t="str">
            <v/>
          </cell>
          <cell r="N2278" t="str">
            <v/>
          </cell>
          <cell r="O2278" t="str">
            <v/>
          </cell>
          <cell r="P2278" t="str">
            <v/>
          </cell>
          <cell r="Q2278" t="str">
            <v/>
          </cell>
          <cell r="R2278" t="str">
            <v/>
          </cell>
          <cell r="S2278" t="str">
            <v/>
          </cell>
          <cell r="T2278" t="str">
            <v/>
          </cell>
          <cell r="U2278" t="str">
            <v/>
          </cell>
          <cell r="V2278" t="str">
            <v>N38</v>
          </cell>
          <cell r="W2278" t="str">
            <v/>
          </cell>
          <cell r="X2278" t="str">
            <v/>
          </cell>
          <cell r="Y2278" t="str">
            <v/>
          </cell>
          <cell r="Z2278" t="str">
            <v/>
          </cell>
          <cell r="AA2278" t="str">
            <v/>
          </cell>
          <cell r="AB2278" t="str">
            <v>PA_4431606-UA.7005-3</v>
          </cell>
          <cell r="AC2278">
            <v>1</v>
          </cell>
          <cell r="AD2278" t="str">
            <v/>
          </cell>
          <cell r="AE2278">
            <v>0</v>
          </cell>
          <cell r="AF2278" t="str">
            <v/>
          </cell>
          <cell r="AG2278" t="str">
            <v>12517788</v>
          </cell>
          <cell r="AH2278">
            <v>45015.963946759257</v>
          </cell>
          <cell r="AI2278" t="str">
            <v>N38</v>
          </cell>
          <cell r="AJ2278" t="str">
            <v>F</v>
          </cell>
          <cell r="AK2278" t="str">
            <v/>
          </cell>
        </row>
        <row r="2279">
          <cell r="A2279" t="str">
            <v>12517788829051</v>
          </cell>
          <cell r="B2279" t="e">
            <v>#N/A</v>
          </cell>
          <cell r="C2279" t="e">
            <v>#N/A</v>
          </cell>
          <cell r="D2279" t="str">
            <v>EK65</v>
          </cell>
          <cell r="E2279" t="str">
            <v>723176</v>
          </cell>
          <cell r="F2279" t="str">
            <v>E</v>
          </cell>
          <cell r="G2279" t="str">
            <v>12517788</v>
          </cell>
          <cell r="H2279" t="str">
            <v>Halter vorkonfektioniert</v>
          </cell>
          <cell r="I2279">
            <v>361</v>
          </cell>
          <cell r="J2279" t="str">
            <v>Stk</v>
          </cell>
          <cell r="K2279">
            <v>45317</v>
          </cell>
          <cell r="L2279" t="str">
            <v>829051</v>
          </cell>
          <cell r="M2279" t="str">
            <v/>
          </cell>
          <cell r="N2279" t="str">
            <v/>
          </cell>
          <cell r="O2279" t="str">
            <v/>
          </cell>
          <cell r="P2279" t="str">
            <v/>
          </cell>
          <cell r="Q2279" t="str">
            <v/>
          </cell>
          <cell r="R2279" t="str">
            <v/>
          </cell>
          <cell r="S2279" t="str">
            <v/>
          </cell>
          <cell r="T2279" t="str">
            <v/>
          </cell>
          <cell r="U2279" t="str">
            <v/>
          </cell>
          <cell r="V2279" t="str">
            <v>N38</v>
          </cell>
          <cell r="W2279" t="str">
            <v/>
          </cell>
          <cell r="X2279" t="str">
            <v/>
          </cell>
          <cell r="Y2279" t="str">
            <v/>
          </cell>
          <cell r="Z2279" t="str">
            <v/>
          </cell>
          <cell r="AA2279" t="str">
            <v/>
          </cell>
          <cell r="AB2279" t="str">
            <v>PA_4431606-UA.7005-3</v>
          </cell>
          <cell r="AC2279">
            <v>1</v>
          </cell>
          <cell r="AD2279" t="str">
            <v/>
          </cell>
          <cell r="AE2279">
            <v>0</v>
          </cell>
          <cell r="AF2279" t="str">
            <v/>
          </cell>
          <cell r="AG2279" t="str">
            <v>12517788</v>
          </cell>
          <cell r="AH2279">
            <v>45015.963946759257</v>
          </cell>
          <cell r="AI2279" t="str">
            <v>N38</v>
          </cell>
          <cell r="AJ2279" t="str">
            <v>F</v>
          </cell>
          <cell r="AK2279" t="str">
            <v/>
          </cell>
        </row>
        <row r="2280">
          <cell r="A2280" t="str">
            <v>12517788829052</v>
          </cell>
          <cell r="B2280" t="e">
            <v>#N/A</v>
          </cell>
          <cell r="C2280" t="e">
            <v>#N/A</v>
          </cell>
          <cell r="D2280" t="str">
            <v>EK65</v>
          </cell>
          <cell r="E2280" t="str">
            <v>723177</v>
          </cell>
          <cell r="F2280" t="str">
            <v>E</v>
          </cell>
          <cell r="G2280" t="str">
            <v>12517788</v>
          </cell>
          <cell r="H2280" t="str">
            <v>Halter vorkonfektioniert</v>
          </cell>
          <cell r="I2280">
            <v>121</v>
          </cell>
          <cell r="J2280" t="str">
            <v>Stk</v>
          </cell>
          <cell r="K2280">
            <v>45351</v>
          </cell>
          <cell r="L2280" t="str">
            <v>829052</v>
          </cell>
          <cell r="M2280" t="str">
            <v/>
          </cell>
          <cell r="N2280" t="str">
            <v/>
          </cell>
          <cell r="O2280" t="str">
            <v/>
          </cell>
          <cell r="P2280" t="str">
            <v/>
          </cell>
          <cell r="Q2280" t="str">
            <v/>
          </cell>
          <cell r="R2280" t="str">
            <v/>
          </cell>
          <cell r="S2280" t="str">
            <v/>
          </cell>
          <cell r="T2280" t="str">
            <v/>
          </cell>
          <cell r="U2280" t="str">
            <v/>
          </cell>
          <cell r="V2280" t="str">
            <v>N38</v>
          </cell>
          <cell r="W2280" t="str">
            <v/>
          </cell>
          <cell r="X2280" t="str">
            <v/>
          </cell>
          <cell r="Y2280" t="str">
            <v/>
          </cell>
          <cell r="Z2280" t="str">
            <v/>
          </cell>
          <cell r="AA2280" t="str">
            <v/>
          </cell>
          <cell r="AB2280" t="str">
            <v>PA_4431606-UA.7005-3</v>
          </cell>
          <cell r="AC2280">
            <v>1</v>
          </cell>
          <cell r="AD2280" t="str">
            <v/>
          </cell>
          <cell r="AE2280">
            <v>0</v>
          </cell>
          <cell r="AF2280" t="str">
            <v/>
          </cell>
          <cell r="AG2280" t="str">
            <v>12517788</v>
          </cell>
          <cell r="AH2280">
            <v>45015.963946759257</v>
          </cell>
          <cell r="AI2280" t="str">
            <v>N38</v>
          </cell>
          <cell r="AJ2280" t="str">
            <v>F</v>
          </cell>
          <cell r="AK2280" t="str">
            <v/>
          </cell>
        </row>
        <row r="2281">
          <cell r="A2281" t="str">
            <v>12527627829053</v>
          </cell>
          <cell r="B2281" t="e">
            <v>#N/A</v>
          </cell>
          <cell r="C2281" t="e">
            <v>#N/A</v>
          </cell>
          <cell r="D2281" t="str">
            <v>EK65</v>
          </cell>
          <cell r="E2281" t="str">
            <v>723181</v>
          </cell>
          <cell r="F2281" t="str">
            <v>E</v>
          </cell>
          <cell r="G2281" t="str">
            <v>12527627</v>
          </cell>
          <cell r="H2281" t="str">
            <v>Halter vorkonfektioniert</v>
          </cell>
          <cell r="I2281">
            <v>102</v>
          </cell>
          <cell r="J2281" t="str">
            <v>Stk</v>
          </cell>
          <cell r="K2281">
            <v>45198</v>
          </cell>
          <cell r="L2281" t="str">
            <v>829053</v>
          </cell>
          <cell r="M2281" t="str">
            <v/>
          </cell>
          <cell r="N2281" t="str">
            <v/>
          </cell>
          <cell r="O2281" t="str">
            <v/>
          </cell>
          <cell r="P2281" t="str">
            <v/>
          </cell>
          <cell r="Q2281" t="str">
            <v/>
          </cell>
          <cell r="R2281" t="str">
            <v/>
          </cell>
          <cell r="S2281" t="str">
            <v/>
          </cell>
          <cell r="T2281" t="str">
            <v/>
          </cell>
          <cell r="U2281" t="str">
            <v/>
          </cell>
          <cell r="V2281" t="str">
            <v>N38</v>
          </cell>
          <cell r="W2281" t="str">
            <v/>
          </cell>
          <cell r="X2281" t="str">
            <v/>
          </cell>
          <cell r="Y2281" t="str">
            <v/>
          </cell>
          <cell r="Z2281" t="str">
            <v/>
          </cell>
          <cell r="AA2281" t="str">
            <v/>
          </cell>
          <cell r="AB2281" t="str">
            <v>PA_4434257-UA.7005-3</v>
          </cell>
          <cell r="AC2281">
            <v>1</v>
          </cell>
          <cell r="AD2281" t="str">
            <v/>
          </cell>
          <cell r="AE2281">
            <v>0</v>
          </cell>
          <cell r="AF2281" t="str">
            <v/>
          </cell>
          <cell r="AG2281" t="str">
            <v>12527627</v>
          </cell>
          <cell r="AH2281">
            <v>45015.969583333332</v>
          </cell>
          <cell r="AI2281" t="str">
            <v>N38</v>
          </cell>
          <cell r="AJ2281" t="str">
            <v>F</v>
          </cell>
          <cell r="AK2281" t="str">
            <v/>
          </cell>
        </row>
        <row r="2282">
          <cell r="A2282" t="str">
            <v>12527627829054</v>
          </cell>
          <cell r="B2282" t="e">
            <v>#N/A</v>
          </cell>
          <cell r="C2282" t="e">
            <v>#N/A</v>
          </cell>
          <cell r="D2282" t="str">
            <v>EK65</v>
          </cell>
          <cell r="E2282" t="str">
            <v>723182</v>
          </cell>
          <cell r="F2282" t="str">
            <v>E</v>
          </cell>
          <cell r="G2282" t="str">
            <v>12527627</v>
          </cell>
          <cell r="H2282" t="str">
            <v>Halter vorkonfektioniert</v>
          </cell>
          <cell r="I2282">
            <v>35</v>
          </cell>
          <cell r="J2282" t="str">
            <v>Stk</v>
          </cell>
          <cell r="K2282">
            <v>45209</v>
          </cell>
          <cell r="L2282" t="str">
            <v>829054</v>
          </cell>
          <cell r="M2282" t="str">
            <v/>
          </cell>
          <cell r="N2282" t="str">
            <v/>
          </cell>
          <cell r="O2282" t="str">
            <v/>
          </cell>
          <cell r="P2282" t="str">
            <v/>
          </cell>
          <cell r="Q2282" t="str">
            <v/>
          </cell>
          <cell r="R2282" t="str">
            <v/>
          </cell>
          <cell r="S2282" t="str">
            <v/>
          </cell>
          <cell r="T2282" t="str">
            <v/>
          </cell>
          <cell r="U2282" t="str">
            <v/>
          </cell>
          <cell r="V2282" t="str">
            <v>N38</v>
          </cell>
          <cell r="W2282" t="str">
            <v/>
          </cell>
          <cell r="X2282" t="str">
            <v/>
          </cell>
          <cell r="Y2282" t="str">
            <v/>
          </cell>
          <cell r="Z2282" t="str">
            <v/>
          </cell>
          <cell r="AA2282" t="str">
            <v/>
          </cell>
          <cell r="AB2282" t="str">
            <v>PA_4434257-UA.7005-3</v>
          </cell>
          <cell r="AC2282">
            <v>1</v>
          </cell>
          <cell r="AD2282" t="str">
            <v/>
          </cell>
          <cell r="AE2282">
            <v>0</v>
          </cell>
          <cell r="AF2282" t="str">
            <v/>
          </cell>
          <cell r="AG2282" t="str">
            <v>12527627</v>
          </cell>
          <cell r="AH2282">
            <v>45015.969583333332</v>
          </cell>
          <cell r="AI2282" t="str">
            <v>N38</v>
          </cell>
          <cell r="AJ2282" t="str">
            <v>F</v>
          </cell>
          <cell r="AK2282" t="str">
            <v/>
          </cell>
        </row>
        <row r="2283">
          <cell r="A2283" t="str">
            <v>12527627829051</v>
          </cell>
          <cell r="B2283" t="e">
            <v>#N/A</v>
          </cell>
          <cell r="C2283" t="e">
            <v>#N/A</v>
          </cell>
          <cell r="D2283" t="str">
            <v>EK65</v>
          </cell>
          <cell r="E2283" t="str">
            <v>723183</v>
          </cell>
          <cell r="F2283" t="str">
            <v>E</v>
          </cell>
          <cell r="G2283" t="str">
            <v>12527627</v>
          </cell>
          <cell r="H2283" t="str">
            <v>Halter vorkonfektioniert</v>
          </cell>
          <cell r="I2283">
            <v>361</v>
          </cell>
          <cell r="J2283" t="str">
            <v>Stk</v>
          </cell>
          <cell r="K2283">
            <v>45317</v>
          </cell>
          <cell r="L2283" t="str">
            <v>829051</v>
          </cell>
          <cell r="M2283" t="str">
            <v/>
          </cell>
          <cell r="N2283" t="str">
            <v/>
          </cell>
          <cell r="O2283" t="str">
            <v/>
          </cell>
          <cell r="P2283" t="str">
            <v/>
          </cell>
          <cell r="Q2283" t="str">
            <v/>
          </cell>
          <cell r="R2283" t="str">
            <v/>
          </cell>
          <cell r="S2283" t="str">
            <v/>
          </cell>
          <cell r="T2283" t="str">
            <v/>
          </cell>
          <cell r="U2283" t="str">
            <v/>
          </cell>
          <cell r="V2283" t="str">
            <v>N38</v>
          </cell>
          <cell r="W2283" t="str">
            <v/>
          </cell>
          <cell r="X2283" t="str">
            <v/>
          </cell>
          <cell r="Y2283" t="str">
            <v/>
          </cell>
          <cell r="Z2283" t="str">
            <v/>
          </cell>
          <cell r="AA2283" t="str">
            <v/>
          </cell>
          <cell r="AB2283" t="str">
            <v>PA_4434257-UA.7005-3</v>
          </cell>
          <cell r="AC2283">
            <v>1</v>
          </cell>
          <cell r="AD2283" t="str">
            <v/>
          </cell>
          <cell r="AE2283">
            <v>0</v>
          </cell>
          <cell r="AF2283" t="str">
            <v/>
          </cell>
          <cell r="AG2283" t="str">
            <v>12527627</v>
          </cell>
          <cell r="AH2283">
            <v>45015.969594907408</v>
          </cell>
          <cell r="AI2283" t="str">
            <v>N38</v>
          </cell>
          <cell r="AJ2283" t="str">
            <v>F</v>
          </cell>
          <cell r="AK2283" t="str">
            <v/>
          </cell>
        </row>
        <row r="2284">
          <cell r="A2284" t="str">
            <v>12527627829052</v>
          </cell>
          <cell r="B2284" t="e">
            <v>#N/A</v>
          </cell>
          <cell r="C2284" t="e">
            <v>#N/A</v>
          </cell>
          <cell r="D2284" t="str">
            <v>EK65</v>
          </cell>
          <cell r="E2284" t="str">
            <v>723184</v>
          </cell>
          <cell r="F2284" t="str">
            <v>E</v>
          </cell>
          <cell r="G2284" t="str">
            <v>12527627</v>
          </cell>
          <cell r="H2284" t="str">
            <v>Halter vorkonfektioniert</v>
          </cell>
          <cell r="I2284">
            <v>121</v>
          </cell>
          <cell r="J2284" t="str">
            <v>Stk</v>
          </cell>
          <cell r="K2284">
            <v>45351</v>
          </cell>
          <cell r="L2284" t="str">
            <v>829052</v>
          </cell>
          <cell r="M2284" t="str">
            <v/>
          </cell>
          <cell r="N2284" t="str">
            <v/>
          </cell>
          <cell r="O2284" t="str">
            <v/>
          </cell>
          <cell r="P2284" t="str">
            <v/>
          </cell>
          <cell r="Q2284" t="str">
            <v/>
          </cell>
          <cell r="R2284" t="str">
            <v/>
          </cell>
          <cell r="S2284" t="str">
            <v/>
          </cell>
          <cell r="T2284" t="str">
            <v/>
          </cell>
          <cell r="U2284" t="str">
            <v/>
          </cell>
          <cell r="V2284" t="str">
            <v>N38</v>
          </cell>
          <cell r="W2284" t="str">
            <v/>
          </cell>
          <cell r="X2284" t="str">
            <v/>
          </cell>
          <cell r="Y2284" t="str">
            <v/>
          </cell>
          <cell r="Z2284" t="str">
            <v/>
          </cell>
          <cell r="AA2284" t="str">
            <v/>
          </cell>
          <cell r="AB2284" t="str">
            <v>PA_4434257-UA.7005-3</v>
          </cell>
          <cell r="AC2284">
            <v>1</v>
          </cell>
          <cell r="AD2284" t="str">
            <v/>
          </cell>
          <cell r="AE2284">
            <v>0</v>
          </cell>
          <cell r="AF2284" t="str">
            <v/>
          </cell>
          <cell r="AG2284" t="str">
            <v>12527627</v>
          </cell>
          <cell r="AH2284">
            <v>45015.969594907408</v>
          </cell>
          <cell r="AI2284" t="str">
            <v>N38</v>
          </cell>
          <cell r="AJ2284" t="str">
            <v>F</v>
          </cell>
          <cell r="AK2284" t="str">
            <v/>
          </cell>
        </row>
        <row r="2285">
          <cell r="A2285" t="str">
            <v>0653302</v>
          </cell>
          <cell r="B2285" t="e">
            <v>#N/A</v>
          </cell>
          <cell r="C2285" t="e">
            <v>#N/A</v>
          </cell>
          <cell r="D2285" t="str">
            <v>EK65</v>
          </cell>
          <cell r="E2285" t="str">
            <v>723231</v>
          </cell>
          <cell r="F2285" t="str">
            <v>B</v>
          </cell>
          <cell r="G2285" t="str">
            <v>0653302</v>
          </cell>
          <cell r="H2285" t="str">
            <v>Distanzbuchse</v>
          </cell>
          <cell r="I2285">
            <v>10</v>
          </cell>
          <cell r="J2285" t="str">
            <v>Stk</v>
          </cell>
          <cell r="K2285">
            <v>45018</v>
          </cell>
          <cell r="L2285" t="str">
            <v/>
          </cell>
          <cell r="M2285" t="str">
            <v/>
          </cell>
          <cell r="N2285" t="str">
            <v/>
          </cell>
          <cell r="O2285" t="str">
            <v/>
          </cell>
          <cell r="P2285" t="str">
            <v/>
          </cell>
          <cell r="Q2285" t="str">
            <v/>
          </cell>
          <cell r="R2285" t="str">
            <v/>
          </cell>
          <cell r="S2285" t="str">
            <v/>
          </cell>
          <cell r="T2285" t="str">
            <v/>
          </cell>
          <cell r="U2285" t="str">
            <v/>
          </cell>
          <cell r="V2285" t="str">
            <v>N52</v>
          </cell>
          <cell r="W2285" t="str">
            <v/>
          </cell>
          <cell r="X2285" t="str">
            <v/>
          </cell>
          <cell r="Y2285" t="str">
            <v/>
          </cell>
          <cell r="Z2285" t="str">
            <v/>
          </cell>
          <cell r="AA2285" t="str">
            <v/>
          </cell>
          <cell r="AB2285" t="str">
            <v>PA_2196485-UA.7500-3</v>
          </cell>
          <cell r="AC2285">
            <v>4</v>
          </cell>
          <cell r="AD2285" t="str">
            <v/>
          </cell>
          <cell r="AE2285">
            <v>0</v>
          </cell>
          <cell r="AF2285" t="str">
            <v/>
          </cell>
          <cell r="AG2285" t="str">
            <v>0653302</v>
          </cell>
          <cell r="AH2285">
            <v>45016.834374999999</v>
          </cell>
          <cell r="AI2285" t="str">
            <v>N52</v>
          </cell>
          <cell r="AJ2285" t="str">
            <v>F</v>
          </cell>
          <cell r="AK2285" t="str">
            <v/>
          </cell>
        </row>
        <row r="2286">
          <cell r="A2286" t="str">
            <v>0657495</v>
          </cell>
          <cell r="B2286" t="e">
            <v>#N/A</v>
          </cell>
          <cell r="C2286" t="e">
            <v>#N/A</v>
          </cell>
          <cell r="D2286" t="str">
            <v>EK65</v>
          </cell>
          <cell r="E2286" t="str">
            <v>723232</v>
          </cell>
          <cell r="F2286" t="str">
            <v>B</v>
          </cell>
          <cell r="G2286" t="str">
            <v>0657495</v>
          </cell>
          <cell r="H2286" t="str">
            <v>Distanzscheibe</v>
          </cell>
          <cell r="I2286">
            <v>22</v>
          </cell>
          <cell r="J2286" t="str">
            <v>Stk</v>
          </cell>
          <cell r="K2286">
            <v>45018</v>
          </cell>
          <cell r="L2286" t="str">
            <v/>
          </cell>
          <cell r="M2286" t="str">
            <v/>
          </cell>
          <cell r="N2286" t="str">
            <v/>
          </cell>
          <cell r="O2286" t="str">
            <v/>
          </cell>
          <cell r="P2286" t="str">
            <v/>
          </cell>
          <cell r="Q2286" t="str">
            <v/>
          </cell>
          <cell r="R2286" t="str">
            <v/>
          </cell>
          <cell r="S2286" t="str">
            <v/>
          </cell>
          <cell r="T2286" t="str">
            <v/>
          </cell>
          <cell r="U2286" t="str">
            <v/>
          </cell>
          <cell r="V2286" t="str">
            <v>N52</v>
          </cell>
          <cell r="W2286" t="str">
            <v/>
          </cell>
          <cell r="X2286" t="str">
            <v/>
          </cell>
          <cell r="Y2286" t="str">
            <v/>
          </cell>
          <cell r="Z2286" t="str">
            <v/>
          </cell>
          <cell r="AA2286" t="str">
            <v/>
          </cell>
          <cell r="AB2286" t="str">
            <v>PA_2193019-UA.7500-4</v>
          </cell>
          <cell r="AC2286">
            <v>4</v>
          </cell>
          <cell r="AD2286" t="str">
            <v/>
          </cell>
          <cell r="AE2286">
            <v>0</v>
          </cell>
          <cell r="AF2286" t="str">
            <v/>
          </cell>
          <cell r="AG2286" t="str">
            <v>0657495</v>
          </cell>
          <cell r="AH2286">
            <v>45016.834398148145</v>
          </cell>
          <cell r="AI2286" t="str">
            <v>N52</v>
          </cell>
          <cell r="AJ2286" t="str">
            <v>F</v>
          </cell>
          <cell r="AK2286" t="str">
            <v/>
          </cell>
        </row>
        <row r="2287">
          <cell r="A2287" t="str">
            <v>12665528820541</v>
          </cell>
          <cell r="B2287" t="e">
            <v>#N/A</v>
          </cell>
          <cell r="C2287" t="e">
            <v>#N/A</v>
          </cell>
          <cell r="D2287" t="str">
            <v>EK65</v>
          </cell>
          <cell r="E2287" t="str">
            <v>723280</v>
          </cell>
          <cell r="F2287" t="str">
            <v>E</v>
          </cell>
          <cell r="G2287" t="str">
            <v>12665528</v>
          </cell>
          <cell r="H2287" t="str">
            <v>Rahmen vollst.</v>
          </cell>
          <cell r="I2287">
            <v>176</v>
          </cell>
          <cell r="J2287" t="str">
            <v>Stk</v>
          </cell>
          <cell r="K2287">
            <v>45169</v>
          </cell>
          <cell r="L2287" t="str">
            <v>820541</v>
          </cell>
          <cell r="M2287" t="str">
            <v/>
          </cell>
          <cell r="N2287" t="str">
            <v/>
          </cell>
          <cell r="O2287" t="str">
            <v/>
          </cell>
          <cell r="P2287" t="str">
            <v/>
          </cell>
          <cell r="Q2287" t="str">
            <v/>
          </cell>
          <cell r="R2287" t="str">
            <v/>
          </cell>
          <cell r="S2287" t="str">
            <v/>
          </cell>
          <cell r="T2287" t="str">
            <v/>
          </cell>
          <cell r="U2287" t="str">
            <v/>
          </cell>
          <cell r="V2287" t="str">
            <v>N38</v>
          </cell>
          <cell r="W2287" t="str">
            <v/>
          </cell>
          <cell r="X2287" t="str">
            <v/>
          </cell>
          <cell r="Y2287" t="str">
            <v/>
          </cell>
          <cell r="Z2287" t="str">
            <v/>
          </cell>
          <cell r="AA2287" t="str">
            <v/>
          </cell>
          <cell r="AB2287" t="str">
            <v>PA_5187316-UA.3048-3</v>
          </cell>
          <cell r="AC2287">
            <v>1</v>
          </cell>
          <cell r="AD2287" t="str">
            <v/>
          </cell>
          <cell r="AE2287">
            <v>0</v>
          </cell>
          <cell r="AF2287" t="str">
            <v/>
          </cell>
          <cell r="AG2287" t="str">
            <v>12665528</v>
          </cell>
          <cell r="AH2287">
            <v>45016.902129629627</v>
          </cell>
          <cell r="AI2287" t="str">
            <v>N38</v>
          </cell>
          <cell r="AJ2287" t="str">
            <v>F</v>
          </cell>
          <cell r="AK2287" t="str">
            <v/>
          </cell>
        </row>
        <row r="2288">
          <cell r="A2288" t="str">
            <v>12665581820541</v>
          </cell>
          <cell r="B2288" t="e">
            <v>#N/A</v>
          </cell>
          <cell r="C2288" t="e">
            <v>#N/A</v>
          </cell>
          <cell r="D2288" t="str">
            <v>EK65</v>
          </cell>
          <cell r="E2288" t="str">
            <v>723281</v>
          </cell>
          <cell r="F2288" t="str">
            <v>E</v>
          </cell>
          <cell r="G2288" t="str">
            <v>12665581</v>
          </cell>
          <cell r="H2288" t="str">
            <v>Klemmbuchse ID10,5 AD40 H25</v>
          </cell>
          <cell r="I2288">
            <v>704</v>
          </cell>
          <cell r="J2288" t="str">
            <v>Stk</v>
          </cell>
          <cell r="K2288">
            <v>45169</v>
          </cell>
          <cell r="L2288" t="str">
            <v>820541</v>
          </cell>
          <cell r="M2288" t="str">
            <v/>
          </cell>
          <cell r="N2288" t="str">
            <v/>
          </cell>
          <cell r="O2288" t="str">
            <v/>
          </cell>
          <cell r="P2288" t="str">
            <v/>
          </cell>
          <cell r="Q2288" t="str">
            <v/>
          </cell>
          <cell r="R2288" t="str">
            <v/>
          </cell>
          <cell r="S2288" t="str">
            <v/>
          </cell>
          <cell r="T2288" t="str">
            <v/>
          </cell>
          <cell r="U2288" t="str">
            <v/>
          </cell>
          <cell r="V2288" t="str">
            <v>N52</v>
          </cell>
          <cell r="W2288" t="str">
            <v/>
          </cell>
          <cell r="X2288" t="str">
            <v/>
          </cell>
          <cell r="Y2288" t="str">
            <v/>
          </cell>
          <cell r="Z2288" t="str">
            <v/>
          </cell>
          <cell r="AA2288" t="str">
            <v/>
          </cell>
          <cell r="AB2288" t="str">
            <v>PA_5188320-UA.3048-4</v>
          </cell>
          <cell r="AC2288">
            <v>1</v>
          </cell>
          <cell r="AD2288" t="str">
            <v/>
          </cell>
          <cell r="AE2288">
            <v>0</v>
          </cell>
          <cell r="AF2288" t="str">
            <v/>
          </cell>
          <cell r="AG2288" t="str">
            <v>12665581</v>
          </cell>
          <cell r="AH2288">
            <v>45016.902141203704</v>
          </cell>
          <cell r="AI2288" t="str">
            <v>N52</v>
          </cell>
          <cell r="AJ2288" t="str">
            <v>F</v>
          </cell>
          <cell r="AK2288" t="str">
            <v/>
          </cell>
        </row>
        <row r="2289">
          <cell r="A2289" t="str">
            <v>12665966820541</v>
          </cell>
          <cell r="B2289" t="e">
            <v>#N/A</v>
          </cell>
          <cell r="C2289" t="e">
            <v>#N/A</v>
          </cell>
          <cell r="D2289" t="str">
            <v>EK65</v>
          </cell>
          <cell r="E2289" t="str">
            <v>723282</v>
          </cell>
          <cell r="F2289" t="str">
            <v>E</v>
          </cell>
          <cell r="G2289" t="str">
            <v>12665966</v>
          </cell>
          <cell r="H2289" t="str">
            <v>Haube</v>
          </cell>
          <cell r="I2289">
            <v>176</v>
          </cell>
          <cell r="J2289" t="str">
            <v>Stk</v>
          </cell>
          <cell r="K2289">
            <v>45169</v>
          </cell>
          <cell r="L2289" t="str">
            <v>820541</v>
          </cell>
          <cell r="M2289" t="str">
            <v/>
          </cell>
          <cell r="N2289" t="str">
            <v/>
          </cell>
          <cell r="O2289" t="str">
            <v/>
          </cell>
          <cell r="P2289" t="str">
            <v/>
          </cell>
          <cell r="Q2289" t="str">
            <v/>
          </cell>
          <cell r="R2289" t="str">
            <v/>
          </cell>
          <cell r="S2289" t="str">
            <v/>
          </cell>
          <cell r="T2289" t="str">
            <v/>
          </cell>
          <cell r="U2289" t="str">
            <v/>
          </cell>
          <cell r="V2289" t="str">
            <v>N52</v>
          </cell>
          <cell r="W2289" t="str">
            <v/>
          </cell>
          <cell r="X2289" t="str">
            <v/>
          </cell>
          <cell r="Y2289" t="str">
            <v/>
          </cell>
          <cell r="Z2289" t="str">
            <v/>
          </cell>
          <cell r="AA2289" t="str">
            <v/>
          </cell>
          <cell r="AB2289" t="str">
            <v>PA_5187900-UA.3048-2</v>
          </cell>
          <cell r="AC2289">
            <v>1</v>
          </cell>
          <cell r="AD2289" t="str">
            <v/>
          </cell>
          <cell r="AE2289">
            <v>0</v>
          </cell>
          <cell r="AF2289" t="str">
            <v/>
          </cell>
          <cell r="AG2289" t="str">
            <v>12665966</v>
          </cell>
          <cell r="AH2289">
            <v>45016.902141203704</v>
          </cell>
          <cell r="AI2289" t="str">
            <v>N52</v>
          </cell>
          <cell r="AJ2289" t="str">
            <v>F</v>
          </cell>
          <cell r="AK2289" t="str">
            <v/>
          </cell>
        </row>
        <row r="2290">
          <cell r="A2290" t="str">
            <v>12666033820541</v>
          </cell>
          <cell r="B2290" t="e">
            <v>#N/A</v>
          </cell>
          <cell r="C2290" t="e">
            <v>#N/A</v>
          </cell>
          <cell r="D2290" t="str">
            <v>EK65</v>
          </cell>
          <cell r="E2290" t="str">
            <v>723283</v>
          </cell>
          <cell r="F2290" t="str">
            <v>E</v>
          </cell>
          <cell r="G2290" t="str">
            <v>12666033</v>
          </cell>
          <cell r="H2290" t="str">
            <v>Kabelhalter vollst.</v>
          </cell>
          <cell r="I2290">
            <v>176</v>
          </cell>
          <cell r="J2290" t="str">
            <v>Stk</v>
          </cell>
          <cell r="K2290">
            <v>45169</v>
          </cell>
          <cell r="L2290" t="str">
            <v>820541</v>
          </cell>
          <cell r="M2290" t="str">
            <v/>
          </cell>
          <cell r="N2290" t="str">
            <v/>
          </cell>
          <cell r="O2290" t="str">
            <v/>
          </cell>
          <cell r="P2290" t="str">
            <v/>
          </cell>
          <cell r="Q2290" t="str">
            <v/>
          </cell>
          <cell r="R2290" t="str">
            <v/>
          </cell>
          <cell r="S2290" t="str">
            <v/>
          </cell>
          <cell r="T2290" t="str">
            <v/>
          </cell>
          <cell r="U2290" t="str">
            <v/>
          </cell>
          <cell r="V2290" t="str">
            <v>N38</v>
          </cell>
          <cell r="W2290" t="str">
            <v/>
          </cell>
          <cell r="X2290" t="str">
            <v/>
          </cell>
          <cell r="Y2290" t="str">
            <v/>
          </cell>
          <cell r="Z2290" t="str">
            <v/>
          </cell>
          <cell r="AA2290" t="str">
            <v/>
          </cell>
          <cell r="AB2290" t="str">
            <v>PA_5246832-UA.3048-1</v>
          </cell>
          <cell r="AC2290">
            <v>1</v>
          </cell>
          <cell r="AD2290" t="str">
            <v/>
          </cell>
          <cell r="AE2290">
            <v>0</v>
          </cell>
          <cell r="AF2290" t="str">
            <v/>
          </cell>
          <cell r="AG2290" t="str">
            <v>12666033</v>
          </cell>
          <cell r="AH2290">
            <v>45016.90215277778</v>
          </cell>
          <cell r="AI2290" t="str">
            <v>N38</v>
          </cell>
          <cell r="AJ2290" t="str">
            <v>F</v>
          </cell>
          <cell r="AK2290" t="str">
            <v/>
          </cell>
        </row>
        <row r="2291">
          <cell r="A2291" t="str">
            <v>12666131820541</v>
          </cell>
          <cell r="B2291" t="e">
            <v>#N/A</v>
          </cell>
          <cell r="C2291" t="e">
            <v>#N/A</v>
          </cell>
          <cell r="D2291" t="str">
            <v>EK65</v>
          </cell>
          <cell r="E2291" t="str">
            <v>723284</v>
          </cell>
          <cell r="F2291" t="str">
            <v>E</v>
          </cell>
          <cell r="G2291" t="str">
            <v>12666131</v>
          </cell>
          <cell r="H2291" t="str">
            <v>Befestigungsplatte vollst.</v>
          </cell>
          <cell r="I2291">
            <v>176</v>
          </cell>
          <cell r="J2291" t="str">
            <v>Stk</v>
          </cell>
          <cell r="K2291">
            <v>45169</v>
          </cell>
          <cell r="L2291" t="str">
            <v>820541</v>
          </cell>
          <cell r="M2291" t="str">
            <v/>
          </cell>
          <cell r="N2291" t="str">
            <v/>
          </cell>
          <cell r="O2291" t="str">
            <v/>
          </cell>
          <cell r="P2291" t="str">
            <v/>
          </cell>
          <cell r="Q2291" t="str">
            <v/>
          </cell>
          <cell r="R2291" t="str">
            <v/>
          </cell>
          <cell r="S2291" t="str">
            <v/>
          </cell>
          <cell r="T2291" t="str">
            <v/>
          </cell>
          <cell r="U2291" t="str">
            <v/>
          </cell>
          <cell r="V2291" t="str">
            <v>N38</v>
          </cell>
          <cell r="W2291" t="str">
            <v/>
          </cell>
          <cell r="X2291" t="str">
            <v/>
          </cell>
          <cell r="Y2291" t="str">
            <v>CL2</v>
          </cell>
          <cell r="Z2291" t="str">
            <v/>
          </cell>
          <cell r="AA2291" t="str">
            <v/>
          </cell>
          <cell r="AB2291" t="str">
            <v>PA_5185970-UA.3048-2</v>
          </cell>
          <cell r="AC2291">
            <v>1</v>
          </cell>
          <cell r="AD2291" t="str">
            <v/>
          </cell>
          <cell r="AE2291">
            <v>0</v>
          </cell>
          <cell r="AF2291" t="str">
            <v/>
          </cell>
          <cell r="AG2291" t="str">
            <v>12666131</v>
          </cell>
          <cell r="AH2291">
            <v>45016.90216435185</v>
          </cell>
          <cell r="AI2291" t="str">
            <v>N38</v>
          </cell>
          <cell r="AJ2291" t="str">
            <v>F</v>
          </cell>
          <cell r="AK2291" t="str">
            <v/>
          </cell>
        </row>
        <row r="2292">
          <cell r="A2292" t="str">
            <v>70002005828521</v>
          </cell>
          <cell r="B2292">
            <v>0</v>
          </cell>
          <cell r="C2292" t="e">
            <v>#N/A</v>
          </cell>
          <cell r="D2292" t="str">
            <v>EK65</v>
          </cell>
          <cell r="E2292" t="str">
            <v>706900</v>
          </cell>
          <cell r="F2292" t="str">
            <v>E</v>
          </cell>
          <cell r="G2292" t="str">
            <v>70002005</v>
          </cell>
          <cell r="H2292" t="str">
            <v>SHIM</v>
          </cell>
          <cell r="I2292">
            <v>180</v>
          </cell>
          <cell r="J2292" t="str">
            <v>Stk</v>
          </cell>
          <cell r="K2292">
            <v>45112</v>
          </cell>
          <cell r="L2292" t="str">
            <v>828521</v>
          </cell>
          <cell r="M2292" t="str">
            <v/>
          </cell>
          <cell r="N2292" t="str">
            <v/>
          </cell>
          <cell r="O2292" t="str">
            <v/>
          </cell>
          <cell r="P2292" t="str">
            <v/>
          </cell>
          <cell r="Q2292" t="str">
            <v/>
          </cell>
          <cell r="R2292" t="str">
            <v/>
          </cell>
          <cell r="S2292" t="str">
            <v/>
          </cell>
          <cell r="T2292" t="str">
            <v/>
          </cell>
          <cell r="U2292" t="str">
            <v>BB20046211003</v>
          </cell>
          <cell r="V2292" t="str">
            <v>B00</v>
          </cell>
          <cell r="W2292" t="str">
            <v/>
          </cell>
          <cell r="X2292" t="str">
            <v/>
          </cell>
          <cell r="Y2292" t="str">
            <v/>
          </cell>
          <cell r="Z2292" t="str">
            <v/>
          </cell>
          <cell r="AA2292" t="str">
            <v/>
          </cell>
          <cell r="AB2292" t="str">
            <v>70002005</v>
          </cell>
          <cell r="AC2292">
            <v>1</v>
          </cell>
          <cell r="AD2292" t="str">
            <v/>
          </cell>
          <cell r="AE2292">
            <v>0</v>
          </cell>
          <cell r="AF2292" t="str">
            <v/>
          </cell>
          <cell r="AG2292" t="str">
            <v>70002005</v>
          </cell>
          <cell r="AH2292">
            <v>44961.013194444444</v>
          </cell>
          <cell r="AI2292" t="str">
            <v>B00</v>
          </cell>
          <cell r="AJ2292" t="str">
            <v>F</v>
          </cell>
          <cell r="AK2292" t="str">
            <v>--</v>
          </cell>
        </row>
        <row r="2293">
          <cell r="A2293" t="str">
            <v>70001934828521</v>
          </cell>
          <cell r="B2293">
            <v>0</v>
          </cell>
          <cell r="C2293" t="e">
            <v>#N/A</v>
          </cell>
          <cell r="D2293" t="str">
            <v>EK65</v>
          </cell>
          <cell r="E2293" t="str">
            <v>707751</v>
          </cell>
          <cell r="F2293" t="str">
            <v>E</v>
          </cell>
          <cell r="G2293" t="str">
            <v>70001934</v>
          </cell>
          <cell r="H2293" t="str">
            <v>PLATE</v>
          </cell>
          <cell r="I2293">
            <v>90</v>
          </cell>
          <cell r="J2293" t="str">
            <v>Stk</v>
          </cell>
          <cell r="K2293">
            <v>45112</v>
          </cell>
          <cell r="L2293" t="str">
            <v>828521</v>
          </cell>
          <cell r="M2293" t="str">
            <v/>
          </cell>
          <cell r="N2293" t="str">
            <v/>
          </cell>
          <cell r="O2293" t="str">
            <v/>
          </cell>
          <cell r="P2293" t="str">
            <v/>
          </cell>
          <cell r="Q2293" t="str">
            <v/>
          </cell>
          <cell r="R2293" t="str">
            <v/>
          </cell>
          <cell r="S2293" t="str">
            <v/>
          </cell>
          <cell r="T2293" t="str">
            <v/>
          </cell>
          <cell r="U2293" t="str">
            <v>BB20037010005</v>
          </cell>
          <cell r="V2293" t="str">
            <v>B00</v>
          </cell>
          <cell r="W2293" t="str">
            <v/>
          </cell>
          <cell r="X2293" t="str">
            <v/>
          </cell>
          <cell r="Y2293" t="str">
            <v/>
          </cell>
          <cell r="Z2293" t="str">
            <v/>
          </cell>
          <cell r="AA2293" t="str">
            <v/>
          </cell>
          <cell r="AB2293" t="str">
            <v>70001934</v>
          </cell>
          <cell r="AC2293">
            <v>1</v>
          </cell>
          <cell r="AD2293" t="str">
            <v/>
          </cell>
          <cell r="AE2293">
            <v>0</v>
          </cell>
          <cell r="AF2293" t="str">
            <v/>
          </cell>
          <cell r="AG2293" t="str">
            <v>70001934</v>
          </cell>
          <cell r="AH2293">
            <v>44961.059027777781</v>
          </cell>
          <cell r="AI2293" t="str">
            <v>B00</v>
          </cell>
          <cell r="AJ2293" t="str">
            <v>F</v>
          </cell>
          <cell r="AK2293" t="str">
            <v>--</v>
          </cell>
        </row>
        <row r="2294">
          <cell r="A2294" t="str">
            <v>70001935828521</v>
          </cell>
          <cell r="B2294">
            <v>0</v>
          </cell>
          <cell r="C2294" t="e">
            <v>#N/A</v>
          </cell>
          <cell r="D2294" t="str">
            <v>EK65</v>
          </cell>
          <cell r="E2294" t="str">
            <v>707752</v>
          </cell>
          <cell r="F2294" t="str">
            <v>E</v>
          </cell>
          <cell r="G2294" t="str">
            <v>70001935</v>
          </cell>
          <cell r="H2294" t="str">
            <v>PLATE</v>
          </cell>
          <cell r="I2294">
            <v>90</v>
          </cell>
          <cell r="J2294" t="str">
            <v>Stk</v>
          </cell>
          <cell r="K2294">
            <v>45112</v>
          </cell>
          <cell r="L2294" t="str">
            <v>828521</v>
          </cell>
          <cell r="M2294" t="str">
            <v/>
          </cell>
          <cell r="N2294" t="str">
            <v/>
          </cell>
          <cell r="O2294" t="str">
            <v/>
          </cell>
          <cell r="P2294" t="str">
            <v/>
          </cell>
          <cell r="Q2294" t="str">
            <v/>
          </cell>
          <cell r="R2294" t="str">
            <v/>
          </cell>
          <cell r="S2294" t="str">
            <v/>
          </cell>
          <cell r="T2294" t="str">
            <v/>
          </cell>
          <cell r="U2294" t="str">
            <v>BB20037010006</v>
          </cell>
          <cell r="V2294" t="str">
            <v>B00</v>
          </cell>
          <cell r="W2294" t="str">
            <v/>
          </cell>
          <cell r="X2294" t="str">
            <v/>
          </cell>
          <cell r="Y2294" t="str">
            <v/>
          </cell>
          <cell r="Z2294" t="str">
            <v/>
          </cell>
          <cell r="AA2294" t="str">
            <v/>
          </cell>
          <cell r="AB2294" t="str">
            <v>70001935</v>
          </cell>
          <cell r="AC2294">
            <v>1</v>
          </cell>
          <cell r="AD2294" t="str">
            <v/>
          </cell>
          <cell r="AE2294">
            <v>0</v>
          </cell>
          <cell r="AF2294" t="str">
            <v/>
          </cell>
          <cell r="AG2294" t="str">
            <v>70001935</v>
          </cell>
          <cell r="AH2294">
            <v>44961.059039351851</v>
          </cell>
          <cell r="AI2294" t="str">
            <v>B00</v>
          </cell>
          <cell r="AJ2294" t="str">
            <v>F</v>
          </cell>
          <cell r="AK2294" t="str">
            <v>--</v>
          </cell>
        </row>
        <row r="2295">
          <cell r="A2295" t="str">
            <v>70001936828521</v>
          </cell>
          <cell r="B2295">
            <v>0</v>
          </cell>
          <cell r="C2295" t="e">
            <v>#N/A</v>
          </cell>
          <cell r="D2295" t="str">
            <v>EK65</v>
          </cell>
          <cell r="E2295" t="str">
            <v>707753</v>
          </cell>
          <cell r="F2295" t="str">
            <v>E</v>
          </cell>
          <cell r="G2295" t="str">
            <v>70001936</v>
          </cell>
          <cell r="H2295" t="str">
            <v>PLATE</v>
          </cell>
          <cell r="I2295">
            <v>90</v>
          </cell>
          <cell r="J2295" t="str">
            <v>Stk</v>
          </cell>
          <cell r="K2295">
            <v>45112</v>
          </cell>
          <cell r="L2295" t="str">
            <v>828521</v>
          </cell>
          <cell r="M2295" t="str">
            <v/>
          </cell>
          <cell r="N2295" t="str">
            <v/>
          </cell>
          <cell r="O2295" t="str">
            <v/>
          </cell>
          <cell r="P2295" t="str">
            <v/>
          </cell>
          <cell r="Q2295" t="str">
            <v/>
          </cell>
          <cell r="R2295" t="str">
            <v/>
          </cell>
          <cell r="S2295" t="str">
            <v/>
          </cell>
          <cell r="T2295" t="str">
            <v/>
          </cell>
          <cell r="U2295" t="str">
            <v>BB20037010007</v>
          </cell>
          <cell r="V2295" t="str">
            <v>B00</v>
          </cell>
          <cell r="W2295" t="str">
            <v/>
          </cell>
          <cell r="X2295" t="str">
            <v/>
          </cell>
          <cell r="Y2295" t="str">
            <v/>
          </cell>
          <cell r="Z2295" t="str">
            <v/>
          </cell>
          <cell r="AA2295" t="str">
            <v/>
          </cell>
          <cell r="AB2295" t="str">
            <v>70001936</v>
          </cell>
          <cell r="AC2295">
            <v>1</v>
          </cell>
          <cell r="AD2295" t="str">
            <v/>
          </cell>
          <cell r="AE2295">
            <v>0</v>
          </cell>
          <cell r="AF2295" t="str">
            <v/>
          </cell>
          <cell r="AG2295" t="str">
            <v>70001936</v>
          </cell>
          <cell r="AH2295">
            <v>44961.059050925927</v>
          </cell>
          <cell r="AI2295" t="str">
            <v>B00</v>
          </cell>
          <cell r="AJ2295" t="str">
            <v>F</v>
          </cell>
          <cell r="AK2295" t="str">
            <v>--</v>
          </cell>
        </row>
        <row r="2296">
          <cell r="A2296" t="str">
            <v>70001937828521</v>
          </cell>
          <cell r="B2296">
            <v>0</v>
          </cell>
          <cell r="C2296" t="e">
            <v>#N/A</v>
          </cell>
          <cell r="D2296" t="str">
            <v>EK65</v>
          </cell>
          <cell r="E2296" t="str">
            <v>707754</v>
          </cell>
          <cell r="F2296" t="str">
            <v>E</v>
          </cell>
          <cell r="G2296" t="str">
            <v>70001937</v>
          </cell>
          <cell r="H2296" t="str">
            <v>LEVER</v>
          </cell>
          <cell r="I2296">
            <v>180</v>
          </cell>
          <cell r="J2296" t="str">
            <v>Stk</v>
          </cell>
          <cell r="K2296">
            <v>45112</v>
          </cell>
          <cell r="L2296" t="str">
            <v>828521</v>
          </cell>
          <cell r="M2296" t="str">
            <v/>
          </cell>
          <cell r="N2296" t="str">
            <v/>
          </cell>
          <cell r="O2296" t="str">
            <v/>
          </cell>
          <cell r="P2296" t="str">
            <v/>
          </cell>
          <cell r="Q2296" t="str">
            <v/>
          </cell>
          <cell r="R2296" t="str">
            <v/>
          </cell>
          <cell r="S2296" t="str">
            <v/>
          </cell>
          <cell r="T2296" t="str">
            <v/>
          </cell>
          <cell r="U2296" t="str">
            <v>BB20037010008</v>
          </cell>
          <cell r="V2296" t="str">
            <v>B00</v>
          </cell>
          <cell r="W2296" t="str">
            <v/>
          </cell>
          <cell r="X2296" t="str">
            <v/>
          </cell>
          <cell r="Y2296" t="str">
            <v/>
          </cell>
          <cell r="Z2296" t="str">
            <v/>
          </cell>
          <cell r="AA2296" t="str">
            <v/>
          </cell>
          <cell r="AB2296" t="str">
            <v>70001937</v>
          </cell>
          <cell r="AC2296">
            <v>1</v>
          </cell>
          <cell r="AD2296" t="str">
            <v/>
          </cell>
          <cell r="AE2296">
            <v>0</v>
          </cell>
          <cell r="AF2296" t="str">
            <v/>
          </cell>
          <cell r="AG2296" t="str">
            <v>70001937</v>
          </cell>
          <cell r="AH2296">
            <v>44961.059062499997</v>
          </cell>
          <cell r="AI2296" t="str">
            <v>B00</v>
          </cell>
          <cell r="AJ2296" t="str">
            <v>F</v>
          </cell>
          <cell r="AK2296" t="str">
            <v>--</v>
          </cell>
        </row>
        <row r="2297">
          <cell r="A2297" t="str">
            <v>70001938828521</v>
          </cell>
          <cell r="B2297">
            <v>0</v>
          </cell>
          <cell r="C2297" t="e">
            <v>#N/A</v>
          </cell>
          <cell r="D2297" t="str">
            <v>EK65</v>
          </cell>
          <cell r="E2297" t="str">
            <v>707755</v>
          </cell>
          <cell r="F2297" t="str">
            <v>E</v>
          </cell>
          <cell r="G2297" t="str">
            <v>70001938</v>
          </cell>
          <cell r="H2297" t="str">
            <v>PLATE</v>
          </cell>
          <cell r="I2297">
            <v>180</v>
          </cell>
          <cell r="J2297" t="str">
            <v>Stk</v>
          </cell>
          <cell r="K2297">
            <v>45112</v>
          </cell>
          <cell r="L2297" t="str">
            <v>828521</v>
          </cell>
          <cell r="M2297" t="str">
            <v/>
          </cell>
          <cell r="N2297" t="str">
            <v/>
          </cell>
          <cell r="O2297" t="str">
            <v/>
          </cell>
          <cell r="P2297" t="str">
            <v/>
          </cell>
          <cell r="Q2297" t="str">
            <v/>
          </cell>
          <cell r="R2297" t="str">
            <v/>
          </cell>
          <cell r="S2297" t="str">
            <v/>
          </cell>
          <cell r="T2297" t="str">
            <v/>
          </cell>
          <cell r="U2297" t="str">
            <v>BB20037010009</v>
          </cell>
          <cell r="V2297" t="str">
            <v>B00</v>
          </cell>
          <cell r="W2297" t="str">
            <v/>
          </cell>
          <cell r="X2297" t="str">
            <v/>
          </cell>
          <cell r="Y2297" t="str">
            <v/>
          </cell>
          <cell r="Z2297" t="str">
            <v/>
          </cell>
          <cell r="AA2297" t="str">
            <v/>
          </cell>
          <cell r="AB2297" t="str">
            <v>70001938</v>
          </cell>
          <cell r="AC2297">
            <v>1</v>
          </cell>
          <cell r="AD2297" t="str">
            <v/>
          </cell>
          <cell r="AE2297">
            <v>0</v>
          </cell>
          <cell r="AF2297" t="str">
            <v/>
          </cell>
          <cell r="AG2297" t="str">
            <v>70001938</v>
          </cell>
          <cell r="AH2297">
            <v>44961.059074074074</v>
          </cell>
          <cell r="AI2297" t="str">
            <v>B00</v>
          </cell>
          <cell r="AJ2297" t="str">
            <v>F</v>
          </cell>
          <cell r="AK2297" t="str">
            <v>--</v>
          </cell>
        </row>
        <row r="2298">
          <cell r="A2298" t="str">
            <v>70002750828521</v>
          </cell>
          <cell r="B2298" t="e">
            <v>#N/A</v>
          </cell>
          <cell r="C2298" t="e">
            <v>#N/A</v>
          </cell>
          <cell r="D2298" t="str">
            <v>EK65</v>
          </cell>
          <cell r="E2298" t="str">
            <v>723569</v>
          </cell>
          <cell r="F2298" t="str">
            <v>E</v>
          </cell>
          <cell r="G2298" t="str">
            <v>70002750</v>
          </cell>
          <cell r="H2298" t="str">
            <v>SPACER</v>
          </cell>
          <cell r="I2298">
            <v>180</v>
          </cell>
          <cell r="J2298" t="str">
            <v>Stk</v>
          </cell>
          <cell r="K2298">
            <v>45112</v>
          </cell>
          <cell r="L2298" t="str">
            <v>828521</v>
          </cell>
          <cell r="M2298" t="str">
            <v/>
          </cell>
          <cell r="N2298" t="str">
            <v/>
          </cell>
          <cell r="O2298" t="str">
            <v/>
          </cell>
          <cell r="P2298" t="str">
            <v/>
          </cell>
          <cell r="Q2298" t="str">
            <v>X2CrNi18-9</v>
          </cell>
          <cell r="R2298" t="str">
            <v>EN 10088</v>
          </cell>
          <cell r="S2298" t="str">
            <v/>
          </cell>
          <cell r="T2298" t="str">
            <v/>
          </cell>
          <cell r="U2298" t="str">
            <v>BB20037010017</v>
          </cell>
          <cell r="V2298" t="str">
            <v>N52</v>
          </cell>
          <cell r="W2298" t="str">
            <v/>
          </cell>
          <cell r="X2298" t="str">
            <v/>
          </cell>
          <cell r="Y2298" t="str">
            <v/>
          </cell>
          <cell r="Z2298" t="str">
            <v/>
          </cell>
          <cell r="AA2298" t="str">
            <v/>
          </cell>
          <cell r="AB2298" t="str">
            <v>70002750</v>
          </cell>
          <cell r="AC2298">
            <v>1</v>
          </cell>
          <cell r="AD2298" t="str">
            <v/>
          </cell>
          <cell r="AE2298">
            <v>0</v>
          </cell>
          <cell r="AF2298" t="str">
            <v/>
          </cell>
          <cell r="AG2298" t="str">
            <v>70002750</v>
          </cell>
          <cell r="AH2298">
            <v>45016.930451388886</v>
          </cell>
          <cell r="AI2298" t="str">
            <v>N52</v>
          </cell>
          <cell r="AJ2298" t="str">
            <v>F</v>
          </cell>
          <cell r="AK2298" t="str">
            <v>1</v>
          </cell>
        </row>
        <row r="2299">
          <cell r="A2299" t="str">
            <v>70001916828521</v>
          </cell>
          <cell r="B2299">
            <v>0</v>
          </cell>
          <cell r="C2299" t="e">
            <v>#N/A</v>
          </cell>
          <cell r="D2299" t="str">
            <v>EK65</v>
          </cell>
          <cell r="E2299" t="str">
            <v>686909</v>
          </cell>
          <cell r="F2299" t="str">
            <v>E</v>
          </cell>
          <cell r="G2299" t="str">
            <v>70001916</v>
          </cell>
          <cell r="H2299" t="str">
            <v>SPACER</v>
          </cell>
          <cell r="I2299">
            <v>3240</v>
          </cell>
          <cell r="J2299" t="str">
            <v>Stk</v>
          </cell>
          <cell r="K2299">
            <v>45113</v>
          </cell>
          <cell r="L2299" t="str">
            <v>828521</v>
          </cell>
          <cell r="M2299" t="str">
            <v/>
          </cell>
          <cell r="N2299" t="str">
            <v/>
          </cell>
          <cell r="O2299" t="str">
            <v/>
          </cell>
          <cell r="P2299" t="str">
            <v/>
          </cell>
          <cell r="Q2299" t="str">
            <v/>
          </cell>
          <cell r="R2299" t="str">
            <v/>
          </cell>
          <cell r="S2299" t="str">
            <v/>
          </cell>
          <cell r="T2299" t="str">
            <v/>
          </cell>
          <cell r="U2299" t="str">
            <v>BB20036810001</v>
          </cell>
          <cell r="V2299" t="str">
            <v>N52</v>
          </cell>
          <cell r="W2299" t="str">
            <v/>
          </cell>
          <cell r="X2299" t="str">
            <v/>
          </cell>
          <cell r="Y2299" t="str">
            <v/>
          </cell>
          <cell r="Z2299" t="str">
            <v/>
          </cell>
          <cell r="AA2299" t="str">
            <v/>
          </cell>
          <cell r="AB2299" t="str">
            <v>70001916</v>
          </cell>
          <cell r="AC2299">
            <v>1</v>
          </cell>
          <cell r="AD2299" t="str">
            <v/>
          </cell>
          <cell r="AE2299">
            <v>0</v>
          </cell>
          <cell r="AF2299" t="str">
            <v/>
          </cell>
          <cell r="AG2299" t="str">
            <v>70001916</v>
          </cell>
          <cell r="AH2299">
            <v>44916.131354166668</v>
          </cell>
          <cell r="AI2299" t="str">
            <v>N52</v>
          </cell>
          <cell r="AJ2299" t="str">
            <v>F</v>
          </cell>
          <cell r="AK2299" t="str">
            <v>--</v>
          </cell>
        </row>
        <row r="2300">
          <cell r="A2300" t="str">
            <v>70001963828521</v>
          </cell>
          <cell r="B2300">
            <v>0</v>
          </cell>
          <cell r="C2300" t="e">
            <v>#N/A</v>
          </cell>
          <cell r="D2300" t="str">
            <v>EK65</v>
          </cell>
          <cell r="E2300" t="str">
            <v>686921</v>
          </cell>
          <cell r="F2300" t="str">
            <v>E</v>
          </cell>
          <cell r="G2300" t="str">
            <v>70001963</v>
          </cell>
          <cell r="H2300" t="str">
            <v>HANDLE</v>
          </cell>
          <cell r="I2300">
            <v>90</v>
          </cell>
          <cell r="J2300" t="str">
            <v>Stk</v>
          </cell>
          <cell r="K2300">
            <v>45117</v>
          </cell>
          <cell r="L2300" t="str">
            <v>828521</v>
          </cell>
          <cell r="M2300" t="str">
            <v/>
          </cell>
          <cell r="N2300" t="str">
            <v/>
          </cell>
          <cell r="O2300" t="str">
            <v/>
          </cell>
          <cell r="P2300" t="str">
            <v/>
          </cell>
          <cell r="Q2300" t="str">
            <v/>
          </cell>
          <cell r="R2300" t="str">
            <v/>
          </cell>
          <cell r="S2300" t="str">
            <v/>
          </cell>
          <cell r="T2300" t="str">
            <v/>
          </cell>
          <cell r="U2300" t="str">
            <v>BB20037210101</v>
          </cell>
          <cell r="V2300" t="str">
            <v>A00</v>
          </cell>
          <cell r="W2300" t="str">
            <v/>
          </cell>
          <cell r="X2300" t="str">
            <v/>
          </cell>
          <cell r="Y2300" t="str">
            <v/>
          </cell>
          <cell r="Z2300" t="str">
            <v/>
          </cell>
          <cell r="AA2300" t="str">
            <v/>
          </cell>
          <cell r="AB2300" t="str">
            <v>70001963</v>
          </cell>
          <cell r="AC2300">
            <v>1</v>
          </cell>
          <cell r="AD2300" t="str">
            <v/>
          </cell>
          <cell r="AE2300">
            <v>0</v>
          </cell>
          <cell r="AF2300" t="str">
            <v/>
          </cell>
          <cell r="AG2300" t="str">
            <v>70001963</v>
          </cell>
          <cell r="AH2300">
            <v>44916.131898148145</v>
          </cell>
          <cell r="AI2300" t="str">
            <v>A00</v>
          </cell>
          <cell r="AJ2300" t="str">
            <v>F</v>
          </cell>
          <cell r="AK2300" t="str">
            <v>--</v>
          </cell>
        </row>
        <row r="2301">
          <cell r="A2301" t="str">
            <v>70001964828521</v>
          </cell>
          <cell r="B2301">
            <v>0</v>
          </cell>
          <cell r="C2301" t="e">
            <v>#N/A</v>
          </cell>
          <cell r="D2301" t="str">
            <v>EK65</v>
          </cell>
          <cell r="E2301" t="str">
            <v>686922</v>
          </cell>
          <cell r="F2301" t="str">
            <v>E</v>
          </cell>
          <cell r="G2301" t="str">
            <v>70001964</v>
          </cell>
          <cell r="H2301" t="str">
            <v>HANDLE</v>
          </cell>
          <cell r="I2301">
            <v>270</v>
          </cell>
          <cell r="J2301" t="str">
            <v>Stk</v>
          </cell>
          <cell r="K2301">
            <v>45117</v>
          </cell>
          <cell r="L2301" t="str">
            <v>828521</v>
          </cell>
          <cell r="M2301" t="str">
            <v/>
          </cell>
          <cell r="N2301" t="str">
            <v/>
          </cell>
          <cell r="O2301" t="str">
            <v/>
          </cell>
          <cell r="P2301" t="str">
            <v/>
          </cell>
          <cell r="Q2301" t="str">
            <v/>
          </cell>
          <cell r="R2301" t="str">
            <v/>
          </cell>
          <cell r="S2301" t="str">
            <v/>
          </cell>
          <cell r="T2301" t="str">
            <v/>
          </cell>
          <cell r="U2301" t="str">
            <v>BB20037210401</v>
          </cell>
          <cell r="V2301" t="str">
            <v>A00</v>
          </cell>
          <cell r="W2301" t="str">
            <v/>
          </cell>
          <cell r="X2301" t="str">
            <v/>
          </cell>
          <cell r="Y2301" t="str">
            <v/>
          </cell>
          <cell r="Z2301" t="str">
            <v/>
          </cell>
          <cell r="AA2301" t="str">
            <v/>
          </cell>
          <cell r="AB2301" t="str">
            <v>70001964</v>
          </cell>
          <cell r="AC2301">
            <v>1</v>
          </cell>
          <cell r="AD2301" t="str">
            <v/>
          </cell>
          <cell r="AE2301">
            <v>0</v>
          </cell>
          <cell r="AF2301" t="str">
            <v/>
          </cell>
          <cell r="AG2301" t="str">
            <v>70001964</v>
          </cell>
          <cell r="AH2301">
            <v>44916.131932870368</v>
          </cell>
          <cell r="AI2301" t="str">
            <v>A00</v>
          </cell>
          <cell r="AJ2301" t="str">
            <v>F</v>
          </cell>
          <cell r="AK2301" t="str">
            <v>--</v>
          </cell>
        </row>
        <row r="2302">
          <cell r="A2302" t="str">
            <v>70001965828521</v>
          </cell>
          <cell r="B2302">
            <v>0</v>
          </cell>
          <cell r="C2302" t="e">
            <v>#N/A</v>
          </cell>
          <cell r="D2302" t="str">
            <v>EK65</v>
          </cell>
          <cell r="E2302" t="str">
            <v>686923</v>
          </cell>
          <cell r="F2302" t="str">
            <v>E</v>
          </cell>
          <cell r="G2302" t="str">
            <v>70001965</v>
          </cell>
          <cell r="H2302" t="str">
            <v>HANDLE</v>
          </cell>
          <cell r="I2302">
            <v>180</v>
          </cell>
          <cell r="J2302" t="str">
            <v>Stk</v>
          </cell>
          <cell r="K2302">
            <v>45117</v>
          </cell>
          <cell r="L2302" t="str">
            <v>828521</v>
          </cell>
          <cell r="M2302" t="str">
            <v/>
          </cell>
          <cell r="N2302" t="str">
            <v/>
          </cell>
          <cell r="O2302" t="str">
            <v/>
          </cell>
          <cell r="P2302" t="str">
            <v/>
          </cell>
          <cell r="Q2302" t="str">
            <v/>
          </cell>
          <cell r="R2302" t="str">
            <v/>
          </cell>
          <cell r="S2302" t="str">
            <v/>
          </cell>
          <cell r="T2302" t="str">
            <v/>
          </cell>
          <cell r="U2302" t="str">
            <v>BB20037210501</v>
          </cell>
          <cell r="V2302" t="str">
            <v>A00</v>
          </cell>
          <cell r="W2302" t="str">
            <v/>
          </cell>
          <cell r="X2302" t="str">
            <v/>
          </cell>
          <cell r="Y2302" t="str">
            <v/>
          </cell>
          <cell r="Z2302" t="str">
            <v/>
          </cell>
          <cell r="AA2302" t="str">
            <v/>
          </cell>
          <cell r="AB2302" t="str">
            <v>70001965</v>
          </cell>
          <cell r="AC2302">
            <v>1</v>
          </cell>
          <cell r="AD2302" t="str">
            <v/>
          </cell>
          <cell r="AE2302">
            <v>0</v>
          </cell>
          <cell r="AF2302" t="str">
            <v/>
          </cell>
          <cell r="AG2302" t="str">
            <v>70001965</v>
          </cell>
          <cell r="AH2302">
            <v>44916.131944444445</v>
          </cell>
          <cell r="AI2302" t="str">
            <v>A00</v>
          </cell>
          <cell r="AJ2302" t="str">
            <v>F</v>
          </cell>
          <cell r="AK2302" t="str">
            <v>--</v>
          </cell>
        </row>
        <row r="2303">
          <cell r="A2303" t="str">
            <v>70001966828521</v>
          </cell>
          <cell r="B2303">
            <v>0</v>
          </cell>
          <cell r="C2303" t="e">
            <v>#N/A</v>
          </cell>
          <cell r="D2303" t="str">
            <v>EK65</v>
          </cell>
          <cell r="E2303" t="str">
            <v>686924</v>
          </cell>
          <cell r="F2303" t="str">
            <v>E</v>
          </cell>
          <cell r="G2303" t="str">
            <v>70001966</v>
          </cell>
          <cell r="H2303" t="str">
            <v>HANDLE</v>
          </cell>
          <cell r="I2303">
            <v>360</v>
          </cell>
          <cell r="J2303" t="str">
            <v>Stk</v>
          </cell>
          <cell r="K2303">
            <v>45117</v>
          </cell>
          <cell r="L2303" t="str">
            <v>828521</v>
          </cell>
          <cell r="M2303" t="str">
            <v/>
          </cell>
          <cell r="N2303" t="str">
            <v/>
          </cell>
          <cell r="O2303" t="str">
            <v/>
          </cell>
          <cell r="P2303" t="str">
            <v/>
          </cell>
          <cell r="Q2303" t="str">
            <v/>
          </cell>
          <cell r="R2303" t="str">
            <v/>
          </cell>
          <cell r="S2303" t="str">
            <v/>
          </cell>
          <cell r="T2303" t="str">
            <v/>
          </cell>
          <cell r="U2303" t="str">
            <v>BB20037210601</v>
          </cell>
          <cell r="V2303" t="str">
            <v>A00</v>
          </cell>
          <cell r="W2303" t="str">
            <v/>
          </cell>
          <cell r="X2303" t="str">
            <v/>
          </cell>
          <cell r="Y2303" t="str">
            <v/>
          </cell>
          <cell r="Z2303" t="str">
            <v/>
          </cell>
          <cell r="AA2303" t="str">
            <v/>
          </cell>
          <cell r="AB2303" t="str">
            <v>70001966</v>
          </cell>
          <cell r="AC2303">
            <v>1</v>
          </cell>
          <cell r="AD2303" t="str">
            <v/>
          </cell>
          <cell r="AE2303">
            <v>0</v>
          </cell>
          <cell r="AF2303" t="str">
            <v/>
          </cell>
          <cell r="AG2303" t="str">
            <v>70001966</v>
          </cell>
          <cell r="AH2303">
            <v>44916.131967592592</v>
          </cell>
          <cell r="AI2303" t="str">
            <v>A00</v>
          </cell>
          <cell r="AJ2303" t="str">
            <v>F</v>
          </cell>
          <cell r="AK2303" t="str">
            <v>--</v>
          </cell>
        </row>
        <row r="2304">
          <cell r="A2304" t="str">
            <v>70001967828521</v>
          </cell>
          <cell r="B2304">
            <v>0</v>
          </cell>
          <cell r="C2304" t="e">
            <v>#N/A</v>
          </cell>
          <cell r="D2304" t="str">
            <v>EK65</v>
          </cell>
          <cell r="E2304" t="str">
            <v>686925</v>
          </cell>
          <cell r="F2304" t="str">
            <v>E</v>
          </cell>
          <cell r="G2304" t="str">
            <v>70001967</v>
          </cell>
          <cell r="H2304" t="str">
            <v>HANDLE</v>
          </cell>
          <cell r="I2304">
            <v>90</v>
          </cell>
          <cell r="J2304" t="str">
            <v>Stk</v>
          </cell>
          <cell r="K2304">
            <v>45117</v>
          </cell>
          <cell r="L2304" t="str">
            <v>828521</v>
          </cell>
          <cell r="M2304" t="str">
            <v/>
          </cell>
          <cell r="N2304" t="str">
            <v/>
          </cell>
          <cell r="O2304" t="str">
            <v/>
          </cell>
          <cell r="P2304" t="str">
            <v/>
          </cell>
          <cell r="Q2304" t="str">
            <v/>
          </cell>
          <cell r="R2304" t="str">
            <v/>
          </cell>
          <cell r="S2304" t="str">
            <v/>
          </cell>
          <cell r="T2304" t="str">
            <v/>
          </cell>
          <cell r="U2304" t="str">
            <v>BB20037210701</v>
          </cell>
          <cell r="V2304" t="str">
            <v>A00</v>
          </cell>
          <cell r="W2304" t="str">
            <v/>
          </cell>
          <cell r="X2304" t="str">
            <v/>
          </cell>
          <cell r="Y2304" t="str">
            <v/>
          </cell>
          <cell r="Z2304" t="str">
            <v/>
          </cell>
          <cell r="AA2304" t="str">
            <v/>
          </cell>
          <cell r="AB2304" t="str">
            <v>70001967</v>
          </cell>
          <cell r="AC2304">
            <v>1</v>
          </cell>
          <cell r="AD2304" t="str">
            <v/>
          </cell>
          <cell r="AE2304">
            <v>0</v>
          </cell>
          <cell r="AF2304" t="str">
            <v/>
          </cell>
          <cell r="AG2304" t="str">
            <v>70001967</v>
          </cell>
          <cell r="AH2304">
            <v>44916.131979166668</v>
          </cell>
          <cell r="AI2304" t="str">
            <v>A00</v>
          </cell>
          <cell r="AJ2304" t="str">
            <v>F</v>
          </cell>
          <cell r="AK2304" t="str">
            <v>--</v>
          </cell>
        </row>
        <row r="2305">
          <cell r="A2305" t="str">
            <v>70001968828521</v>
          </cell>
          <cell r="B2305">
            <v>0</v>
          </cell>
          <cell r="C2305" t="e">
            <v>#N/A</v>
          </cell>
          <cell r="D2305" t="str">
            <v>EK65</v>
          </cell>
          <cell r="E2305" t="str">
            <v>686926</v>
          </cell>
          <cell r="F2305" t="str">
            <v>E</v>
          </cell>
          <cell r="G2305" t="str">
            <v>70001968</v>
          </cell>
          <cell r="H2305" t="str">
            <v>HANDLE</v>
          </cell>
          <cell r="I2305">
            <v>180</v>
          </cell>
          <cell r="J2305" t="str">
            <v>Stk</v>
          </cell>
          <cell r="K2305">
            <v>45117</v>
          </cell>
          <cell r="L2305" t="str">
            <v>828521</v>
          </cell>
          <cell r="M2305" t="str">
            <v/>
          </cell>
          <cell r="N2305" t="str">
            <v/>
          </cell>
          <cell r="O2305" t="str">
            <v/>
          </cell>
          <cell r="P2305" t="str">
            <v/>
          </cell>
          <cell r="Q2305" t="str">
            <v/>
          </cell>
          <cell r="R2305" t="str">
            <v/>
          </cell>
          <cell r="S2305" t="str">
            <v/>
          </cell>
          <cell r="T2305" t="str">
            <v/>
          </cell>
          <cell r="U2305" t="str">
            <v>BB20037210801</v>
          </cell>
          <cell r="V2305" t="str">
            <v>A00</v>
          </cell>
          <cell r="W2305" t="str">
            <v/>
          </cell>
          <cell r="X2305" t="str">
            <v/>
          </cell>
          <cell r="Y2305" t="str">
            <v/>
          </cell>
          <cell r="Z2305" t="str">
            <v/>
          </cell>
          <cell r="AA2305" t="str">
            <v/>
          </cell>
          <cell r="AB2305" t="str">
            <v>70001968</v>
          </cell>
          <cell r="AC2305">
            <v>1</v>
          </cell>
          <cell r="AD2305" t="str">
            <v/>
          </cell>
          <cell r="AE2305">
            <v>0</v>
          </cell>
          <cell r="AF2305" t="str">
            <v/>
          </cell>
          <cell r="AG2305" t="str">
            <v>70001968</v>
          </cell>
          <cell r="AH2305">
            <v>44916.132002314815</v>
          </cell>
          <cell r="AI2305" t="str">
            <v>A00</v>
          </cell>
          <cell r="AJ2305" t="str">
            <v>F</v>
          </cell>
          <cell r="AK2305" t="str">
            <v>--</v>
          </cell>
        </row>
        <row r="2306">
          <cell r="A2306" t="str">
            <v>70001969828521</v>
          </cell>
          <cell r="B2306">
            <v>0</v>
          </cell>
          <cell r="C2306" t="e">
            <v>#N/A</v>
          </cell>
          <cell r="D2306" t="str">
            <v>EK65</v>
          </cell>
          <cell r="E2306" t="str">
            <v>686927</v>
          </cell>
          <cell r="F2306" t="str">
            <v>E</v>
          </cell>
          <cell r="G2306" t="str">
            <v>70001969</v>
          </cell>
          <cell r="H2306" t="str">
            <v>HANDLE</v>
          </cell>
          <cell r="I2306">
            <v>90</v>
          </cell>
          <cell r="J2306" t="str">
            <v>Stk</v>
          </cell>
          <cell r="K2306">
            <v>45117</v>
          </cell>
          <cell r="L2306" t="str">
            <v>828521</v>
          </cell>
          <cell r="M2306" t="str">
            <v/>
          </cell>
          <cell r="N2306" t="str">
            <v/>
          </cell>
          <cell r="O2306" t="str">
            <v/>
          </cell>
          <cell r="P2306" t="str">
            <v/>
          </cell>
          <cell r="Q2306" t="str">
            <v/>
          </cell>
          <cell r="R2306" t="str">
            <v/>
          </cell>
          <cell r="S2306" t="str">
            <v/>
          </cell>
          <cell r="T2306" t="str">
            <v/>
          </cell>
          <cell r="U2306" t="str">
            <v>BB20037210901</v>
          </cell>
          <cell r="V2306" t="str">
            <v>A00</v>
          </cell>
          <cell r="W2306" t="str">
            <v/>
          </cell>
          <cell r="X2306" t="str">
            <v/>
          </cell>
          <cell r="Y2306" t="str">
            <v/>
          </cell>
          <cell r="Z2306" t="str">
            <v/>
          </cell>
          <cell r="AA2306" t="str">
            <v/>
          </cell>
          <cell r="AB2306" t="str">
            <v>70001969</v>
          </cell>
          <cell r="AC2306">
            <v>1</v>
          </cell>
          <cell r="AD2306" t="str">
            <v/>
          </cell>
          <cell r="AE2306">
            <v>0</v>
          </cell>
          <cell r="AF2306" t="str">
            <v/>
          </cell>
          <cell r="AG2306" t="str">
            <v>70001969</v>
          </cell>
          <cell r="AH2306">
            <v>44916.132013888891</v>
          </cell>
          <cell r="AI2306" t="str">
            <v>A00</v>
          </cell>
          <cell r="AJ2306" t="str">
            <v>F</v>
          </cell>
          <cell r="AK2306" t="str">
            <v>--</v>
          </cell>
        </row>
        <row r="2307">
          <cell r="A2307" t="str">
            <v>70001970828521</v>
          </cell>
          <cell r="B2307">
            <v>0</v>
          </cell>
          <cell r="C2307" t="e">
            <v>#N/A</v>
          </cell>
          <cell r="D2307" t="str">
            <v>EK65</v>
          </cell>
          <cell r="E2307" t="str">
            <v>686928</v>
          </cell>
          <cell r="F2307" t="str">
            <v>E</v>
          </cell>
          <cell r="G2307" t="str">
            <v>70001970</v>
          </cell>
          <cell r="H2307" t="str">
            <v>HANDLE</v>
          </cell>
          <cell r="I2307">
            <v>90</v>
          </cell>
          <cell r="J2307" t="str">
            <v>Stk</v>
          </cell>
          <cell r="K2307">
            <v>45117</v>
          </cell>
          <cell r="L2307" t="str">
            <v>828521</v>
          </cell>
          <cell r="M2307" t="str">
            <v/>
          </cell>
          <cell r="N2307" t="str">
            <v/>
          </cell>
          <cell r="O2307" t="str">
            <v/>
          </cell>
          <cell r="P2307" t="str">
            <v/>
          </cell>
          <cell r="Q2307" t="str">
            <v/>
          </cell>
          <cell r="R2307" t="str">
            <v/>
          </cell>
          <cell r="S2307" t="str">
            <v/>
          </cell>
          <cell r="T2307" t="str">
            <v/>
          </cell>
          <cell r="U2307" t="str">
            <v>BB20037211201</v>
          </cell>
          <cell r="V2307" t="str">
            <v>A00</v>
          </cell>
          <cell r="W2307" t="str">
            <v/>
          </cell>
          <cell r="X2307" t="str">
            <v/>
          </cell>
          <cell r="Y2307" t="str">
            <v/>
          </cell>
          <cell r="Z2307" t="str">
            <v/>
          </cell>
          <cell r="AA2307" t="str">
            <v/>
          </cell>
          <cell r="AB2307" t="str">
            <v>70001970</v>
          </cell>
          <cell r="AC2307">
            <v>1</v>
          </cell>
          <cell r="AD2307" t="str">
            <v/>
          </cell>
          <cell r="AE2307">
            <v>0</v>
          </cell>
          <cell r="AF2307" t="str">
            <v/>
          </cell>
          <cell r="AG2307" t="str">
            <v>70001970</v>
          </cell>
          <cell r="AH2307">
            <v>44916.132037037038</v>
          </cell>
          <cell r="AI2307" t="str">
            <v>A00</v>
          </cell>
          <cell r="AJ2307" t="str">
            <v>F</v>
          </cell>
          <cell r="AK2307" t="str">
            <v>--</v>
          </cell>
        </row>
        <row r="2308">
          <cell r="A2308" t="str">
            <v>70001971828521</v>
          </cell>
          <cell r="B2308">
            <v>0</v>
          </cell>
          <cell r="C2308" t="e">
            <v>#N/A</v>
          </cell>
          <cell r="D2308" t="str">
            <v>EK65</v>
          </cell>
          <cell r="E2308" t="str">
            <v>686929</v>
          </cell>
          <cell r="F2308" t="str">
            <v>E</v>
          </cell>
          <cell r="G2308" t="str">
            <v>70001971</v>
          </cell>
          <cell r="H2308" t="str">
            <v>HANDLE</v>
          </cell>
          <cell r="I2308">
            <v>90</v>
          </cell>
          <cell r="J2308" t="str">
            <v>Stk</v>
          </cell>
          <cell r="K2308">
            <v>45117</v>
          </cell>
          <cell r="L2308" t="str">
            <v>828521</v>
          </cell>
          <cell r="M2308" t="str">
            <v/>
          </cell>
          <cell r="N2308" t="str">
            <v/>
          </cell>
          <cell r="O2308" t="str">
            <v/>
          </cell>
          <cell r="P2308" t="str">
            <v/>
          </cell>
          <cell r="Q2308" t="str">
            <v/>
          </cell>
          <cell r="R2308" t="str">
            <v/>
          </cell>
          <cell r="S2308" t="str">
            <v/>
          </cell>
          <cell r="T2308" t="str">
            <v/>
          </cell>
          <cell r="U2308" t="str">
            <v>BB20037211401</v>
          </cell>
          <cell r="V2308" t="str">
            <v>A00</v>
          </cell>
          <cell r="W2308" t="str">
            <v/>
          </cell>
          <cell r="X2308" t="str">
            <v/>
          </cell>
          <cell r="Y2308" t="str">
            <v/>
          </cell>
          <cell r="Z2308" t="str">
            <v/>
          </cell>
          <cell r="AA2308" t="str">
            <v/>
          </cell>
          <cell r="AB2308" t="str">
            <v>70001971</v>
          </cell>
          <cell r="AC2308">
            <v>1</v>
          </cell>
          <cell r="AD2308" t="str">
            <v/>
          </cell>
          <cell r="AE2308">
            <v>0</v>
          </cell>
          <cell r="AF2308" t="str">
            <v/>
          </cell>
          <cell r="AG2308" t="str">
            <v>70001971</v>
          </cell>
          <cell r="AH2308">
            <v>44916.132048611114</v>
          </cell>
          <cell r="AI2308" t="str">
            <v>A00</v>
          </cell>
          <cell r="AJ2308" t="str">
            <v>F</v>
          </cell>
          <cell r="AK2308" t="str">
            <v>--</v>
          </cell>
        </row>
        <row r="2309">
          <cell r="A2309" t="str">
            <v>70001972828521</v>
          </cell>
          <cell r="B2309">
            <v>0</v>
          </cell>
          <cell r="C2309" t="e">
            <v>#N/A</v>
          </cell>
          <cell r="D2309" t="str">
            <v>EK65</v>
          </cell>
          <cell r="E2309" t="str">
            <v>686930</v>
          </cell>
          <cell r="F2309" t="str">
            <v>E</v>
          </cell>
          <cell r="G2309" t="str">
            <v>70001972</v>
          </cell>
          <cell r="H2309" t="str">
            <v>WALL HANDRAIL CONNECTOR</v>
          </cell>
          <cell r="I2309">
            <v>180</v>
          </cell>
          <cell r="J2309" t="str">
            <v>Stk</v>
          </cell>
          <cell r="K2309">
            <v>45117</v>
          </cell>
          <cell r="L2309" t="str">
            <v>828521</v>
          </cell>
          <cell r="M2309" t="str">
            <v/>
          </cell>
          <cell r="N2309" t="str">
            <v/>
          </cell>
          <cell r="O2309" t="str">
            <v/>
          </cell>
          <cell r="P2309" t="str">
            <v/>
          </cell>
          <cell r="Q2309" t="str">
            <v/>
          </cell>
          <cell r="R2309" t="str">
            <v/>
          </cell>
          <cell r="S2309" t="str">
            <v/>
          </cell>
          <cell r="T2309" t="str">
            <v/>
          </cell>
          <cell r="U2309" t="str">
            <v>BB20037210012</v>
          </cell>
          <cell r="V2309" t="str">
            <v>L02</v>
          </cell>
          <cell r="W2309" t="str">
            <v/>
          </cell>
          <cell r="X2309" t="str">
            <v/>
          </cell>
          <cell r="Y2309" t="str">
            <v/>
          </cell>
          <cell r="Z2309" t="str">
            <v/>
          </cell>
          <cell r="AA2309" t="str">
            <v/>
          </cell>
          <cell r="AB2309" t="str">
            <v>70001972</v>
          </cell>
          <cell r="AC2309">
            <v>1</v>
          </cell>
          <cell r="AD2309" t="str">
            <v/>
          </cell>
          <cell r="AE2309">
            <v>0</v>
          </cell>
          <cell r="AF2309" t="str">
            <v/>
          </cell>
          <cell r="AG2309" t="str">
            <v>70001972</v>
          </cell>
          <cell r="AH2309">
            <v>44916.132071759261</v>
          </cell>
          <cell r="AI2309" t="str">
            <v>L02</v>
          </cell>
          <cell r="AJ2309" t="str">
            <v>F</v>
          </cell>
          <cell r="AK2309" t="str">
            <v>--</v>
          </cell>
        </row>
        <row r="2310">
          <cell r="A2310" t="str">
            <v>70001977828521</v>
          </cell>
          <cell r="B2310">
            <v>0</v>
          </cell>
          <cell r="C2310" t="e">
            <v>#N/A</v>
          </cell>
          <cell r="D2310" t="str">
            <v>EK65</v>
          </cell>
          <cell r="E2310" t="str">
            <v>686934</v>
          </cell>
          <cell r="F2310" t="str">
            <v>E</v>
          </cell>
          <cell r="G2310" t="str">
            <v>70001977</v>
          </cell>
          <cell r="H2310" t="str">
            <v>BLOCK</v>
          </cell>
          <cell r="I2310">
            <v>360</v>
          </cell>
          <cell r="J2310" t="str">
            <v>Stk</v>
          </cell>
          <cell r="K2310">
            <v>45117</v>
          </cell>
          <cell r="L2310" t="str">
            <v>828521</v>
          </cell>
          <cell r="M2310" t="str">
            <v/>
          </cell>
          <cell r="N2310" t="str">
            <v/>
          </cell>
          <cell r="O2310" t="str">
            <v/>
          </cell>
          <cell r="P2310" t="str">
            <v/>
          </cell>
          <cell r="Q2310" t="str">
            <v/>
          </cell>
          <cell r="R2310" t="str">
            <v/>
          </cell>
          <cell r="S2310" t="str">
            <v/>
          </cell>
          <cell r="T2310" t="str">
            <v/>
          </cell>
          <cell r="U2310" t="str">
            <v>BB20037210025</v>
          </cell>
          <cell r="V2310" t="str">
            <v>N52</v>
          </cell>
          <cell r="W2310" t="str">
            <v/>
          </cell>
          <cell r="X2310" t="str">
            <v/>
          </cell>
          <cell r="Y2310" t="str">
            <v/>
          </cell>
          <cell r="Z2310" t="str">
            <v/>
          </cell>
          <cell r="AA2310" t="str">
            <v/>
          </cell>
          <cell r="AB2310" t="str">
            <v>70001977</v>
          </cell>
          <cell r="AC2310">
            <v>1</v>
          </cell>
          <cell r="AD2310" t="str">
            <v/>
          </cell>
          <cell r="AE2310">
            <v>0</v>
          </cell>
          <cell r="AF2310" t="str">
            <v/>
          </cell>
          <cell r="AG2310" t="str">
            <v>70001977</v>
          </cell>
          <cell r="AH2310">
            <v>44916.132222222222</v>
          </cell>
          <cell r="AI2310" t="str">
            <v>N52</v>
          </cell>
          <cell r="AJ2310" t="str">
            <v>F</v>
          </cell>
          <cell r="AK2310" t="str">
            <v>--</v>
          </cell>
        </row>
        <row r="2311">
          <cell r="A2311" t="str">
            <v>70001973828521</v>
          </cell>
          <cell r="B2311">
            <v>0</v>
          </cell>
          <cell r="C2311" t="e">
            <v>#N/A</v>
          </cell>
          <cell r="D2311" t="str">
            <v>EK65</v>
          </cell>
          <cell r="E2311" t="str">
            <v>706895</v>
          </cell>
          <cell r="F2311" t="str">
            <v>E</v>
          </cell>
          <cell r="G2311" t="str">
            <v>70001973</v>
          </cell>
          <cell r="H2311" t="str">
            <v>PLATE</v>
          </cell>
          <cell r="I2311">
            <v>180</v>
          </cell>
          <cell r="J2311" t="str">
            <v>Stk</v>
          </cell>
          <cell r="K2311">
            <v>45117</v>
          </cell>
          <cell r="L2311" t="str">
            <v>828521</v>
          </cell>
          <cell r="M2311" t="str">
            <v/>
          </cell>
          <cell r="N2311" t="str">
            <v/>
          </cell>
          <cell r="O2311" t="str">
            <v/>
          </cell>
          <cell r="P2311" t="str">
            <v/>
          </cell>
          <cell r="Q2311" t="str">
            <v/>
          </cell>
          <cell r="R2311" t="str">
            <v/>
          </cell>
          <cell r="S2311" t="str">
            <v/>
          </cell>
          <cell r="T2311" t="str">
            <v/>
          </cell>
          <cell r="U2311" t="str">
            <v>BB20037210022</v>
          </cell>
          <cell r="V2311" t="str">
            <v>B00</v>
          </cell>
          <cell r="W2311" t="str">
            <v/>
          </cell>
          <cell r="X2311" t="str">
            <v/>
          </cell>
          <cell r="Y2311" t="str">
            <v/>
          </cell>
          <cell r="Z2311" t="str">
            <v/>
          </cell>
          <cell r="AA2311" t="str">
            <v/>
          </cell>
          <cell r="AB2311" t="str">
            <v>70001973</v>
          </cell>
          <cell r="AC2311">
            <v>1</v>
          </cell>
          <cell r="AD2311" t="str">
            <v/>
          </cell>
          <cell r="AE2311">
            <v>0</v>
          </cell>
          <cell r="AF2311" t="str">
            <v/>
          </cell>
          <cell r="AG2311" t="str">
            <v>70001973</v>
          </cell>
          <cell r="AH2311">
            <v>44961.012777777774</v>
          </cell>
          <cell r="AI2311" t="str">
            <v>B00</v>
          </cell>
          <cell r="AJ2311" t="str">
            <v>F</v>
          </cell>
          <cell r="AK2311" t="str">
            <v>--</v>
          </cell>
        </row>
        <row r="2312">
          <cell r="A2312" t="str">
            <v>70001974828521</v>
          </cell>
          <cell r="B2312">
            <v>0</v>
          </cell>
          <cell r="C2312" t="e">
            <v>#N/A</v>
          </cell>
          <cell r="D2312" t="str">
            <v>EK65</v>
          </cell>
          <cell r="E2312" t="str">
            <v>706896</v>
          </cell>
          <cell r="F2312" t="str">
            <v>E</v>
          </cell>
          <cell r="G2312" t="str">
            <v>70001974</v>
          </cell>
          <cell r="H2312" t="str">
            <v>SHIM 1MM</v>
          </cell>
          <cell r="I2312">
            <v>1440</v>
          </cell>
          <cell r="J2312" t="str">
            <v>Stk</v>
          </cell>
          <cell r="K2312">
            <v>45117</v>
          </cell>
          <cell r="L2312" t="str">
            <v>828521</v>
          </cell>
          <cell r="M2312" t="str">
            <v/>
          </cell>
          <cell r="N2312" t="str">
            <v/>
          </cell>
          <cell r="O2312" t="str">
            <v/>
          </cell>
          <cell r="P2312" t="str">
            <v/>
          </cell>
          <cell r="Q2312" t="str">
            <v/>
          </cell>
          <cell r="R2312" t="str">
            <v/>
          </cell>
          <cell r="S2312" t="str">
            <v/>
          </cell>
          <cell r="T2312" t="str">
            <v/>
          </cell>
          <cell r="U2312" t="str">
            <v>BB20037210023</v>
          </cell>
          <cell r="V2312" t="str">
            <v>B00</v>
          </cell>
          <cell r="W2312" t="str">
            <v/>
          </cell>
          <cell r="X2312" t="str">
            <v/>
          </cell>
          <cell r="Y2312" t="str">
            <v/>
          </cell>
          <cell r="Z2312" t="str">
            <v/>
          </cell>
          <cell r="AA2312" t="str">
            <v/>
          </cell>
          <cell r="AB2312" t="str">
            <v>70001974</v>
          </cell>
          <cell r="AC2312">
            <v>1</v>
          </cell>
          <cell r="AD2312" t="str">
            <v/>
          </cell>
          <cell r="AE2312">
            <v>0</v>
          </cell>
          <cell r="AF2312" t="str">
            <v/>
          </cell>
          <cell r="AG2312" t="str">
            <v>70001974</v>
          </cell>
          <cell r="AH2312">
            <v>44961.012800925928</v>
          </cell>
          <cell r="AI2312" t="str">
            <v>B00</v>
          </cell>
          <cell r="AJ2312" t="str">
            <v>F</v>
          </cell>
          <cell r="AK2312" t="str">
            <v>--</v>
          </cell>
        </row>
        <row r="2313">
          <cell r="A2313" t="str">
            <v>0281754820531</v>
          </cell>
          <cell r="B2313" t="e">
            <v>#N/A</v>
          </cell>
          <cell r="C2313" t="e">
            <v>#N/A</v>
          </cell>
          <cell r="D2313" t="str">
            <v>EK65</v>
          </cell>
          <cell r="E2313" t="str">
            <v>724481</v>
          </cell>
          <cell r="F2313" t="str">
            <v>E</v>
          </cell>
          <cell r="G2313" t="str">
            <v>0281754</v>
          </cell>
          <cell r="H2313" t="str">
            <v>Beilage</v>
          </cell>
          <cell r="I2313">
            <v>4</v>
          </cell>
          <cell r="J2313" t="str">
            <v>Stk</v>
          </cell>
          <cell r="K2313">
            <v>45210</v>
          </cell>
          <cell r="L2313" t="str">
            <v>820531</v>
          </cell>
          <cell r="M2313" t="str">
            <v/>
          </cell>
          <cell r="N2313" t="str">
            <v/>
          </cell>
          <cell r="O2313" t="str">
            <v/>
          </cell>
          <cell r="P2313" t="str">
            <v/>
          </cell>
          <cell r="Q2313" t="str">
            <v/>
          </cell>
          <cell r="R2313" t="str">
            <v/>
          </cell>
          <cell r="S2313" t="str">
            <v/>
          </cell>
          <cell r="T2313" t="str">
            <v/>
          </cell>
          <cell r="U2313" t="str">
            <v/>
          </cell>
          <cell r="V2313" t="str">
            <v>N52</v>
          </cell>
          <cell r="W2313" t="str">
            <v/>
          </cell>
          <cell r="X2313" t="str">
            <v/>
          </cell>
          <cell r="Y2313" t="str">
            <v/>
          </cell>
          <cell r="Z2313" t="str">
            <v/>
          </cell>
          <cell r="AA2313" t="str">
            <v/>
          </cell>
          <cell r="AB2313" t="str">
            <v>PA_2319853-CC.3046-4</v>
          </cell>
          <cell r="AC2313">
            <v>1</v>
          </cell>
          <cell r="AD2313" t="str">
            <v/>
          </cell>
          <cell r="AE2313">
            <v>0</v>
          </cell>
          <cell r="AF2313" t="str">
            <v/>
          </cell>
          <cell r="AG2313" t="str">
            <v>0281754</v>
          </cell>
          <cell r="AH2313">
            <v>45019.411840277775</v>
          </cell>
          <cell r="AI2313" t="str">
            <v>N52</v>
          </cell>
          <cell r="AJ2313" t="str">
            <v>F</v>
          </cell>
          <cell r="AK2313" t="str">
            <v/>
          </cell>
        </row>
        <row r="2314">
          <cell r="A2314" t="str">
            <v>0281732820531</v>
          </cell>
          <cell r="B2314" t="e">
            <v>#N/A</v>
          </cell>
          <cell r="C2314" t="e">
            <v>#N/A</v>
          </cell>
          <cell r="D2314" t="str">
            <v>EK65</v>
          </cell>
          <cell r="E2314" t="str">
            <v>724482</v>
          </cell>
          <cell r="F2314" t="str">
            <v>E</v>
          </cell>
          <cell r="G2314" t="str">
            <v>0281732</v>
          </cell>
          <cell r="H2314" t="str">
            <v>Beilage</v>
          </cell>
          <cell r="I2314">
            <v>4</v>
          </cell>
          <cell r="J2314" t="str">
            <v>Stk</v>
          </cell>
          <cell r="K2314">
            <v>45210</v>
          </cell>
          <cell r="L2314" t="str">
            <v>820531</v>
          </cell>
          <cell r="M2314" t="str">
            <v/>
          </cell>
          <cell r="N2314" t="str">
            <v/>
          </cell>
          <cell r="O2314" t="str">
            <v/>
          </cell>
          <cell r="P2314" t="str">
            <v/>
          </cell>
          <cell r="Q2314" t="str">
            <v/>
          </cell>
          <cell r="R2314" t="str">
            <v/>
          </cell>
          <cell r="S2314" t="str">
            <v/>
          </cell>
          <cell r="T2314" t="str">
            <v/>
          </cell>
          <cell r="U2314" t="str">
            <v/>
          </cell>
          <cell r="V2314" t="str">
            <v>N52</v>
          </cell>
          <cell r="W2314" t="str">
            <v/>
          </cell>
          <cell r="X2314" t="str">
            <v/>
          </cell>
          <cell r="Y2314" t="str">
            <v/>
          </cell>
          <cell r="Z2314" t="str">
            <v/>
          </cell>
          <cell r="AA2314" t="str">
            <v/>
          </cell>
          <cell r="AB2314" t="str">
            <v>PA_2319937-CC.3046-4</v>
          </cell>
          <cell r="AC2314">
            <v>1</v>
          </cell>
          <cell r="AD2314" t="str">
            <v/>
          </cell>
          <cell r="AE2314">
            <v>0</v>
          </cell>
          <cell r="AF2314" t="str">
            <v/>
          </cell>
          <cell r="AG2314" t="str">
            <v>0281732</v>
          </cell>
          <cell r="AH2314">
            <v>45019.412812499999</v>
          </cell>
          <cell r="AI2314" t="str">
            <v>N52</v>
          </cell>
          <cell r="AJ2314" t="str">
            <v>F</v>
          </cell>
          <cell r="AK2314" t="str">
            <v/>
          </cell>
        </row>
        <row r="2315">
          <cell r="A2315" t="str">
            <v>12562184829053</v>
          </cell>
          <cell r="B2315" t="e">
            <v>#N/A</v>
          </cell>
          <cell r="C2315">
            <v>4</v>
          </cell>
          <cell r="D2315" t="str">
            <v>EK65</v>
          </cell>
          <cell r="E2315" t="str">
            <v>724490</v>
          </cell>
          <cell r="F2315" t="str">
            <v>E</v>
          </cell>
          <cell r="G2315" t="str">
            <v>12562184</v>
          </cell>
          <cell r="H2315" t="str">
            <v>Unterlegscheibe fuer Trennwand</v>
          </cell>
          <cell r="I2315">
            <v>739</v>
          </cell>
          <cell r="J2315" t="str">
            <v>Stk</v>
          </cell>
          <cell r="K2315">
            <v>45199</v>
          </cell>
          <cell r="L2315" t="str">
            <v>829053</v>
          </cell>
          <cell r="M2315" t="str">
            <v/>
          </cell>
          <cell r="N2315" t="str">
            <v/>
          </cell>
          <cell r="O2315" t="str">
            <v/>
          </cell>
          <cell r="P2315" t="str">
            <v/>
          </cell>
          <cell r="Q2315" t="str">
            <v/>
          </cell>
          <cell r="R2315" t="str">
            <v/>
          </cell>
          <cell r="S2315" t="str">
            <v/>
          </cell>
          <cell r="T2315" t="str">
            <v/>
          </cell>
          <cell r="U2315" t="str">
            <v/>
          </cell>
          <cell r="V2315" t="str">
            <v>N52</v>
          </cell>
          <cell r="W2315" t="str">
            <v/>
          </cell>
          <cell r="X2315" t="str">
            <v/>
          </cell>
          <cell r="Y2315" t="str">
            <v/>
          </cell>
          <cell r="Z2315" t="str">
            <v/>
          </cell>
          <cell r="AA2315" t="str">
            <v/>
          </cell>
          <cell r="AB2315" t="str">
            <v>PA_4753072-TC.7005-4</v>
          </cell>
          <cell r="AC2315">
            <v>1</v>
          </cell>
          <cell r="AD2315" t="str">
            <v/>
          </cell>
          <cell r="AE2315">
            <v>0</v>
          </cell>
          <cell r="AF2315" t="str">
            <v/>
          </cell>
          <cell r="AG2315" t="str">
            <v>12562184</v>
          </cell>
          <cell r="AH2315">
            <v>45019.504814814813</v>
          </cell>
          <cell r="AI2315" t="str">
            <v>N52</v>
          </cell>
          <cell r="AJ2315" t="str">
            <v>F</v>
          </cell>
          <cell r="AK2315" t="str">
            <v/>
          </cell>
        </row>
        <row r="2316">
          <cell r="A2316" t="str">
            <v>12530248829051</v>
          </cell>
          <cell r="B2316" t="e">
            <v>#N/A</v>
          </cell>
          <cell r="C2316">
            <v>12</v>
          </cell>
          <cell r="D2316" t="str">
            <v>EK65</v>
          </cell>
          <cell r="E2316" t="str">
            <v>724491</v>
          </cell>
          <cell r="F2316" t="str">
            <v>E</v>
          </cell>
          <cell r="G2316" t="str">
            <v>12530248</v>
          </cell>
          <cell r="H2316" t="str">
            <v>Halter</v>
          </cell>
          <cell r="I2316">
            <v>51</v>
          </cell>
          <cell r="J2316" t="str">
            <v>Stk</v>
          </cell>
          <cell r="K2316">
            <v>45280</v>
          </cell>
          <cell r="L2316" t="str">
            <v>829051</v>
          </cell>
          <cell r="M2316" t="str">
            <v/>
          </cell>
          <cell r="N2316" t="str">
            <v/>
          </cell>
          <cell r="O2316" t="str">
            <v/>
          </cell>
          <cell r="P2316" t="str">
            <v/>
          </cell>
          <cell r="Q2316" t="str">
            <v/>
          </cell>
          <cell r="R2316" t="str">
            <v/>
          </cell>
          <cell r="S2316" t="str">
            <v/>
          </cell>
          <cell r="T2316" t="str">
            <v/>
          </cell>
          <cell r="U2316" t="str">
            <v/>
          </cell>
          <cell r="V2316" t="str">
            <v>N52</v>
          </cell>
          <cell r="W2316" t="str">
            <v/>
          </cell>
          <cell r="X2316" t="str">
            <v/>
          </cell>
          <cell r="Y2316" t="str">
            <v/>
          </cell>
          <cell r="Z2316" t="str">
            <v/>
          </cell>
          <cell r="AA2316" t="str">
            <v/>
          </cell>
          <cell r="AB2316" t="str">
            <v>PA_4428744-UA.7005-3</v>
          </cell>
          <cell r="AC2316">
            <v>1</v>
          </cell>
          <cell r="AD2316" t="str">
            <v/>
          </cell>
          <cell r="AE2316">
            <v>0</v>
          </cell>
          <cell r="AF2316" t="str">
            <v/>
          </cell>
          <cell r="AG2316" t="str">
            <v>12530248</v>
          </cell>
          <cell r="AH2316">
            <v>45019.513368055559</v>
          </cell>
          <cell r="AI2316" t="str">
            <v>N52</v>
          </cell>
          <cell r="AJ2316" t="str">
            <v>F</v>
          </cell>
          <cell r="AK2316" t="str">
            <v>A</v>
          </cell>
        </row>
        <row r="2317">
          <cell r="A2317" t="str">
            <v>2584733820541</v>
          </cell>
          <cell r="B2317" t="e">
            <v>#N/A</v>
          </cell>
          <cell r="C2317" t="e">
            <v>#N/A</v>
          </cell>
          <cell r="D2317" t="str">
            <v>EK65</v>
          </cell>
          <cell r="E2317" t="str">
            <v>724492</v>
          </cell>
          <cell r="F2317" t="str">
            <v>E</v>
          </cell>
          <cell r="G2317" t="str">
            <v>2584733</v>
          </cell>
          <cell r="H2317" t="str">
            <v>Distanzhuelse M10</v>
          </cell>
          <cell r="I2317">
            <v>528</v>
          </cell>
          <cell r="J2317" t="str">
            <v>Stk</v>
          </cell>
          <cell r="K2317">
            <v>45166</v>
          </cell>
          <cell r="L2317" t="str">
            <v>820541</v>
          </cell>
          <cell r="M2317" t="str">
            <v/>
          </cell>
          <cell r="N2317" t="str">
            <v/>
          </cell>
          <cell r="O2317" t="str">
            <v/>
          </cell>
          <cell r="P2317" t="str">
            <v/>
          </cell>
          <cell r="Q2317" t="str">
            <v/>
          </cell>
          <cell r="R2317" t="str">
            <v/>
          </cell>
          <cell r="S2317" t="str">
            <v/>
          </cell>
          <cell r="T2317" t="str">
            <v/>
          </cell>
          <cell r="U2317" t="str">
            <v/>
          </cell>
          <cell r="V2317" t="str">
            <v>N52</v>
          </cell>
          <cell r="W2317" t="str">
            <v/>
          </cell>
          <cell r="X2317" t="str">
            <v/>
          </cell>
          <cell r="Y2317" t="str">
            <v/>
          </cell>
          <cell r="Z2317" t="str">
            <v/>
          </cell>
          <cell r="AA2317" t="str">
            <v/>
          </cell>
          <cell r="AB2317" t="str">
            <v>PA_2252362-QE.3044-4</v>
          </cell>
          <cell r="AC2317">
            <v>1</v>
          </cell>
          <cell r="AD2317" t="str">
            <v/>
          </cell>
          <cell r="AE2317">
            <v>0</v>
          </cell>
          <cell r="AF2317" t="str">
            <v/>
          </cell>
          <cell r="AG2317" t="str">
            <v>2584733</v>
          </cell>
          <cell r="AH2317">
            <v>45019.552881944444</v>
          </cell>
          <cell r="AI2317" t="str">
            <v>N52</v>
          </cell>
          <cell r="AJ2317" t="str">
            <v>F</v>
          </cell>
          <cell r="AK2317" t="str">
            <v/>
          </cell>
        </row>
        <row r="2318">
          <cell r="A2318" t="str">
            <v>0735900</v>
          </cell>
          <cell r="B2318" t="e">
            <v>#N/A</v>
          </cell>
          <cell r="C2318" t="e">
            <v>#N/A</v>
          </cell>
          <cell r="D2318" t="str">
            <v>EK65</v>
          </cell>
          <cell r="E2318" t="str">
            <v>724500</v>
          </cell>
          <cell r="F2318" t="str">
            <v>B</v>
          </cell>
          <cell r="G2318" t="str">
            <v>0735900</v>
          </cell>
          <cell r="H2318" t="str">
            <v>Scheibe</v>
          </cell>
          <cell r="I2318">
            <v>71</v>
          </cell>
          <cell r="J2318" t="str">
            <v>Stk</v>
          </cell>
          <cell r="K2318">
            <v>45021</v>
          </cell>
          <cell r="L2318" t="str">
            <v/>
          </cell>
          <cell r="M2318" t="str">
            <v/>
          </cell>
          <cell r="N2318" t="str">
            <v/>
          </cell>
          <cell r="O2318" t="str">
            <v/>
          </cell>
          <cell r="P2318" t="str">
            <v/>
          </cell>
          <cell r="Q2318" t="str">
            <v/>
          </cell>
          <cell r="R2318" t="str">
            <v/>
          </cell>
          <cell r="S2318" t="str">
            <v/>
          </cell>
          <cell r="T2318" t="str">
            <v/>
          </cell>
          <cell r="U2318" t="str">
            <v/>
          </cell>
          <cell r="V2318" t="str">
            <v>N52</v>
          </cell>
          <cell r="W2318" t="str">
            <v/>
          </cell>
          <cell r="X2318" t="str">
            <v/>
          </cell>
          <cell r="Y2318" t="str">
            <v/>
          </cell>
          <cell r="Z2318" t="str">
            <v/>
          </cell>
          <cell r="AA2318" t="str">
            <v/>
          </cell>
          <cell r="AB2318" t="str">
            <v>PA_2169005-UA.7500-4</v>
          </cell>
          <cell r="AC2318">
            <v>4</v>
          </cell>
          <cell r="AD2318" t="str">
            <v/>
          </cell>
          <cell r="AE2318">
            <v>0</v>
          </cell>
          <cell r="AF2318" t="str">
            <v/>
          </cell>
          <cell r="AG2318" t="str">
            <v>0735900</v>
          </cell>
          <cell r="AH2318">
            <v>45019.834444444445</v>
          </cell>
          <cell r="AI2318" t="str">
            <v>N52</v>
          </cell>
          <cell r="AJ2318" t="str">
            <v>F</v>
          </cell>
          <cell r="AK2318" t="str">
            <v/>
          </cell>
        </row>
        <row r="2319">
          <cell r="A2319" t="str">
            <v>12632991820541</v>
          </cell>
          <cell r="B2319" t="e">
            <v>#N/A</v>
          </cell>
          <cell r="C2319" t="e">
            <v>#N/A</v>
          </cell>
          <cell r="D2319" t="str">
            <v>EK65</v>
          </cell>
          <cell r="E2319" t="str">
            <v>725989</v>
          </cell>
          <cell r="F2319" t="str">
            <v>E</v>
          </cell>
          <cell r="G2319" t="str">
            <v>12632991</v>
          </cell>
          <cell r="H2319" t="str">
            <v>Dehnhuelse</v>
          </cell>
          <cell r="I2319">
            <v>6688</v>
          </cell>
          <cell r="J2319" t="str">
            <v>Stk</v>
          </cell>
          <cell r="K2319">
            <v>45195</v>
          </cell>
          <cell r="L2319" t="str">
            <v>820541</v>
          </cell>
          <cell r="M2319" t="str">
            <v/>
          </cell>
          <cell r="N2319" t="str">
            <v/>
          </cell>
          <cell r="O2319" t="str">
            <v/>
          </cell>
          <cell r="P2319" t="str">
            <v/>
          </cell>
          <cell r="Q2319" t="str">
            <v/>
          </cell>
          <cell r="R2319" t="str">
            <v/>
          </cell>
          <cell r="S2319" t="str">
            <v/>
          </cell>
          <cell r="T2319" t="str">
            <v/>
          </cell>
          <cell r="U2319" t="str">
            <v/>
          </cell>
          <cell r="V2319" t="str">
            <v>N52</v>
          </cell>
          <cell r="W2319" t="str">
            <v/>
          </cell>
          <cell r="X2319" t="str">
            <v/>
          </cell>
          <cell r="Y2319" t="str">
            <v/>
          </cell>
          <cell r="Z2319" t="str">
            <v/>
          </cell>
          <cell r="AA2319" t="str">
            <v/>
          </cell>
          <cell r="AB2319" t="str">
            <v>PA_4958952-DE.3048-4</v>
          </cell>
          <cell r="AC2319">
            <v>1</v>
          </cell>
          <cell r="AD2319" t="str">
            <v/>
          </cell>
          <cell r="AE2319">
            <v>0</v>
          </cell>
          <cell r="AF2319" t="str">
            <v/>
          </cell>
          <cell r="AG2319" t="str">
            <v>12632991</v>
          </cell>
          <cell r="AH2319">
            <v>45019.909050925926</v>
          </cell>
          <cell r="AI2319" t="str">
            <v>N52</v>
          </cell>
          <cell r="AJ2319" t="str">
            <v>F</v>
          </cell>
          <cell r="AK2319" t="str">
            <v/>
          </cell>
        </row>
        <row r="2320">
          <cell r="A2320" t="str">
            <v>12636607829053</v>
          </cell>
          <cell r="B2320" t="e">
            <v>#N/A</v>
          </cell>
          <cell r="C2320" t="e">
            <v>#N/A</v>
          </cell>
          <cell r="D2320" t="str">
            <v>EK65</v>
          </cell>
          <cell r="E2320" t="str">
            <v>725990</v>
          </cell>
          <cell r="F2320" t="str">
            <v>E</v>
          </cell>
          <cell r="G2320" t="str">
            <v>12636607</v>
          </cell>
          <cell r="H2320" t="str">
            <v>Schutzblech</v>
          </cell>
          <cell r="I2320">
            <v>2</v>
          </cell>
          <cell r="J2320" t="str">
            <v>Stk</v>
          </cell>
          <cell r="K2320">
            <v>45386</v>
          </cell>
          <cell r="L2320" t="str">
            <v>829053</v>
          </cell>
          <cell r="M2320" t="str">
            <v/>
          </cell>
          <cell r="N2320" t="str">
            <v/>
          </cell>
          <cell r="O2320" t="str">
            <v/>
          </cell>
          <cell r="P2320" t="str">
            <v/>
          </cell>
          <cell r="Q2320" t="str">
            <v/>
          </cell>
          <cell r="R2320" t="str">
            <v/>
          </cell>
          <cell r="S2320" t="str">
            <v/>
          </cell>
          <cell r="T2320" t="str">
            <v/>
          </cell>
          <cell r="U2320" t="str">
            <v/>
          </cell>
          <cell r="V2320" t="str">
            <v>N52</v>
          </cell>
          <cell r="W2320" t="str">
            <v/>
          </cell>
          <cell r="X2320" t="str">
            <v/>
          </cell>
          <cell r="Y2320" t="str">
            <v/>
          </cell>
          <cell r="Z2320" t="str">
            <v/>
          </cell>
          <cell r="AA2320" t="str">
            <v/>
          </cell>
          <cell r="AB2320" t="str">
            <v>PA_5127584-QE.7004-3</v>
          </cell>
          <cell r="AC2320">
            <v>1</v>
          </cell>
          <cell r="AD2320" t="str">
            <v/>
          </cell>
          <cell r="AE2320">
            <v>0</v>
          </cell>
          <cell r="AF2320" t="str">
            <v/>
          </cell>
          <cell r="AG2320" t="str">
            <v>12636607</v>
          </cell>
          <cell r="AH2320">
            <v>45019.909108796295</v>
          </cell>
          <cell r="AI2320" t="str">
            <v>N52</v>
          </cell>
          <cell r="AJ2320" t="str">
            <v>F</v>
          </cell>
          <cell r="AK2320" t="str">
            <v/>
          </cell>
        </row>
        <row r="2321">
          <cell r="A2321" t="str">
            <v>12656733820541</v>
          </cell>
          <cell r="B2321" t="e">
            <v>#N/A</v>
          </cell>
          <cell r="C2321" t="e">
            <v>#N/A</v>
          </cell>
          <cell r="D2321" t="str">
            <v>EK65</v>
          </cell>
          <cell r="E2321" t="str">
            <v>726005</v>
          </cell>
          <cell r="F2321" t="str">
            <v>E</v>
          </cell>
          <cell r="G2321" t="str">
            <v>12656733</v>
          </cell>
          <cell r="H2321" t="str">
            <v>Halter</v>
          </cell>
          <cell r="I2321">
            <v>3432</v>
          </cell>
          <cell r="J2321" t="str">
            <v>Stk</v>
          </cell>
          <cell r="K2321">
            <v>45162</v>
          </cell>
          <cell r="L2321" t="str">
            <v>820541</v>
          </cell>
          <cell r="M2321" t="str">
            <v/>
          </cell>
          <cell r="N2321" t="str">
            <v/>
          </cell>
          <cell r="O2321" t="str">
            <v/>
          </cell>
          <cell r="P2321" t="str">
            <v/>
          </cell>
          <cell r="Q2321" t="str">
            <v/>
          </cell>
          <cell r="R2321" t="str">
            <v/>
          </cell>
          <cell r="S2321" t="str">
            <v/>
          </cell>
          <cell r="T2321" t="str">
            <v/>
          </cell>
          <cell r="U2321" t="str">
            <v/>
          </cell>
          <cell r="V2321" t="str">
            <v>N52</v>
          </cell>
          <cell r="W2321" t="str">
            <v/>
          </cell>
          <cell r="X2321" t="str">
            <v/>
          </cell>
          <cell r="Y2321" t="str">
            <v/>
          </cell>
          <cell r="Z2321" t="str">
            <v/>
          </cell>
          <cell r="AA2321" t="str">
            <v/>
          </cell>
          <cell r="AB2321" t="str">
            <v>PA_5080266-CE.3048-3</v>
          </cell>
          <cell r="AC2321">
            <v>1</v>
          </cell>
          <cell r="AD2321" t="str">
            <v/>
          </cell>
          <cell r="AE2321">
            <v>0</v>
          </cell>
          <cell r="AF2321" t="str">
            <v/>
          </cell>
          <cell r="AG2321" t="str">
            <v>12656733</v>
          </cell>
          <cell r="AH2321">
            <v>45019.910162037035</v>
          </cell>
          <cell r="AI2321" t="str">
            <v>N52</v>
          </cell>
          <cell r="AJ2321" t="str">
            <v>F</v>
          </cell>
          <cell r="AK2321" t="str">
            <v/>
          </cell>
        </row>
        <row r="2322">
          <cell r="A2322" t="str">
            <v>12657280820541</v>
          </cell>
          <cell r="B2322" t="e">
            <v>#N/A</v>
          </cell>
          <cell r="C2322" t="e">
            <v>#N/A</v>
          </cell>
          <cell r="D2322" t="str">
            <v>EK65</v>
          </cell>
          <cell r="E2322" t="str">
            <v>726006</v>
          </cell>
          <cell r="F2322" t="str">
            <v>E</v>
          </cell>
          <cell r="G2322" t="str">
            <v>12657280</v>
          </cell>
          <cell r="H2322" t="str">
            <v>Halter</v>
          </cell>
          <cell r="I2322">
            <v>528</v>
          </cell>
          <cell r="J2322" t="str">
            <v>Stk</v>
          </cell>
          <cell r="K2322">
            <v>45162</v>
          </cell>
          <cell r="L2322" t="str">
            <v>820541</v>
          </cell>
          <cell r="M2322" t="str">
            <v/>
          </cell>
          <cell r="N2322" t="str">
            <v/>
          </cell>
          <cell r="O2322" t="str">
            <v/>
          </cell>
          <cell r="P2322" t="str">
            <v/>
          </cell>
          <cell r="Q2322" t="str">
            <v/>
          </cell>
          <cell r="R2322" t="str">
            <v/>
          </cell>
          <cell r="S2322" t="str">
            <v/>
          </cell>
          <cell r="T2322" t="str">
            <v/>
          </cell>
          <cell r="U2322" t="str">
            <v/>
          </cell>
          <cell r="V2322" t="str">
            <v>N52</v>
          </cell>
          <cell r="W2322" t="str">
            <v/>
          </cell>
          <cell r="X2322" t="str">
            <v/>
          </cell>
          <cell r="Y2322" t="str">
            <v/>
          </cell>
          <cell r="Z2322" t="str">
            <v/>
          </cell>
          <cell r="AA2322" t="str">
            <v/>
          </cell>
          <cell r="AB2322" t="str">
            <v>PA_5084546-CE.3048-3</v>
          </cell>
          <cell r="AC2322">
            <v>1</v>
          </cell>
          <cell r="AD2322" t="str">
            <v/>
          </cell>
          <cell r="AE2322">
            <v>0</v>
          </cell>
          <cell r="AF2322" t="str">
            <v/>
          </cell>
          <cell r="AG2322" t="str">
            <v>12657280</v>
          </cell>
          <cell r="AH2322">
            <v>45019.910243055558</v>
          </cell>
          <cell r="AI2322" t="str">
            <v>N52</v>
          </cell>
          <cell r="AJ2322" t="str">
            <v>F</v>
          </cell>
          <cell r="AK2322" t="str">
            <v/>
          </cell>
        </row>
        <row r="2323">
          <cell r="A2323" t="str">
            <v>12550498829052</v>
          </cell>
          <cell r="B2323" t="str">
            <v>Übergabe Task Force</v>
          </cell>
          <cell r="C2323" t="e">
            <v>#N/A</v>
          </cell>
          <cell r="D2323" t="str">
            <v>EK65</v>
          </cell>
          <cell r="E2323" t="str">
            <v>726025</v>
          </cell>
          <cell r="F2323" t="str">
            <v>E</v>
          </cell>
          <cell r="G2323" t="str">
            <v>12550498</v>
          </cell>
          <cell r="H2323" t="str">
            <v>Halter</v>
          </cell>
          <cell r="I2323">
            <v>938</v>
          </cell>
          <cell r="J2323" t="str">
            <v>Stk</v>
          </cell>
          <cell r="K2323">
            <v>45124</v>
          </cell>
          <cell r="L2323" t="str">
            <v>829052</v>
          </cell>
          <cell r="M2323" t="str">
            <v/>
          </cell>
          <cell r="N2323" t="str">
            <v/>
          </cell>
          <cell r="O2323" t="str">
            <v/>
          </cell>
          <cell r="P2323" t="str">
            <v/>
          </cell>
          <cell r="Q2323" t="str">
            <v/>
          </cell>
          <cell r="R2323" t="str">
            <v/>
          </cell>
          <cell r="S2323" t="str">
            <v/>
          </cell>
          <cell r="T2323" t="str">
            <v/>
          </cell>
          <cell r="U2323" t="str">
            <v/>
          </cell>
          <cell r="V2323" t="str">
            <v>N52</v>
          </cell>
          <cell r="W2323" t="str">
            <v/>
          </cell>
          <cell r="X2323" t="str">
            <v/>
          </cell>
          <cell r="Y2323" t="str">
            <v/>
          </cell>
          <cell r="Z2323" t="str">
            <v/>
          </cell>
          <cell r="AA2323" t="str">
            <v/>
          </cell>
          <cell r="AB2323" t="str">
            <v>PA_4386617-DC.7004-4</v>
          </cell>
          <cell r="AC2323">
            <v>1</v>
          </cell>
          <cell r="AD2323" t="str">
            <v/>
          </cell>
          <cell r="AE2323">
            <v>0</v>
          </cell>
          <cell r="AF2323" t="str">
            <v/>
          </cell>
          <cell r="AG2323" t="str">
            <v>12550498</v>
          </cell>
          <cell r="AH2323">
            <v>45020.405578703707</v>
          </cell>
          <cell r="AI2323" t="str">
            <v>N52</v>
          </cell>
          <cell r="AJ2323" t="str">
            <v>F</v>
          </cell>
          <cell r="AK2323" t="str">
            <v/>
          </cell>
        </row>
        <row r="2324">
          <cell r="A2324" t="str">
            <v>12550498829051</v>
          </cell>
          <cell r="B2324" t="str">
            <v>Übergabe Task Force</v>
          </cell>
          <cell r="C2324" t="e">
            <v>#N/A</v>
          </cell>
          <cell r="D2324" t="str">
            <v>EK65</v>
          </cell>
          <cell r="E2324" t="str">
            <v>726026</v>
          </cell>
          <cell r="F2324" t="str">
            <v>E</v>
          </cell>
          <cell r="G2324" t="str">
            <v>12550498</v>
          </cell>
          <cell r="H2324" t="str">
            <v>Halter</v>
          </cell>
          <cell r="I2324">
            <v>1200</v>
          </cell>
          <cell r="J2324" t="str">
            <v>Stk</v>
          </cell>
          <cell r="K2324">
            <v>45294</v>
          </cell>
          <cell r="L2324" t="str">
            <v>829051</v>
          </cell>
          <cell r="M2324" t="str">
            <v/>
          </cell>
          <cell r="N2324" t="str">
            <v/>
          </cell>
          <cell r="O2324" t="str">
            <v/>
          </cell>
          <cell r="P2324" t="str">
            <v/>
          </cell>
          <cell r="Q2324" t="str">
            <v/>
          </cell>
          <cell r="R2324" t="str">
            <v/>
          </cell>
          <cell r="S2324" t="str">
            <v/>
          </cell>
          <cell r="T2324" t="str">
            <v/>
          </cell>
          <cell r="U2324" t="str">
            <v/>
          </cell>
          <cell r="V2324" t="str">
            <v>N52</v>
          </cell>
          <cell r="W2324" t="str">
            <v/>
          </cell>
          <cell r="X2324" t="str">
            <v/>
          </cell>
          <cell r="Y2324" t="str">
            <v/>
          </cell>
          <cell r="Z2324" t="str">
            <v/>
          </cell>
          <cell r="AA2324" t="str">
            <v/>
          </cell>
          <cell r="AB2324" t="str">
            <v>PA_4386617-DC.7004-4</v>
          </cell>
          <cell r="AC2324">
            <v>1</v>
          </cell>
          <cell r="AD2324" t="str">
            <v/>
          </cell>
          <cell r="AE2324">
            <v>0</v>
          </cell>
          <cell r="AF2324" t="str">
            <v/>
          </cell>
          <cell r="AG2324" t="str">
            <v>12550498</v>
          </cell>
          <cell r="AH2324">
            <v>45020.405578703707</v>
          </cell>
          <cell r="AI2324" t="str">
            <v>N52</v>
          </cell>
          <cell r="AJ2324" t="str">
            <v>F</v>
          </cell>
          <cell r="AK2324" t="str">
            <v/>
          </cell>
        </row>
        <row r="2325">
          <cell r="A2325" t="str">
            <v>1394099820531</v>
          </cell>
          <cell r="B2325" t="e">
            <v>#N/A</v>
          </cell>
          <cell r="C2325" t="e">
            <v>#N/A</v>
          </cell>
          <cell r="D2325" t="str">
            <v>EK65</v>
          </cell>
          <cell r="E2325" t="str">
            <v>726028</v>
          </cell>
          <cell r="F2325" t="str">
            <v>E</v>
          </cell>
          <cell r="G2325" t="str">
            <v>1394099</v>
          </cell>
          <cell r="H2325" t="str">
            <v>Scheibe</v>
          </cell>
          <cell r="I2325">
            <v>4</v>
          </cell>
          <cell r="J2325" t="str">
            <v>Stk</v>
          </cell>
          <cell r="K2325">
            <v>45216</v>
          </cell>
          <cell r="L2325" t="str">
            <v>820531</v>
          </cell>
          <cell r="M2325" t="str">
            <v/>
          </cell>
          <cell r="N2325" t="str">
            <v/>
          </cell>
          <cell r="O2325" t="str">
            <v/>
          </cell>
          <cell r="P2325" t="str">
            <v/>
          </cell>
          <cell r="Q2325" t="str">
            <v/>
          </cell>
          <cell r="R2325" t="str">
            <v/>
          </cell>
          <cell r="S2325" t="str">
            <v/>
          </cell>
          <cell r="T2325" t="str">
            <v/>
          </cell>
          <cell r="U2325" t="str">
            <v/>
          </cell>
          <cell r="V2325" t="str">
            <v>N52</v>
          </cell>
          <cell r="W2325" t="str">
            <v/>
          </cell>
          <cell r="X2325" t="str">
            <v/>
          </cell>
          <cell r="Y2325" t="str">
            <v/>
          </cell>
          <cell r="Z2325" t="str">
            <v/>
          </cell>
          <cell r="AA2325" t="str">
            <v/>
          </cell>
          <cell r="AB2325" t="str">
            <v>PA_2314462-TD.6005-4</v>
          </cell>
          <cell r="AC2325">
            <v>1</v>
          </cell>
          <cell r="AD2325" t="str">
            <v/>
          </cell>
          <cell r="AE2325">
            <v>0</v>
          </cell>
          <cell r="AF2325" t="str">
            <v/>
          </cell>
          <cell r="AG2325" t="str">
            <v>1394099</v>
          </cell>
          <cell r="AH2325">
            <v>45020.60769675926</v>
          </cell>
          <cell r="AI2325" t="str">
            <v>N52</v>
          </cell>
          <cell r="AJ2325" t="str">
            <v>F</v>
          </cell>
          <cell r="AK2325" t="str">
            <v/>
          </cell>
        </row>
        <row r="2326">
          <cell r="A2326" t="str">
            <v>1394102820531</v>
          </cell>
          <cell r="B2326" t="e">
            <v>#N/A</v>
          </cell>
          <cell r="C2326" t="e">
            <v>#N/A</v>
          </cell>
          <cell r="D2326" t="str">
            <v>EK65</v>
          </cell>
          <cell r="E2326" t="str">
            <v>726030</v>
          </cell>
          <cell r="F2326" t="str">
            <v>E</v>
          </cell>
          <cell r="G2326" t="str">
            <v>1394102</v>
          </cell>
          <cell r="H2326" t="str">
            <v>Beilage</v>
          </cell>
          <cell r="I2326">
            <v>4</v>
          </cell>
          <cell r="J2326" t="str">
            <v>Stk</v>
          </cell>
          <cell r="K2326">
            <v>45216</v>
          </cell>
          <cell r="L2326" t="str">
            <v>820531</v>
          </cell>
          <cell r="M2326" t="str">
            <v/>
          </cell>
          <cell r="N2326" t="str">
            <v/>
          </cell>
          <cell r="O2326" t="str">
            <v/>
          </cell>
          <cell r="P2326" t="str">
            <v/>
          </cell>
          <cell r="Q2326" t="str">
            <v/>
          </cell>
          <cell r="R2326" t="str">
            <v/>
          </cell>
          <cell r="S2326" t="str">
            <v/>
          </cell>
          <cell r="T2326" t="str">
            <v/>
          </cell>
          <cell r="U2326" t="str">
            <v/>
          </cell>
          <cell r="V2326" t="str">
            <v>N52</v>
          </cell>
          <cell r="W2326" t="str">
            <v/>
          </cell>
          <cell r="X2326" t="str">
            <v/>
          </cell>
          <cell r="Y2326" t="str">
            <v/>
          </cell>
          <cell r="Z2326" t="str">
            <v/>
          </cell>
          <cell r="AA2326" t="str">
            <v/>
          </cell>
          <cell r="AB2326" t="str">
            <v>PA_2314477-TD.6005-4P.1</v>
          </cell>
          <cell r="AC2326">
            <v>1</v>
          </cell>
          <cell r="AD2326" t="str">
            <v/>
          </cell>
          <cell r="AE2326">
            <v>0</v>
          </cell>
          <cell r="AF2326" t="str">
            <v/>
          </cell>
          <cell r="AG2326" t="str">
            <v>1394102</v>
          </cell>
          <cell r="AH2326">
            <v>45020.609814814816</v>
          </cell>
          <cell r="AI2326" t="str">
            <v>N52</v>
          </cell>
          <cell r="AJ2326" t="str">
            <v>F</v>
          </cell>
          <cell r="AK2326" t="str">
            <v/>
          </cell>
        </row>
        <row r="2327">
          <cell r="A2327" t="str">
            <v>1394113820531</v>
          </cell>
          <cell r="B2327" t="e">
            <v>#N/A</v>
          </cell>
          <cell r="C2327" t="e">
            <v>#N/A</v>
          </cell>
          <cell r="D2327" t="str">
            <v>EK65</v>
          </cell>
          <cell r="E2327" t="str">
            <v>726031</v>
          </cell>
          <cell r="F2327" t="str">
            <v>E</v>
          </cell>
          <cell r="G2327" t="str">
            <v>1394113</v>
          </cell>
          <cell r="H2327" t="str">
            <v>Beilage</v>
          </cell>
          <cell r="I2327">
            <v>4</v>
          </cell>
          <cell r="J2327" t="str">
            <v>Stk</v>
          </cell>
          <cell r="K2327">
            <v>45216</v>
          </cell>
          <cell r="L2327" t="str">
            <v>820531</v>
          </cell>
          <cell r="M2327" t="str">
            <v/>
          </cell>
          <cell r="N2327" t="str">
            <v/>
          </cell>
          <cell r="O2327" t="str">
            <v/>
          </cell>
          <cell r="P2327" t="str">
            <v/>
          </cell>
          <cell r="Q2327" t="str">
            <v/>
          </cell>
          <cell r="R2327" t="str">
            <v/>
          </cell>
          <cell r="S2327" t="str">
            <v/>
          </cell>
          <cell r="T2327" t="str">
            <v/>
          </cell>
          <cell r="U2327" t="str">
            <v/>
          </cell>
          <cell r="V2327" t="str">
            <v>N52</v>
          </cell>
          <cell r="W2327" t="str">
            <v/>
          </cell>
          <cell r="X2327" t="str">
            <v/>
          </cell>
          <cell r="Y2327" t="str">
            <v/>
          </cell>
          <cell r="Z2327" t="str">
            <v/>
          </cell>
          <cell r="AA2327" t="str">
            <v/>
          </cell>
          <cell r="AB2327" t="str">
            <v>PA_2314477-TD.6005-4P.2</v>
          </cell>
          <cell r="AC2327">
            <v>1</v>
          </cell>
          <cell r="AD2327" t="str">
            <v/>
          </cell>
          <cell r="AE2327">
            <v>0</v>
          </cell>
          <cell r="AF2327" t="str">
            <v/>
          </cell>
          <cell r="AG2327" t="str">
            <v>1394113</v>
          </cell>
          <cell r="AH2327">
            <v>45020.612013888887</v>
          </cell>
          <cell r="AI2327" t="str">
            <v>N52</v>
          </cell>
          <cell r="AJ2327" t="str">
            <v>F</v>
          </cell>
          <cell r="AK2327" t="str">
            <v/>
          </cell>
        </row>
        <row r="2328">
          <cell r="A2328" t="str">
            <v>12509789829052</v>
          </cell>
          <cell r="B2328" t="e">
            <v>#N/A</v>
          </cell>
          <cell r="C2328">
            <v>18</v>
          </cell>
          <cell r="D2328" t="str">
            <v>EK65</v>
          </cell>
          <cell r="E2328" t="str">
            <v>726035</v>
          </cell>
          <cell r="F2328" t="str">
            <v>E</v>
          </cell>
          <cell r="G2328" t="str">
            <v>12509789</v>
          </cell>
          <cell r="H2328" t="str">
            <v>Hinterlage</v>
          </cell>
          <cell r="I2328">
            <v>1448</v>
          </cell>
          <cell r="J2328" t="str">
            <v>Stk</v>
          </cell>
          <cell r="K2328">
            <v>45363</v>
          </cell>
          <cell r="L2328" t="str">
            <v>829052</v>
          </cell>
          <cell r="M2328" t="str">
            <v/>
          </cell>
          <cell r="N2328" t="str">
            <v/>
          </cell>
          <cell r="O2328" t="str">
            <v/>
          </cell>
          <cell r="P2328" t="str">
            <v/>
          </cell>
          <cell r="Q2328" t="str">
            <v/>
          </cell>
          <cell r="R2328" t="str">
            <v/>
          </cell>
          <cell r="S2328" t="str">
            <v/>
          </cell>
          <cell r="T2328" t="str">
            <v/>
          </cell>
          <cell r="U2328" t="str">
            <v/>
          </cell>
          <cell r="V2328" t="str">
            <v>N52</v>
          </cell>
          <cell r="W2328" t="str">
            <v/>
          </cell>
          <cell r="X2328" t="str">
            <v/>
          </cell>
          <cell r="Y2328" t="str">
            <v/>
          </cell>
          <cell r="Z2328" t="str">
            <v/>
          </cell>
          <cell r="AA2328" t="str">
            <v/>
          </cell>
          <cell r="AB2328" t="str">
            <v>PA_4477750-DC.7005-4</v>
          </cell>
          <cell r="AC2328">
            <v>4</v>
          </cell>
          <cell r="AD2328" t="str">
            <v/>
          </cell>
          <cell r="AE2328">
            <v>0</v>
          </cell>
          <cell r="AF2328" t="str">
            <v/>
          </cell>
          <cell r="AG2328" t="str">
            <v>12509789</v>
          </cell>
          <cell r="AH2328">
            <v>45020.657824074071</v>
          </cell>
          <cell r="AI2328" t="str">
            <v>N52</v>
          </cell>
          <cell r="AJ2328" t="str">
            <v>F</v>
          </cell>
          <cell r="AK2328" t="str">
            <v/>
          </cell>
        </row>
        <row r="2329">
          <cell r="A2329" t="str">
            <v>12553165829052</v>
          </cell>
          <cell r="B2329" t="e">
            <v>#N/A</v>
          </cell>
          <cell r="C2329">
            <v>6</v>
          </cell>
          <cell r="D2329" t="str">
            <v>EK65</v>
          </cell>
          <cell r="E2329" t="str">
            <v>726036</v>
          </cell>
          <cell r="F2329" t="str">
            <v>E</v>
          </cell>
          <cell r="G2329" t="str">
            <v>12553165</v>
          </cell>
          <cell r="H2329" t="str">
            <v>Winkel sp.g.</v>
          </cell>
          <cell r="I2329">
            <v>64</v>
          </cell>
          <cell r="J2329" t="str">
            <v>Stk</v>
          </cell>
          <cell r="K2329">
            <v>45359</v>
          </cell>
          <cell r="L2329" t="str">
            <v>829052</v>
          </cell>
          <cell r="M2329" t="str">
            <v/>
          </cell>
          <cell r="N2329" t="str">
            <v/>
          </cell>
          <cell r="O2329" t="str">
            <v/>
          </cell>
          <cell r="P2329" t="str">
            <v/>
          </cell>
          <cell r="Q2329" t="str">
            <v/>
          </cell>
          <cell r="R2329" t="str">
            <v/>
          </cell>
          <cell r="S2329" t="str">
            <v/>
          </cell>
          <cell r="T2329" t="str">
            <v/>
          </cell>
          <cell r="U2329" t="str">
            <v/>
          </cell>
          <cell r="V2329" t="str">
            <v>N52</v>
          </cell>
          <cell r="W2329" t="str">
            <v/>
          </cell>
          <cell r="X2329" t="str">
            <v/>
          </cell>
          <cell r="Y2329" t="str">
            <v/>
          </cell>
          <cell r="Z2329" t="str">
            <v/>
          </cell>
          <cell r="AA2329" t="str">
            <v/>
          </cell>
          <cell r="AB2329" t="str">
            <v>PA_4413570-DC.7004-3</v>
          </cell>
          <cell r="AC2329">
            <v>1</v>
          </cell>
          <cell r="AD2329" t="str">
            <v/>
          </cell>
          <cell r="AE2329">
            <v>0</v>
          </cell>
          <cell r="AF2329" t="str">
            <v/>
          </cell>
          <cell r="AG2329" t="str">
            <v>12553165</v>
          </cell>
          <cell r="AH2329">
            <v>45020.660856481481</v>
          </cell>
          <cell r="AI2329" t="str">
            <v>N52</v>
          </cell>
          <cell r="AJ2329" t="str">
            <v>F</v>
          </cell>
          <cell r="AK2329" t="str">
            <v/>
          </cell>
        </row>
        <row r="2330">
          <cell r="A2330" t="str">
            <v>0418116</v>
          </cell>
          <cell r="B2330" t="e">
            <v>#N/A</v>
          </cell>
          <cell r="C2330" t="e">
            <v>#N/A</v>
          </cell>
          <cell r="D2330" t="str">
            <v>EK65</v>
          </cell>
          <cell r="E2330" t="str">
            <v>726041</v>
          </cell>
          <cell r="F2330" t="str">
            <v>B</v>
          </cell>
          <cell r="G2330" t="str">
            <v>0418116</v>
          </cell>
          <cell r="H2330" t="str">
            <v>Ausgleichsplatte</v>
          </cell>
          <cell r="I2330">
            <v>10</v>
          </cell>
          <cell r="J2330" t="str">
            <v>Stk</v>
          </cell>
          <cell r="K2330">
            <v>45022</v>
          </cell>
          <cell r="L2330" t="str">
            <v/>
          </cell>
          <cell r="M2330" t="str">
            <v/>
          </cell>
          <cell r="N2330" t="str">
            <v/>
          </cell>
          <cell r="O2330" t="str">
            <v/>
          </cell>
          <cell r="P2330" t="str">
            <v/>
          </cell>
          <cell r="Q2330" t="str">
            <v/>
          </cell>
          <cell r="R2330" t="str">
            <v/>
          </cell>
          <cell r="S2330" t="str">
            <v/>
          </cell>
          <cell r="T2330" t="str">
            <v/>
          </cell>
          <cell r="U2330" t="str">
            <v/>
          </cell>
          <cell r="V2330" t="str">
            <v>N32</v>
          </cell>
          <cell r="W2330" t="str">
            <v/>
          </cell>
          <cell r="X2330" t="str">
            <v/>
          </cell>
          <cell r="Y2330" t="str">
            <v/>
          </cell>
          <cell r="Z2330" t="str">
            <v/>
          </cell>
          <cell r="AA2330" t="str">
            <v/>
          </cell>
          <cell r="AB2330" t="str">
            <v>PA_2186430-BG.7500-3P.4</v>
          </cell>
          <cell r="AC2330">
            <v>4</v>
          </cell>
          <cell r="AD2330" t="str">
            <v/>
          </cell>
          <cell r="AE2330">
            <v>0</v>
          </cell>
          <cell r="AF2330" t="str">
            <v/>
          </cell>
          <cell r="AG2330" t="str">
            <v>0418116</v>
          </cell>
          <cell r="AH2330">
            <v>45020.834004629629</v>
          </cell>
          <cell r="AI2330" t="str">
            <v>N32</v>
          </cell>
          <cell r="AJ2330" t="str">
            <v>F</v>
          </cell>
          <cell r="AK2330" t="str">
            <v>B</v>
          </cell>
        </row>
        <row r="2331">
          <cell r="A2331" t="str">
            <v>2472654</v>
          </cell>
          <cell r="B2331" t="e">
            <v>#N/A</v>
          </cell>
          <cell r="C2331" t="e">
            <v>#N/A</v>
          </cell>
          <cell r="D2331" t="str">
            <v>EK65</v>
          </cell>
          <cell r="E2331" t="str">
            <v>726094</v>
          </cell>
          <cell r="F2331" t="str">
            <v>B</v>
          </cell>
          <cell r="G2331" t="str">
            <v>2472654</v>
          </cell>
          <cell r="H2331" t="str">
            <v>Distanzhuelse</v>
          </cell>
          <cell r="I2331">
            <v>76</v>
          </cell>
          <cell r="J2331" t="str">
            <v>Stk</v>
          </cell>
          <cell r="K2331">
            <v>45022</v>
          </cell>
          <cell r="L2331" t="str">
            <v/>
          </cell>
          <cell r="M2331" t="str">
            <v/>
          </cell>
          <cell r="N2331" t="str">
            <v/>
          </cell>
          <cell r="O2331" t="str">
            <v/>
          </cell>
          <cell r="P2331" t="str">
            <v/>
          </cell>
          <cell r="Q2331" t="str">
            <v/>
          </cell>
          <cell r="R2331" t="str">
            <v/>
          </cell>
          <cell r="S2331" t="str">
            <v/>
          </cell>
          <cell r="T2331" t="str">
            <v/>
          </cell>
          <cell r="U2331" t="str">
            <v/>
          </cell>
          <cell r="V2331" t="str">
            <v>N52</v>
          </cell>
          <cell r="W2331" t="str">
            <v/>
          </cell>
          <cell r="X2331" t="str">
            <v/>
          </cell>
          <cell r="Y2331" t="str">
            <v/>
          </cell>
          <cell r="Z2331" t="str">
            <v/>
          </cell>
          <cell r="AA2331" t="str">
            <v/>
          </cell>
          <cell r="AB2331" t="str">
            <v>PA_2195456-CE.7500-4</v>
          </cell>
          <cell r="AC2331">
            <v>4</v>
          </cell>
          <cell r="AD2331" t="str">
            <v/>
          </cell>
          <cell r="AE2331">
            <v>0</v>
          </cell>
          <cell r="AF2331" t="str">
            <v/>
          </cell>
          <cell r="AG2331" t="str">
            <v>2472654</v>
          </cell>
          <cell r="AH2331">
            <v>45020.836238425924</v>
          </cell>
          <cell r="AI2331" t="str">
            <v>N52</v>
          </cell>
          <cell r="AJ2331" t="str">
            <v>F</v>
          </cell>
          <cell r="AK2331" t="str">
            <v>A</v>
          </cell>
        </row>
        <row r="2332">
          <cell r="A2332" t="str">
            <v>1394135820531</v>
          </cell>
          <cell r="B2332" t="e">
            <v>#N/A</v>
          </cell>
          <cell r="C2332" t="e">
            <v>#N/A</v>
          </cell>
          <cell r="D2332" t="str">
            <v>EK65</v>
          </cell>
          <cell r="E2332" t="str">
            <v>726266</v>
          </cell>
          <cell r="F2332" t="str">
            <v>E</v>
          </cell>
          <cell r="G2332" t="str">
            <v>1394135</v>
          </cell>
          <cell r="H2332" t="str">
            <v>Beilage</v>
          </cell>
          <cell r="I2332">
            <v>4</v>
          </cell>
          <cell r="J2332" t="str">
            <v>Stk</v>
          </cell>
          <cell r="K2332">
            <v>45216</v>
          </cell>
          <cell r="L2332" t="str">
            <v>820531</v>
          </cell>
          <cell r="M2332" t="str">
            <v/>
          </cell>
          <cell r="N2332" t="str">
            <v/>
          </cell>
          <cell r="O2332" t="str">
            <v/>
          </cell>
          <cell r="P2332" t="str">
            <v/>
          </cell>
          <cell r="Q2332" t="str">
            <v/>
          </cell>
          <cell r="R2332" t="str">
            <v/>
          </cell>
          <cell r="S2332" t="str">
            <v/>
          </cell>
          <cell r="T2332" t="str">
            <v/>
          </cell>
          <cell r="U2332" t="str">
            <v/>
          </cell>
          <cell r="V2332" t="str">
            <v>N52</v>
          </cell>
          <cell r="W2332" t="str">
            <v/>
          </cell>
          <cell r="X2332" t="str">
            <v/>
          </cell>
          <cell r="Y2332" t="str">
            <v/>
          </cell>
          <cell r="Z2332" t="str">
            <v/>
          </cell>
          <cell r="AA2332" t="str">
            <v/>
          </cell>
          <cell r="AB2332" t="str">
            <v>PA_2314477-TD.6005-4P.4</v>
          </cell>
          <cell r="AC2332">
            <v>1</v>
          </cell>
          <cell r="AD2332" t="str">
            <v/>
          </cell>
          <cell r="AE2332">
            <v>0</v>
          </cell>
          <cell r="AF2332" t="str">
            <v/>
          </cell>
          <cell r="AG2332" t="str">
            <v>1394135</v>
          </cell>
          <cell r="AH2332">
            <v>45020.884155092594</v>
          </cell>
          <cell r="AI2332" t="str">
            <v>N52</v>
          </cell>
          <cell r="AJ2332" t="str">
            <v>F</v>
          </cell>
          <cell r="AK2332" t="str">
            <v/>
          </cell>
        </row>
        <row r="2333">
          <cell r="A2333" t="str">
            <v>2584175820531</v>
          </cell>
          <cell r="B2333" t="e">
            <v>#N/A</v>
          </cell>
          <cell r="C2333" t="e">
            <v>#N/A</v>
          </cell>
          <cell r="D2333" t="str">
            <v>EK65</v>
          </cell>
          <cell r="E2333" t="str">
            <v>726276</v>
          </cell>
          <cell r="F2333" t="str">
            <v>E</v>
          </cell>
          <cell r="G2333" t="str">
            <v>2584175</v>
          </cell>
          <cell r="H2333" t="str">
            <v>Blechteil</v>
          </cell>
          <cell r="I2333">
            <v>2</v>
          </cell>
          <cell r="J2333" t="str">
            <v>Stk</v>
          </cell>
          <cell r="K2333">
            <v>45216</v>
          </cell>
          <cell r="L2333" t="str">
            <v>820531</v>
          </cell>
          <cell r="M2333" t="str">
            <v/>
          </cell>
          <cell r="N2333" t="str">
            <v/>
          </cell>
          <cell r="O2333" t="str">
            <v/>
          </cell>
          <cell r="P2333" t="str">
            <v/>
          </cell>
          <cell r="Q2333" t="str">
            <v/>
          </cell>
          <cell r="R2333" t="str">
            <v/>
          </cell>
          <cell r="S2333" t="str">
            <v/>
          </cell>
          <cell r="T2333" t="str">
            <v/>
          </cell>
          <cell r="U2333" t="str">
            <v/>
          </cell>
          <cell r="V2333" t="str">
            <v>N52</v>
          </cell>
          <cell r="W2333" t="str">
            <v/>
          </cell>
          <cell r="X2333" t="str">
            <v/>
          </cell>
          <cell r="Y2333" t="str">
            <v/>
          </cell>
          <cell r="Z2333" t="str">
            <v/>
          </cell>
          <cell r="AA2333" t="str">
            <v/>
          </cell>
          <cell r="AB2333" t="str">
            <v>PA_2260547-CC.3044-3</v>
          </cell>
          <cell r="AC2333">
            <v>1</v>
          </cell>
          <cell r="AD2333" t="str">
            <v/>
          </cell>
          <cell r="AE2333">
            <v>0</v>
          </cell>
          <cell r="AF2333" t="str">
            <v/>
          </cell>
          <cell r="AG2333" t="str">
            <v>2584175</v>
          </cell>
          <cell r="AH2333">
            <v>45020.889097222222</v>
          </cell>
          <cell r="AI2333" t="str">
            <v>N52</v>
          </cell>
          <cell r="AJ2333" t="str">
            <v>F</v>
          </cell>
          <cell r="AK2333" t="str">
            <v/>
          </cell>
        </row>
        <row r="2334">
          <cell r="A2334" t="str">
            <v>0724940820541</v>
          </cell>
          <cell r="B2334" t="e">
            <v>#N/A</v>
          </cell>
          <cell r="C2334" t="e">
            <v>#N/A</v>
          </cell>
          <cell r="D2334" t="str">
            <v>EK65</v>
          </cell>
          <cell r="E2334" t="str">
            <v>726743</v>
          </cell>
          <cell r="F2334" t="str">
            <v>E</v>
          </cell>
          <cell r="G2334" t="str">
            <v>0724940</v>
          </cell>
          <cell r="H2334" t="str">
            <v>Dehnhuelse</v>
          </cell>
          <cell r="I2334">
            <v>180</v>
          </cell>
          <cell r="J2334" t="str">
            <v>Stk</v>
          </cell>
          <cell r="K2334">
            <v>45166</v>
          </cell>
          <cell r="L2334" t="str">
            <v>820541</v>
          </cell>
          <cell r="M2334" t="str">
            <v/>
          </cell>
          <cell r="N2334" t="str">
            <v/>
          </cell>
          <cell r="O2334" t="str">
            <v/>
          </cell>
          <cell r="P2334" t="str">
            <v/>
          </cell>
          <cell r="Q2334" t="str">
            <v/>
          </cell>
          <cell r="R2334" t="str">
            <v/>
          </cell>
          <cell r="S2334" t="str">
            <v/>
          </cell>
          <cell r="T2334" t="str">
            <v/>
          </cell>
          <cell r="U2334" t="str">
            <v/>
          </cell>
          <cell r="V2334" t="str">
            <v>N52</v>
          </cell>
          <cell r="W2334" t="str">
            <v/>
          </cell>
          <cell r="X2334" t="str">
            <v/>
          </cell>
          <cell r="Y2334" t="str">
            <v/>
          </cell>
          <cell r="Z2334" t="str">
            <v/>
          </cell>
          <cell r="AA2334" t="str">
            <v/>
          </cell>
          <cell r="AB2334" t="str">
            <v>PA_2184289-NA.3034-4</v>
          </cell>
          <cell r="AC2334">
            <v>1</v>
          </cell>
          <cell r="AD2334" t="str">
            <v/>
          </cell>
          <cell r="AE2334">
            <v>0</v>
          </cell>
          <cell r="AF2334" t="str">
            <v/>
          </cell>
          <cell r="AG2334" t="str">
            <v>0724940</v>
          </cell>
          <cell r="AH2334">
            <v>45020.907581018517</v>
          </cell>
          <cell r="AI2334" t="str">
            <v>N52</v>
          </cell>
          <cell r="AJ2334" t="str">
            <v>F</v>
          </cell>
          <cell r="AK2334" t="str">
            <v/>
          </cell>
        </row>
        <row r="2335">
          <cell r="A2335" t="str">
            <v>0734101820541</v>
          </cell>
          <cell r="B2335" t="e">
            <v>#N/A</v>
          </cell>
          <cell r="C2335" t="e">
            <v>#N/A</v>
          </cell>
          <cell r="D2335" t="str">
            <v>EK65</v>
          </cell>
          <cell r="E2335" t="str">
            <v>726744</v>
          </cell>
          <cell r="F2335" t="str">
            <v>E</v>
          </cell>
          <cell r="G2335" t="str">
            <v>0734101</v>
          </cell>
          <cell r="H2335" t="str">
            <v>Halter vollst.</v>
          </cell>
          <cell r="I2335">
            <v>60</v>
          </cell>
          <cell r="J2335" t="str">
            <v>Stk</v>
          </cell>
          <cell r="K2335">
            <v>45167</v>
          </cell>
          <cell r="L2335" t="str">
            <v>820541</v>
          </cell>
          <cell r="M2335" t="str">
            <v/>
          </cell>
          <cell r="N2335" t="str">
            <v/>
          </cell>
          <cell r="O2335" t="str">
            <v/>
          </cell>
          <cell r="P2335" t="str">
            <v/>
          </cell>
          <cell r="Q2335" t="str">
            <v/>
          </cell>
          <cell r="R2335" t="str">
            <v/>
          </cell>
          <cell r="S2335" t="str">
            <v/>
          </cell>
          <cell r="T2335" t="str">
            <v/>
          </cell>
          <cell r="U2335" t="str">
            <v/>
          </cell>
          <cell r="V2335" t="str">
            <v>N32</v>
          </cell>
          <cell r="W2335" t="str">
            <v>3.1</v>
          </cell>
          <cell r="X2335" t="str">
            <v/>
          </cell>
          <cell r="Y2335" t="str">
            <v/>
          </cell>
          <cell r="Z2335" t="str">
            <v/>
          </cell>
          <cell r="AA2335" t="str">
            <v/>
          </cell>
          <cell r="AB2335" t="str">
            <v>PA_2189577-DD.3034-4</v>
          </cell>
          <cell r="AC2335">
            <v>1</v>
          </cell>
          <cell r="AD2335" t="str">
            <v/>
          </cell>
          <cell r="AE2335">
            <v>0</v>
          </cell>
          <cell r="AF2335" t="str">
            <v/>
          </cell>
          <cell r="AG2335" t="str">
            <v>0734101</v>
          </cell>
          <cell r="AH2335">
            <v>45020.90766203704</v>
          </cell>
          <cell r="AI2335" t="str">
            <v>N32</v>
          </cell>
          <cell r="AJ2335" t="str">
            <v>F</v>
          </cell>
          <cell r="AK2335" t="str">
            <v/>
          </cell>
        </row>
        <row r="2336">
          <cell r="A2336" t="str">
            <v>0734736820541</v>
          </cell>
          <cell r="B2336" t="e">
            <v>#N/A</v>
          </cell>
          <cell r="C2336" t="e">
            <v>#N/A</v>
          </cell>
          <cell r="D2336" t="str">
            <v>EK65</v>
          </cell>
          <cell r="E2336" t="str">
            <v>726745</v>
          </cell>
          <cell r="F2336" t="str">
            <v>E</v>
          </cell>
          <cell r="G2336" t="str">
            <v>0734736</v>
          </cell>
          <cell r="H2336" t="str">
            <v>Halter vollst.</v>
          </cell>
          <cell r="I2336">
            <v>45</v>
          </cell>
          <cell r="J2336" t="str">
            <v>Stk</v>
          </cell>
          <cell r="K2336">
            <v>45167</v>
          </cell>
          <cell r="L2336" t="str">
            <v>820541</v>
          </cell>
          <cell r="M2336" t="str">
            <v/>
          </cell>
          <cell r="N2336" t="str">
            <v/>
          </cell>
          <cell r="O2336" t="str">
            <v/>
          </cell>
          <cell r="P2336" t="str">
            <v/>
          </cell>
          <cell r="Q2336" t="str">
            <v/>
          </cell>
          <cell r="R2336" t="str">
            <v/>
          </cell>
          <cell r="S2336" t="str">
            <v/>
          </cell>
          <cell r="T2336" t="str">
            <v/>
          </cell>
          <cell r="U2336" t="str">
            <v/>
          </cell>
          <cell r="V2336" t="str">
            <v>N32</v>
          </cell>
          <cell r="W2336" t="str">
            <v/>
          </cell>
          <cell r="X2336" t="str">
            <v/>
          </cell>
          <cell r="Y2336" t="str">
            <v/>
          </cell>
          <cell r="Z2336" t="str">
            <v/>
          </cell>
          <cell r="AA2336" t="str">
            <v/>
          </cell>
          <cell r="AB2336" t="str">
            <v>PA_2190583-DD.3034-4</v>
          </cell>
          <cell r="AC2336">
            <v>1</v>
          </cell>
          <cell r="AD2336" t="str">
            <v/>
          </cell>
          <cell r="AE2336">
            <v>0</v>
          </cell>
          <cell r="AF2336" t="str">
            <v/>
          </cell>
          <cell r="AG2336" t="str">
            <v>0734736</v>
          </cell>
          <cell r="AH2336">
            <v>45020.907673611109</v>
          </cell>
          <cell r="AI2336" t="str">
            <v>N32</v>
          </cell>
          <cell r="AJ2336" t="str">
            <v>F</v>
          </cell>
          <cell r="AK2336" t="str">
            <v/>
          </cell>
        </row>
        <row r="2337">
          <cell r="A2337" t="str">
            <v>12641143820541</v>
          </cell>
          <cell r="B2337" t="e">
            <v>#N/A</v>
          </cell>
          <cell r="C2337" t="e">
            <v>#N/A</v>
          </cell>
          <cell r="D2337" t="str">
            <v>EK65</v>
          </cell>
          <cell r="E2337" t="str">
            <v>726770</v>
          </cell>
          <cell r="F2337" t="str">
            <v>E</v>
          </cell>
          <cell r="G2337" t="str">
            <v>12641143</v>
          </cell>
          <cell r="H2337" t="str">
            <v>Halter</v>
          </cell>
          <cell r="I2337">
            <v>15</v>
          </cell>
          <cell r="J2337" t="str">
            <v>Stk</v>
          </cell>
          <cell r="K2337">
            <v>45167</v>
          </cell>
          <cell r="L2337" t="str">
            <v>820541</v>
          </cell>
          <cell r="M2337" t="str">
            <v/>
          </cell>
          <cell r="N2337" t="str">
            <v/>
          </cell>
          <cell r="O2337" t="str">
            <v/>
          </cell>
          <cell r="P2337" t="str">
            <v/>
          </cell>
          <cell r="Q2337" t="str">
            <v/>
          </cell>
          <cell r="R2337" t="str">
            <v/>
          </cell>
          <cell r="S2337" t="str">
            <v/>
          </cell>
          <cell r="T2337" t="str">
            <v/>
          </cell>
          <cell r="U2337" t="str">
            <v/>
          </cell>
          <cell r="V2337" t="str">
            <v>N52</v>
          </cell>
          <cell r="W2337" t="str">
            <v/>
          </cell>
          <cell r="X2337" t="str">
            <v/>
          </cell>
          <cell r="Y2337" t="str">
            <v/>
          </cell>
          <cell r="Z2337" t="str">
            <v/>
          </cell>
          <cell r="AA2337" t="str">
            <v/>
          </cell>
          <cell r="AB2337" t="str">
            <v>PA_4824178-DD.3048-4</v>
          </cell>
          <cell r="AC2337">
            <v>1</v>
          </cell>
          <cell r="AD2337" t="str">
            <v/>
          </cell>
          <cell r="AE2337">
            <v>0</v>
          </cell>
          <cell r="AF2337" t="str">
            <v/>
          </cell>
          <cell r="AG2337" t="str">
            <v>12641143</v>
          </cell>
          <cell r="AH2337">
            <v>45020.910312499997</v>
          </cell>
          <cell r="AI2337" t="str">
            <v>N52</v>
          </cell>
          <cell r="AJ2337" t="str">
            <v>F</v>
          </cell>
          <cell r="AK2337" t="str">
            <v/>
          </cell>
        </row>
        <row r="2338">
          <cell r="A2338" t="str">
            <v>12651777820541</v>
          </cell>
          <cell r="B2338" t="e">
            <v>#N/A</v>
          </cell>
          <cell r="C2338" t="e">
            <v>#N/A</v>
          </cell>
          <cell r="D2338" t="str">
            <v>EK65</v>
          </cell>
          <cell r="E2338" t="str">
            <v>726774</v>
          </cell>
          <cell r="F2338" t="str">
            <v>E</v>
          </cell>
          <cell r="G2338" t="str">
            <v>12651777</v>
          </cell>
          <cell r="H2338" t="str">
            <v>Halter vollst.</v>
          </cell>
          <cell r="I2338">
            <v>5</v>
          </cell>
          <cell r="J2338" t="str">
            <v>Stk</v>
          </cell>
          <cell r="K2338">
            <v>45167</v>
          </cell>
          <cell r="L2338" t="str">
            <v>820541</v>
          </cell>
          <cell r="M2338" t="str">
            <v/>
          </cell>
          <cell r="N2338" t="str">
            <v/>
          </cell>
          <cell r="O2338" t="str">
            <v/>
          </cell>
          <cell r="P2338" t="str">
            <v/>
          </cell>
          <cell r="Q2338" t="str">
            <v/>
          </cell>
          <cell r="R2338" t="str">
            <v/>
          </cell>
          <cell r="S2338" t="str">
            <v/>
          </cell>
          <cell r="T2338" t="str">
            <v/>
          </cell>
          <cell r="U2338" t="str">
            <v/>
          </cell>
          <cell r="V2338" t="str">
            <v>N38</v>
          </cell>
          <cell r="W2338" t="str">
            <v/>
          </cell>
          <cell r="X2338" t="str">
            <v/>
          </cell>
          <cell r="Y2338" t="str">
            <v/>
          </cell>
          <cell r="Z2338" t="str">
            <v/>
          </cell>
          <cell r="AA2338" t="str">
            <v/>
          </cell>
          <cell r="AB2338" t="str">
            <v>PA_5196792-DD.3048-4</v>
          </cell>
          <cell r="AC2338">
            <v>1</v>
          </cell>
          <cell r="AD2338" t="str">
            <v/>
          </cell>
          <cell r="AE2338">
            <v>0</v>
          </cell>
          <cell r="AF2338" t="str">
            <v/>
          </cell>
          <cell r="AG2338" t="str">
            <v>12651777</v>
          </cell>
          <cell r="AH2338">
            <v>45020.910439814812</v>
          </cell>
          <cell r="AI2338" t="str">
            <v>N38</v>
          </cell>
          <cell r="AJ2338" t="str">
            <v>F</v>
          </cell>
          <cell r="AK2338" t="str">
            <v/>
          </cell>
        </row>
        <row r="2339">
          <cell r="A2339" t="str">
            <v>12657908820541</v>
          </cell>
          <cell r="B2339" t="e">
            <v>#N/A</v>
          </cell>
          <cell r="C2339" t="e">
            <v>#N/A</v>
          </cell>
          <cell r="D2339" t="str">
            <v>EK65</v>
          </cell>
          <cell r="E2339" t="str">
            <v>726775</v>
          </cell>
          <cell r="F2339" t="str">
            <v>E</v>
          </cell>
          <cell r="G2339" t="str">
            <v>12657908</v>
          </cell>
          <cell r="H2339" t="str">
            <v>Halter komplett</v>
          </cell>
          <cell r="I2339">
            <v>15</v>
          </cell>
          <cell r="J2339" t="str">
            <v>Stk</v>
          </cell>
          <cell r="K2339">
            <v>45167</v>
          </cell>
          <cell r="L2339" t="str">
            <v>820541</v>
          </cell>
          <cell r="M2339" t="str">
            <v/>
          </cell>
          <cell r="N2339" t="str">
            <v/>
          </cell>
          <cell r="O2339" t="str">
            <v/>
          </cell>
          <cell r="P2339" t="str">
            <v/>
          </cell>
          <cell r="Q2339" t="str">
            <v/>
          </cell>
          <cell r="R2339" t="str">
            <v/>
          </cell>
          <cell r="S2339" t="str">
            <v/>
          </cell>
          <cell r="T2339" t="str">
            <v/>
          </cell>
          <cell r="U2339" t="str">
            <v/>
          </cell>
          <cell r="V2339" t="str">
            <v>N38</v>
          </cell>
          <cell r="W2339" t="str">
            <v/>
          </cell>
          <cell r="X2339" t="str">
            <v/>
          </cell>
          <cell r="Y2339" t="str">
            <v/>
          </cell>
          <cell r="Z2339" t="str">
            <v/>
          </cell>
          <cell r="AA2339" t="str">
            <v/>
          </cell>
          <cell r="AB2339" t="str">
            <v>PA_5107384-LA.3048-4</v>
          </cell>
          <cell r="AC2339">
            <v>1</v>
          </cell>
          <cell r="AD2339" t="str">
            <v/>
          </cell>
          <cell r="AE2339">
            <v>0</v>
          </cell>
          <cell r="AF2339" t="str">
            <v/>
          </cell>
          <cell r="AG2339" t="str">
            <v>12657908</v>
          </cell>
          <cell r="AH2339">
            <v>45020.910578703704</v>
          </cell>
          <cell r="AI2339" t="str">
            <v>N38</v>
          </cell>
          <cell r="AJ2339" t="str">
            <v>F</v>
          </cell>
          <cell r="AK2339" t="str">
            <v/>
          </cell>
        </row>
        <row r="2340">
          <cell r="A2340" t="str">
            <v>12662514820541</v>
          </cell>
          <cell r="B2340" t="e">
            <v>#N/A</v>
          </cell>
          <cell r="C2340" t="e">
            <v>#N/A</v>
          </cell>
          <cell r="D2340" t="str">
            <v>EK65</v>
          </cell>
          <cell r="E2340" t="str">
            <v>726776</v>
          </cell>
          <cell r="F2340" t="str">
            <v>E</v>
          </cell>
          <cell r="G2340" t="str">
            <v>12662514</v>
          </cell>
          <cell r="H2340" t="str">
            <v>Halter</v>
          </cell>
          <cell r="I2340">
            <v>10</v>
          </cell>
          <cell r="J2340" t="str">
            <v>Stk</v>
          </cell>
          <cell r="K2340">
            <v>45167</v>
          </cell>
          <cell r="L2340" t="str">
            <v>820541</v>
          </cell>
          <cell r="M2340" t="str">
            <v/>
          </cell>
          <cell r="N2340" t="str">
            <v/>
          </cell>
          <cell r="O2340" t="str">
            <v/>
          </cell>
          <cell r="P2340" t="str">
            <v/>
          </cell>
          <cell r="Q2340" t="str">
            <v/>
          </cell>
          <cell r="R2340" t="str">
            <v/>
          </cell>
          <cell r="S2340" t="str">
            <v/>
          </cell>
          <cell r="T2340" t="str">
            <v/>
          </cell>
          <cell r="U2340" t="str">
            <v/>
          </cell>
          <cell r="V2340" t="str">
            <v>N52</v>
          </cell>
          <cell r="W2340" t="str">
            <v/>
          </cell>
          <cell r="X2340" t="str">
            <v/>
          </cell>
          <cell r="Y2340" t="str">
            <v/>
          </cell>
          <cell r="Z2340" t="str">
            <v/>
          </cell>
          <cell r="AA2340" t="str">
            <v/>
          </cell>
          <cell r="AB2340" t="str">
            <v>PA_5059052-JF.3048-3</v>
          </cell>
          <cell r="AC2340">
            <v>1</v>
          </cell>
          <cell r="AD2340" t="str">
            <v/>
          </cell>
          <cell r="AE2340">
            <v>0</v>
          </cell>
          <cell r="AF2340" t="str">
            <v/>
          </cell>
          <cell r="AG2340" t="str">
            <v>12662514</v>
          </cell>
          <cell r="AH2340">
            <v>45020.910578703704</v>
          </cell>
          <cell r="AI2340" t="str">
            <v>N52</v>
          </cell>
          <cell r="AJ2340" t="str">
            <v>F</v>
          </cell>
          <cell r="AK2340" t="str">
            <v/>
          </cell>
        </row>
        <row r="2341">
          <cell r="A2341" t="str">
            <v>12663270820541</v>
          </cell>
          <cell r="B2341" t="e">
            <v>#N/A</v>
          </cell>
          <cell r="C2341" t="e">
            <v>#N/A</v>
          </cell>
          <cell r="D2341" t="str">
            <v>EK65</v>
          </cell>
          <cell r="E2341" t="str">
            <v>726777</v>
          </cell>
          <cell r="F2341" t="str">
            <v>E</v>
          </cell>
          <cell r="G2341" t="str">
            <v>12663270</v>
          </cell>
          <cell r="H2341" t="str">
            <v>Hutblech vollst.</v>
          </cell>
          <cell r="I2341">
            <v>10</v>
          </cell>
          <cell r="J2341" t="str">
            <v>Stk</v>
          </cell>
          <cell r="K2341">
            <v>45167</v>
          </cell>
          <cell r="L2341" t="str">
            <v>820541</v>
          </cell>
          <cell r="M2341" t="str">
            <v/>
          </cell>
          <cell r="N2341" t="str">
            <v/>
          </cell>
          <cell r="O2341" t="str">
            <v/>
          </cell>
          <cell r="P2341" t="str">
            <v/>
          </cell>
          <cell r="Q2341" t="str">
            <v/>
          </cell>
          <cell r="R2341" t="str">
            <v/>
          </cell>
          <cell r="S2341" t="str">
            <v/>
          </cell>
          <cell r="T2341" t="str">
            <v/>
          </cell>
          <cell r="U2341" t="str">
            <v/>
          </cell>
          <cell r="V2341" t="str">
            <v>N38</v>
          </cell>
          <cell r="W2341" t="str">
            <v/>
          </cell>
          <cell r="X2341" t="str">
            <v/>
          </cell>
          <cell r="Y2341" t="str">
            <v/>
          </cell>
          <cell r="Z2341" t="str">
            <v/>
          </cell>
          <cell r="AA2341" t="str">
            <v/>
          </cell>
          <cell r="AB2341" t="str">
            <v>PA_5104462-DB.3048-3</v>
          </cell>
          <cell r="AC2341">
            <v>1</v>
          </cell>
          <cell r="AD2341" t="str">
            <v/>
          </cell>
          <cell r="AE2341">
            <v>0</v>
          </cell>
          <cell r="AF2341" t="str">
            <v/>
          </cell>
          <cell r="AG2341" t="str">
            <v>12663270</v>
          </cell>
          <cell r="AH2341">
            <v>45020.910590277781</v>
          </cell>
          <cell r="AI2341" t="str">
            <v>N38</v>
          </cell>
          <cell r="AJ2341" t="str">
            <v>F</v>
          </cell>
          <cell r="AK2341" t="str">
            <v/>
          </cell>
        </row>
        <row r="2342">
          <cell r="A2342" t="str">
            <v>12666270820541</v>
          </cell>
          <cell r="B2342" t="e">
            <v>#N/A</v>
          </cell>
          <cell r="C2342" t="e">
            <v>#N/A</v>
          </cell>
          <cell r="D2342" t="str">
            <v>EK65</v>
          </cell>
          <cell r="E2342" t="str">
            <v>726778</v>
          </cell>
          <cell r="F2342" t="str">
            <v>E</v>
          </cell>
          <cell r="G2342" t="str">
            <v>12666270</v>
          </cell>
          <cell r="H2342" t="str">
            <v>Halter, vollst.</v>
          </cell>
          <cell r="I2342">
            <v>15</v>
          </cell>
          <cell r="J2342" t="str">
            <v>Stk</v>
          </cell>
          <cell r="K2342">
            <v>45167</v>
          </cell>
          <cell r="L2342" t="str">
            <v>820541</v>
          </cell>
          <cell r="M2342" t="str">
            <v/>
          </cell>
          <cell r="N2342" t="str">
            <v/>
          </cell>
          <cell r="O2342" t="str">
            <v/>
          </cell>
          <cell r="P2342" t="str">
            <v/>
          </cell>
          <cell r="Q2342" t="str">
            <v/>
          </cell>
          <cell r="R2342" t="str">
            <v/>
          </cell>
          <cell r="S2342" t="str">
            <v/>
          </cell>
          <cell r="T2342" t="str">
            <v/>
          </cell>
          <cell r="U2342" t="str">
            <v/>
          </cell>
          <cell r="V2342" t="str">
            <v>N38</v>
          </cell>
          <cell r="W2342" t="str">
            <v/>
          </cell>
          <cell r="X2342" t="str">
            <v/>
          </cell>
          <cell r="Y2342" t="str">
            <v/>
          </cell>
          <cell r="Z2342" t="str">
            <v/>
          </cell>
          <cell r="AA2342" t="str">
            <v/>
          </cell>
          <cell r="AB2342" t="str">
            <v>PA_5249641-LA.3048-4</v>
          </cell>
          <cell r="AC2342">
            <v>1</v>
          </cell>
          <cell r="AD2342" t="str">
            <v/>
          </cell>
          <cell r="AE2342">
            <v>0</v>
          </cell>
          <cell r="AF2342" t="str">
            <v/>
          </cell>
          <cell r="AG2342" t="str">
            <v>12666270</v>
          </cell>
          <cell r="AH2342">
            <v>45020.910624999997</v>
          </cell>
          <cell r="AI2342" t="str">
            <v>N38</v>
          </cell>
          <cell r="AJ2342" t="str">
            <v>F</v>
          </cell>
          <cell r="AK2342" t="str">
            <v/>
          </cell>
        </row>
        <row r="2343">
          <cell r="A2343" t="str">
            <v>12666369820541</v>
          </cell>
          <cell r="B2343" t="e">
            <v>#N/A</v>
          </cell>
          <cell r="C2343" t="e">
            <v>#N/A</v>
          </cell>
          <cell r="D2343" t="str">
            <v>EK65</v>
          </cell>
          <cell r="E2343" t="str">
            <v>726779</v>
          </cell>
          <cell r="F2343" t="str">
            <v>E</v>
          </cell>
          <cell r="G2343" t="str">
            <v>12666369</v>
          </cell>
          <cell r="H2343" t="str">
            <v>Halter vollst.</v>
          </cell>
          <cell r="I2343">
            <v>10</v>
          </cell>
          <cell r="J2343" t="str">
            <v>Stk</v>
          </cell>
          <cell r="K2343">
            <v>45167</v>
          </cell>
          <cell r="L2343" t="str">
            <v>820541</v>
          </cell>
          <cell r="M2343" t="str">
            <v/>
          </cell>
          <cell r="N2343" t="str">
            <v/>
          </cell>
          <cell r="O2343" t="str">
            <v/>
          </cell>
          <cell r="P2343" t="str">
            <v/>
          </cell>
          <cell r="Q2343" t="str">
            <v/>
          </cell>
          <cell r="R2343" t="str">
            <v/>
          </cell>
          <cell r="S2343" t="str">
            <v/>
          </cell>
          <cell r="T2343" t="str">
            <v/>
          </cell>
          <cell r="U2343" t="str">
            <v/>
          </cell>
          <cell r="V2343" t="str">
            <v>N38</v>
          </cell>
          <cell r="W2343" t="str">
            <v/>
          </cell>
          <cell r="X2343" t="str">
            <v/>
          </cell>
          <cell r="Y2343" t="str">
            <v/>
          </cell>
          <cell r="Z2343" t="str">
            <v/>
          </cell>
          <cell r="AA2343" t="str">
            <v/>
          </cell>
          <cell r="AB2343" t="str">
            <v>PA_5250192-DD.3048-2</v>
          </cell>
          <cell r="AC2343">
            <v>1</v>
          </cell>
          <cell r="AD2343" t="str">
            <v/>
          </cell>
          <cell r="AE2343">
            <v>0</v>
          </cell>
          <cell r="AF2343" t="str">
            <v/>
          </cell>
          <cell r="AG2343" t="str">
            <v>12666369</v>
          </cell>
          <cell r="AH2343">
            <v>45020.910636574074</v>
          </cell>
          <cell r="AI2343" t="str">
            <v>N38</v>
          </cell>
          <cell r="AJ2343" t="str">
            <v>F</v>
          </cell>
          <cell r="AK2343" t="str">
            <v/>
          </cell>
        </row>
        <row r="2344">
          <cell r="A2344" t="str">
            <v>12667563820541</v>
          </cell>
          <cell r="B2344" t="e">
            <v>#N/A</v>
          </cell>
          <cell r="C2344" t="e">
            <v>#N/A</v>
          </cell>
          <cell r="D2344" t="str">
            <v>EK65</v>
          </cell>
          <cell r="E2344" t="str">
            <v>726787</v>
          </cell>
          <cell r="F2344" t="str">
            <v>E</v>
          </cell>
          <cell r="G2344" t="str">
            <v>12667563</v>
          </cell>
          <cell r="H2344" t="str">
            <v>Halter, vollst.</v>
          </cell>
          <cell r="I2344">
            <v>10</v>
          </cell>
          <cell r="J2344" t="str">
            <v>Stk</v>
          </cell>
          <cell r="K2344">
            <v>45167</v>
          </cell>
          <cell r="L2344" t="str">
            <v>820541</v>
          </cell>
          <cell r="M2344" t="str">
            <v/>
          </cell>
          <cell r="N2344" t="str">
            <v/>
          </cell>
          <cell r="O2344" t="str">
            <v/>
          </cell>
          <cell r="P2344" t="str">
            <v/>
          </cell>
          <cell r="Q2344" t="str">
            <v/>
          </cell>
          <cell r="R2344" t="str">
            <v/>
          </cell>
          <cell r="S2344" t="str">
            <v/>
          </cell>
          <cell r="T2344" t="str">
            <v/>
          </cell>
          <cell r="U2344" t="str">
            <v/>
          </cell>
          <cell r="V2344" t="str">
            <v>N38</v>
          </cell>
          <cell r="W2344" t="str">
            <v/>
          </cell>
          <cell r="X2344" t="str">
            <v/>
          </cell>
          <cell r="Y2344" t="str">
            <v/>
          </cell>
          <cell r="Z2344" t="str">
            <v/>
          </cell>
          <cell r="AA2344" t="str">
            <v/>
          </cell>
          <cell r="AB2344" t="str">
            <v>PA_5252832-LA.3048-4</v>
          </cell>
          <cell r="AC2344">
            <v>1</v>
          </cell>
          <cell r="AD2344" t="str">
            <v/>
          </cell>
          <cell r="AE2344">
            <v>0</v>
          </cell>
          <cell r="AF2344" t="str">
            <v/>
          </cell>
          <cell r="AG2344" t="str">
            <v>12667563</v>
          </cell>
          <cell r="AH2344">
            <v>45020.910671296297</v>
          </cell>
          <cell r="AI2344" t="str">
            <v>N38</v>
          </cell>
          <cell r="AJ2344" t="str">
            <v>F</v>
          </cell>
          <cell r="AK2344" t="str">
            <v/>
          </cell>
        </row>
        <row r="2345">
          <cell r="A2345" t="str">
            <v>12668702820541</v>
          </cell>
          <cell r="B2345" t="e">
            <v>#N/A</v>
          </cell>
          <cell r="C2345" t="e">
            <v>#N/A</v>
          </cell>
          <cell r="D2345" t="str">
            <v>EK65</v>
          </cell>
          <cell r="E2345" t="str">
            <v>726788</v>
          </cell>
          <cell r="F2345" t="str">
            <v>E</v>
          </cell>
          <cell r="G2345" t="str">
            <v>12668702</v>
          </cell>
          <cell r="H2345" t="str">
            <v>Annietplatte vollst.</v>
          </cell>
          <cell r="I2345">
            <v>25</v>
          </cell>
          <cell r="J2345" t="str">
            <v>Stk</v>
          </cell>
          <cell r="K2345">
            <v>45166</v>
          </cell>
          <cell r="L2345" t="str">
            <v>820541</v>
          </cell>
          <cell r="M2345" t="str">
            <v/>
          </cell>
          <cell r="N2345" t="str">
            <v/>
          </cell>
          <cell r="O2345" t="str">
            <v/>
          </cell>
          <cell r="P2345" t="str">
            <v/>
          </cell>
          <cell r="Q2345" t="str">
            <v/>
          </cell>
          <cell r="R2345" t="str">
            <v/>
          </cell>
          <cell r="S2345" t="str">
            <v/>
          </cell>
          <cell r="T2345" t="str">
            <v/>
          </cell>
          <cell r="U2345" t="str">
            <v/>
          </cell>
          <cell r="V2345" t="str">
            <v>N38</v>
          </cell>
          <cell r="W2345" t="str">
            <v/>
          </cell>
          <cell r="X2345" t="str">
            <v/>
          </cell>
          <cell r="Y2345" t="str">
            <v/>
          </cell>
          <cell r="Z2345" t="str">
            <v/>
          </cell>
          <cell r="AA2345" t="str">
            <v/>
          </cell>
          <cell r="AB2345" t="str">
            <v>PA_5194073-ND.3048-3</v>
          </cell>
          <cell r="AC2345">
            <v>1</v>
          </cell>
          <cell r="AD2345" t="str">
            <v/>
          </cell>
          <cell r="AE2345">
            <v>0</v>
          </cell>
          <cell r="AF2345" t="str">
            <v/>
          </cell>
          <cell r="AG2345" t="str">
            <v>12668702</v>
          </cell>
          <cell r="AH2345">
            <v>45020.910682870373</v>
          </cell>
          <cell r="AI2345" t="str">
            <v>N38</v>
          </cell>
          <cell r="AJ2345" t="str">
            <v>F</v>
          </cell>
          <cell r="AK2345" t="str">
            <v/>
          </cell>
        </row>
        <row r="2346">
          <cell r="A2346" t="str">
            <v>12668718820541</v>
          </cell>
          <cell r="B2346" t="e">
            <v>#N/A</v>
          </cell>
          <cell r="C2346" t="e">
            <v>#N/A</v>
          </cell>
          <cell r="D2346" t="str">
            <v>EK65</v>
          </cell>
          <cell r="E2346" t="str">
            <v>726791</v>
          </cell>
          <cell r="F2346" t="str">
            <v>E</v>
          </cell>
          <cell r="G2346" t="str">
            <v>12668718</v>
          </cell>
          <cell r="H2346" t="str">
            <v>Annietplatte vollst.</v>
          </cell>
          <cell r="I2346">
            <v>30</v>
          </cell>
          <cell r="J2346" t="str">
            <v>Stk</v>
          </cell>
          <cell r="K2346">
            <v>45166</v>
          </cell>
          <cell r="L2346" t="str">
            <v>820541</v>
          </cell>
          <cell r="M2346" t="str">
            <v/>
          </cell>
          <cell r="N2346" t="str">
            <v/>
          </cell>
          <cell r="O2346" t="str">
            <v/>
          </cell>
          <cell r="P2346" t="str">
            <v/>
          </cell>
          <cell r="Q2346" t="str">
            <v/>
          </cell>
          <cell r="R2346" t="str">
            <v/>
          </cell>
          <cell r="S2346" t="str">
            <v/>
          </cell>
          <cell r="T2346" t="str">
            <v/>
          </cell>
          <cell r="U2346" t="str">
            <v/>
          </cell>
          <cell r="V2346" t="str">
            <v>N34</v>
          </cell>
          <cell r="W2346" t="str">
            <v/>
          </cell>
          <cell r="X2346" t="str">
            <v/>
          </cell>
          <cell r="Y2346" t="str">
            <v/>
          </cell>
          <cell r="Z2346" t="str">
            <v/>
          </cell>
          <cell r="AA2346" t="str">
            <v/>
          </cell>
          <cell r="AB2346" t="str">
            <v>PA_5193946-NA.3048-3</v>
          </cell>
          <cell r="AC2346">
            <v>1</v>
          </cell>
          <cell r="AD2346" t="str">
            <v/>
          </cell>
          <cell r="AE2346">
            <v>0</v>
          </cell>
          <cell r="AF2346" t="str">
            <v/>
          </cell>
          <cell r="AG2346" t="str">
            <v>12668718</v>
          </cell>
          <cell r="AH2346">
            <v>45020.910694444443</v>
          </cell>
          <cell r="AI2346" t="str">
            <v>N34</v>
          </cell>
          <cell r="AJ2346" t="str">
            <v>F</v>
          </cell>
          <cell r="AK2346" t="str">
            <v/>
          </cell>
        </row>
        <row r="2347">
          <cell r="A2347" t="str">
            <v>12669749820541</v>
          </cell>
          <cell r="B2347" t="e">
            <v>#N/A</v>
          </cell>
          <cell r="C2347" t="e">
            <v>#N/A</v>
          </cell>
          <cell r="D2347" t="str">
            <v>EK65</v>
          </cell>
          <cell r="E2347" t="str">
            <v>726792</v>
          </cell>
          <cell r="F2347" t="str">
            <v>E</v>
          </cell>
          <cell r="G2347" t="str">
            <v>12669749</v>
          </cell>
          <cell r="H2347" t="str">
            <v>Befestigungsplatte Tuerantrieb vollst.</v>
          </cell>
          <cell r="I2347">
            <v>30</v>
          </cell>
          <cell r="J2347" t="str">
            <v>Stk</v>
          </cell>
          <cell r="K2347">
            <v>45166</v>
          </cell>
          <cell r="L2347" t="str">
            <v>820541</v>
          </cell>
          <cell r="M2347" t="str">
            <v/>
          </cell>
          <cell r="N2347" t="str">
            <v/>
          </cell>
          <cell r="O2347" t="str">
            <v/>
          </cell>
          <cell r="P2347" t="str">
            <v/>
          </cell>
          <cell r="Q2347" t="str">
            <v/>
          </cell>
          <cell r="R2347" t="str">
            <v/>
          </cell>
          <cell r="S2347" t="str">
            <v/>
          </cell>
          <cell r="T2347" t="str">
            <v/>
          </cell>
          <cell r="U2347" t="str">
            <v/>
          </cell>
          <cell r="V2347" t="str">
            <v>N34</v>
          </cell>
          <cell r="W2347" t="str">
            <v/>
          </cell>
          <cell r="X2347" t="str">
            <v/>
          </cell>
          <cell r="Y2347" t="str">
            <v/>
          </cell>
          <cell r="Z2347" t="str">
            <v/>
          </cell>
          <cell r="AA2347" t="str">
            <v/>
          </cell>
          <cell r="AB2347" t="str">
            <v>PA_4981317-NB.3048-3</v>
          </cell>
          <cell r="AC2347">
            <v>1</v>
          </cell>
          <cell r="AD2347" t="str">
            <v/>
          </cell>
          <cell r="AE2347">
            <v>0</v>
          </cell>
          <cell r="AF2347" t="str">
            <v/>
          </cell>
          <cell r="AG2347" t="str">
            <v>12669749</v>
          </cell>
          <cell r="AH2347">
            <v>45020.910694444443</v>
          </cell>
          <cell r="AI2347" t="str">
            <v>N34</v>
          </cell>
          <cell r="AJ2347" t="str">
            <v>F</v>
          </cell>
          <cell r="AK2347" t="str">
            <v/>
          </cell>
        </row>
        <row r="2348">
          <cell r="A2348" t="str">
            <v>12669752820541</v>
          </cell>
          <cell r="B2348" t="e">
            <v>#N/A</v>
          </cell>
          <cell r="C2348" t="e">
            <v>#N/A</v>
          </cell>
          <cell r="D2348" t="str">
            <v>EK65</v>
          </cell>
          <cell r="E2348" t="str">
            <v>726793</v>
          </cell>
          <cell r="F2348" t="str">
            <v>E</v>
          </cell>
          <cell r="G2348" t="str">
            <v>12669752</v>
          </cell>
          <cell r="H2348" t="str">
            <v>Befestigungsplatte Tuerantrieb vollst.</v>
          </cell>
          <cell r="I2348">
            <v>30</v>
          </cell>
          <cell r="J2348" t="str">
            <v>Stk</v>
          </cell>
          <cell r="K2348">
            <v>45166</v>
          </cell>
          <cell r="L2348" t="str">
            <v>820541</v>
          </cell>
          <cell r="M2348" t="str">
            <v/>
          </cell>
          <cell r="N2348" t="str">
            <v/>
          </cell>
          <cell r="O2348" t="str">
            <v/>
          </cell>
          <cell r="P2348" t="str">
            <v/>
          </cell>
          <cell r="Q2348" t="str">
            <v/>
          </cell>
          <cell r="R2348" t="str">
            <v/>
          </cell>
          <cell r="S2348" t="str">
            <v/>
          </cell>
          <cell r="T2348" t="str">
            <v/>
          </cell>
          <cell r="U2348" t="str">
            <v/>
          </cell>
          <cell r="V2348" t="str">
            <v>N34</v>
          </cell>
          <cell r="W2348" t="str">
            <v/>
          </cell>
          <cell r="X2348" t="str">
            <v/>
          </cell>
          <cell r="Y2348" t="str">
            <v/>
          </cell>
          <cell r="Z2348" t="str">
            <v/>
          </cell>
          <cell r="AA2348" t="str">
            <v/>
          </cell>
          <cell r="AB2348" t="str">
            <v>PA_4981416-NB.3048-3</v>
          </cell>
          <cell r="AC2348">
            <v>1</v>
          </cell>
          <cell r="AD2348" t="str">
            <v/>
          </cell>
          <cell r="AE2348">
            <v>0</v>
          </cell>
          <cell r="AF2348" t="str">
            <v/>
          </cell>
          <cell r="AG2348" t="str">
            <v>12669752</v>
          </cell>
          <cell r="AH2348">
            <v>45020.91070601852</v>
          </cell>
          <cell r="AI2348" t="str">
            <v>N34</v>
          </cell>
          <cell r="AJ2348" t="str">
            <v>F</v>
          </cell>
          <cell r="AK2348" t="str">
            <v/>
          </cell>
        </row>
        <row r="2349">
          <cell r="A2349" t="str">
            <v>12672115820541</v>
          </cell>
          <cell r="B2349" t="e">
            <v>#N/A</v>
          </cell>
          <cell r="C2349" t="e">
            <v>#N/A</v>
          </cell>
          <cell r="D2349" t="str">
            <v>EK65</v>
          </cell>
          <cell r="E2349" t="str">
            <v>726801</v>
          </cell>
          <cell r="F2349" t="str">
            <v>E</v>
          </cell>
          <cell r="G2349" t="str">
            <v>12672115</v>
          </cell>
          <cell r="H2349" t="str">
            <v>Annietplatte vollst.</v>
          </cell>
          <cell r="I2349">
            <v>5</v>
          </cell>
          <cell r="J2349" t="str">
            <v>Stk</v>
          </cell>
          <cell r="K2349">
            <v>45167</v>
          </cell>
          <cell r="L2349" t="str">
            <v>820541</v>
          </cell>
          <cell r="M2349" t="str">
            <v/>
          </cell>
          <cell r="N2349" t="str">
            <v/>
          </cell>
          <cell r="O2349" t="str">
            <v/>
          </cell>
          <cell r="P2349" t="str">
            <v/>
          </cell>
          <cell r="Q2349" t="str">
            <v/>
          </cell>
          <cell r="R2349" t="str">
            <v/>
          </cell>
          <cell r="S2349" t="str">
            <v/>
          </cell>
          <cell r="T2349" t="str">
            <v/>
          </cell>
          <cell r="U2349" t="str">
            <v/>
          </cell>
          <cell r="V2349" t="str">
            <v>N38</v>
          </cell>
          <cell r="W2349" t="str">
            <v/>
          </cell>
          <cell r="X2349" t="str">
            <v/>
          </cell>
          <cell r="Y2349" t="str">
            <v/>
          </cell>
          <cell r="Z2349" t="str">
            <v/>
          </cell>
          <cell r="AA2349" t="str">
            <v/>
          </cell>
          <cell r="AB2349" t="str">
            <v>PA_5253059-ND.3048-3</v>
          </cell>
          <cell r="AC2349">
            <v>1</v>
          </cell>
          <cell r="AD2349" t="str">
            <v/>
          </cell>
          <cell r="AE2349">
            <v>0</v>
          </cell>
          <cell r="AF2349" t="str">
            <v/>
          </cell>
          <cell r="AG2349" t="str">
            <v>12672115</v>
          </cell>
          <cell r="AH2349">
            <v>45020.910740740743</v>
          </cell>
          <cell r="AI2349" t="str">
            <v>N38</v>
          </cell>
          <cell r="AJ2349" t="str">
            <v>F</v>
          </cell>
          <cell r="AK2349" t="str">
            <v/>
          </cell>
        </row>
        <row r="2350">
          <cell r="A2350" t="str">
            <v>12673738820541</v>
          </cell>
          <cell r="B2350" t="e">
            <v>#N/A</v>
          </cell>
          <cell r="C2350" t="e">
            <v>#N/A</v>
          </cell>
          <cell r="D2350" t="str">
            <v>EK65</v>
          </cell>
          <cell r="E2350" t="str">
            <v>726802</v>
          </cell>
          <cell r="F2350" t="str">
            <v>E</v>
          </cell>
          <cell r="G2350" t="str">
            <v>12673738</v>
          </cell>
          <cell r="H2350" t="str">
            <v>Befestigungssockel komplett Drehsaeule</v>
          </cell>
          <cell r="I2350">
            <v>60</v>
          </cell>
          <cell r="J2350" t="str">
            <v>Stk</v>
          </cell>
          <cell r="K2350">
            <v>45166</v>
          </cell>
          <cell r="L2350" t="str">
            <v>820541</v>
          </cell>
          <cell r="M2350" t="str">
            <v/>
          </cell>
          <cell r="N2350" t="str">
            <v/>
          </cell>
          <cell r="O2350" t="str">
            <v/>
          </cell>
          <cell r="P2350" t="str">
            <v/>
          </cell>
          <cell r="Q2350" t="str">
            <v/>
          </cell>
          <cell r="R2350" t="str">
            <v/>
          </cell>
          <cell r="S2350" t="str">
            <v/>
          </cell>
          <cell r="T2350" t="str">
            <v/>
          </cell>
          <cell r="U2350" t="str">
            <v/>
          </cell>
          <cell r="V2350" t="str">
            <v>N38</v>
          </cell>
          <cell r="W2350" t="str">
            <v/>
          </cell>
          <cell r="X2350" t="str">
            <v/>
          </cell>
          <cell r="Y2350" t="str">
            <v/>
          </cell>
          <cell r="Z2350" t="str">
            <v/>
          </cell>
          <cell r="AA2350" t="str">
            <v/>
          </cell>
          <cell r="AB2350" t="str">
            <v>BU_5279793-NB.3048-4</v>
          </cell>
          <cell r="AC2350">
            <v>1</v>
          </cell>
          <cell r="AD2350" t="str">
            <v/>
          </cell>
          <cell r="AE2350">
            <v>0</v>
          </cell>
          <cell r="AF2350" t="str">
            <v/>
          </cell>
          <cell r="AG2350" t="str">
            <v>12673738</v>
          </cell>
          <cell r="AH2350">
            <v>45020.910752314812</v>
          </cell>
          <cell r="AI2350" t="str">
            <v>N38</v>
          </cell>
          <cell r="AJ2350" t="str">
            <v>F</v>
          </cell>
          <cell r="AK2350" t="str">
            <v/>
          </cell>
        </row>
        <row r="2351">
          <cell r="A2351" t="str">
            <v>5668723820541</v>
          </cell>
          <cell r="B2351" t="e">
            <v>#N/A</v>
          </cell>
          <cell r="C2351" t="e">
            <v>#N/A</v>
          </cell>
          <cell r="D2351" t="str">
            <v>EK65</v>
          </cell>
          <cell r="E2351" t="str">
            <v>726825</v>
          </cell>
          <cell r="F2351" t="str">
            <v>E</v>
          </cell>
          <cell r="G2351" t="str">
            <v>5668723</v>
          </cell>
          <cell r="H2351" t="str">
            <v>BEFESTIGUNGSPROFIL</v>
          </cell>
          <cell r="I2351">
            <v>50</v>
          </cell>
          <cell r="J2351" t="str">
            <v>Stk</v>
          </cell>
          <cell r="K2351">
            <v>45167</v>
          </cell>
          <cell r="L2351" t="str">
            <v>820541</v>
          </cell>
          <cell r="M2351" t="str">
            <v/>
          </cell>
          <cell r="N2351" t="str">
            <v/>
          </cell>
          <cell r="O2351" t="str">
            <v/>
          </cell>
          <cell r="P2351" t="str">
            <v/>
          </cell>
          <cell r="Q2351" t="str">
            <v/>
          </cell>
          <cell r="R2351" t="str">
            <v/>
          </cell>
          <cell r="S2351" t="str">
            <v/>
          </cell>
          <cell r="T2351" t="str">
            <v/>
          </cell>
          <cell r="U2351" t="str">
            <v/>
          </cell>
          <cell r="V2351" t="str">
            <v>N32</v>
          </cell>
          <cell r="W2351" t="str">
            <v/>
          </cell>
          <cell r="X2351" t="str">
            <v/>
          </cell>
          <cell r="Y2351" t="str">
            <v/>
          </cell>
          <cell r="Z2351" t="str">
            <v/>
          </cell>
          <cell r="AA2351" t="str">
            <v/>
          </cell>
          <cell r="AB2351" t="str">
            <v>PA_1366912-CE.3021-3</v>
          </cell>
          <cell r="AC2351">
            <v>1</v>
          </cell>
          <cell r="AD2351" t="str">
            <v/>
          </cell>
          <cell r="AE2351">
            <v>0</v>
          </cell>
          <cell r="AF2351" t="str">
            <v/>
          </cell>
          <cell r="AG2351" t="str">
            <v>5668723</v>
          </cell>
          <cell r="AH2351">
            <v>45020.915335648147</v>
          </cell>
          <cell r="AI2351" t="str">
            <v>N32</v>
          </cell>
          <cell r="AJ2351" t="str">
            <v>F</v>
          </cell>
          <cell r="AK2351" t="str">
            <v/>
          </cell>
        </row>
        <row r="2352">
          <cell r="A2352" t="str">
            <v>1841891829051</v>
          </cell>
          <cell r="B2352" t="str">
            <v>Übergabe Task Force</v>
          </cell>
          <cell r="C2352">
            <v>24</v>
          </cell>
          <cell r="D2352" t="str">
            <v>EK65</v>
          </cell>
          <cell r="E2352" t="str">
            <v>726835</v>
          </cell>
          <cell r="F2352" t="str">
            <v>E</v>
          </cell>
          <cell r="G2352" t="str">
            <v>1841891</v>
          </cell>
          <cell r="H2352" t="str">
            <v>Griffblech E6</v>
          </cell>
          <cell r="I2352">
            <v>621</v>
          </cell>
          <cell r="J2352" t="str">
            <v>Stk</v>
          </cell>
          <cell r="K2352">
            <v>45682</v>
          </cell>
          <cell r="L2352" t="str">
            <v>829051</v>
          </cell>
          <cell r="M2352" t="str">
            <v/>
          </cell>
          <cell r="N2352" t="str">
            <v/>
          </cell>
          <cell r="O2352" t="str">
            <v/>
          </cell>
          <cell r="P2352" t="str">
            <v/>
          </cell>
          <cell r="Q2352" t="str">
            <v/>
          </cell>
          <cell r="R2352" t="str">
            <v/>
          </cell>
          <cell r="S2352" t="str">
            <v/>
          </cell>
          <cell r="T2352" t="str">
            <v/>
          </cell>
          <cell r="U2352" t="str">
            <v/>
          </cell>
          <cell r="V2352" t="str">
            <v>N38</v>
          </cell>
          <cell r="W2352" t="str">
            <v/>
          </cell>
          <cell r="X2352" t="str">
            <v/>
          </cell>
          <cell r="Y2352" t="str">
            <v/>
          </cell>
          <cell r="Z2352" t="str">
            <v/>
          </cell>
          <cell r="AA2352" t="str">
            <v/>
          </cell>
          <cell r="AB2352" t="str">
            <v>PA_2308240-UA.3046-1</v>
          </cell>
          <cell r="AC2352">
            <v>1</v>
          </cell>
          <cell r="AD2352" t="str">
            <v/>
          </cell>
          <cell r="AE2352">
            <v>0</v>
          </cell>
          <cell r="AF2352" t="str">
            <v/>
          </cell>
          <cell r="AG2352" t="str">
            <v>1841891</v>
          </cell>
          <cell r="AH2352">
            <v>45020.926886574074</v>
          </cell>
          <cell r="AI2352" t="str">
            <v>N38</v>
          </cell>
          <cell r="AJ2352" t="str">
            <v>F</v>
          </cell>
          <cell r="AK2352" t="str">
            <v>A</v>
          </cell>
        </row>
        <row r="2353">
          <cell r="A2353" t="str">
            <v>0423474820531</v>
          </cell>
          <cell r="B2353" t="e">
            <v>#N/A</v>
          </cell>
          <cell r="C2353" t="e">
            <v>#N/A</v>
          </cell>
          <cell r="D2353" t="str">
            <v>EK65</v>
          </cell>
          <cell r="E2353" t="str">
            <v>726846</v>
          </cell>
          <cell r="F2353" t="str">
            <v>E</v>
          </cell>
          <cell r="G2353" t="str">
            <v>0423474</v>
          </cell>
          <cell r="H2353" t="str">
            <v>Strebe</v>
          </cell>
          <cell r="I2353">
            <v>1</v>
          </cell>
          <cell r="J2353" t="str">
            <v>Stk</v>
          </cell>
          <cell r="K2353">
            <v>45215</v>
          </cell>
          <cell r="L2353" t="str">
            <v>820531</v>
          </cell>
          <cell r="M2353" t="str">
            <v/>
          </cell>
          <cell r="N2353" t="str">
            <v/>
          </cell>
          <cell r="O2353" t="str">
            <v/>
          </cell>
          <cell r="P2353" t="str">
            <v/>
          </cell>
          <cell r="Q2353" t="str">
            <v/>
          </cell>
          <cell r="R2353" t="str">
            <v/>
          </cell>
          <cell r="S2353" t="str">
            <v/>
          </cell>
          <cell r="T2353" t="str">
            <v/>
          </cell>
          <cell r="U2353" t="str">
            <v/>
          </cell>
          <cell r="V2353" t="str">
            <v>N52</v>
          </cell>
          <cell r="W2353" t="str">
            <v/>
          </cell>
          <cell r="X2353" t="str">
            <v/>
          </cell>
          <cell r="Y2353" t="str">
            <v/>
          </cell>
          <cell r="Z2353" t="str">
            <v/>
          </cell>
          <cell r="AA2353" t="str">
            <v/>
          </cell>
          <cell r="AB2353" t="str">
            <v>PR_2163411-CC.3038-3</v>
          </cell>
          <cell r="AC2353">
            <v>1</v>
          </cell>
          <cell r="AD2353" t="str">
            <v/>
          </cell>
          <cell r="AE2353">
            <v>0</v>
          </cell>
          <cell r="AF2353" t="str">
            <v/>
          </cell>
          <cell r="AG2353" t="str">
            <v>0423474</v>
          </cell>
          <cell r="AH2353">
            <v>45021.363194444442</v>
          </cell>
          <cell r="AI2353" t="str">
            <v>N52</v>
          </cell>
          <cell r="AJ2353" t="str">
            <v>F</v>
          </cell>
          <cell r="AK2353" t="str">
            <v/>
          </cell>
        </row>
        <row r="2354">
          <cell r="A2354" t="str">
            <v>0281903820531</v>
          </cell>
          <cell r="B2354" t="e">
            <v>#N/A</v>
          </cell>
          <cell r="C2354" t="e">
            <v>#N/A</v>
          </cell>
          <cell r="D2354" t="str">
            <v>EK65</v>
          </cell>
          <cell r="E2354" t="str">
            <v>726847</v>
          </cell>
          <cell r="F2354" t="str">
            <v>E</v>
          </cell>
          <cell r="G2354" t="str">
            <v>0281903</v>
          </cell>
          <cell r="H2354" t="str">
            <v>Strebe</v>
          </cell>
          <cell r="I2354">
            <v>2</v>
          </cell>
          <cell r="J2354" t="str">
            <v>Stk</v>
          </cell>
          <cell r="K2354">
            <v>45215</v>
          </cell>
          <cell r="L2354" t="str">
            <v>820531</v>
          </cell>
          <cell r="M2354" t="str">
            <v/>
          </cell>
          <cell r="N2354" t="str">
            <v/>
          </cell>
          <cell r="O2354" t="str">
            <v/>
          </cell>
          <cell r="P2354" t="str">
            <v/>
          </cell>
          <cell r="Q2354" t="str">
            <v/>
          </cell>
          <cell r="R2354" t="str">
            <v/>
          </cell>
          <cell r="S2354" t="str">
            <v/>
          </cell>
          <cell r="T2354" t="str">
            <v/>
          </cell>
          <cell r="U2354" t="str">
            <v/>
          </cell>
          <cell r="V2354" t="str">
            <v>N52</v>
          </cell>
          <cell r="W2354" t="str">
            <v/>
          </cell>
          <cell r="X2354" t="str">
            <v/>
          </cell>
          <cell r="Y2354" t="str">
            <v/>
          </cell>
          <cell r="Z2354" t="str">
            <v/>
          </cell>
          <cell r="AA2354" t="str">
            <v/>
          </cell>
          <cell r="AB2354" t="str">
            <v>PA_2304835-CC.3046-3</v>
          </cell>
          <cell r="AC2354">
            <v>1</v>
          </cell>
          <cell r="AD2354" t="str">
            <v/>
          </cell>
          <cell r="AE2354">
            <v>0</v>
          </cell>
          <cell r="AF2354" t="str">
            <v/>
          </cell>
          <cell r="AG2354" t="str">
            <v>0281903</v>
          </cell>
          <cell r="AH2354">
            <v>45021.371307870373</v>
          </cell>
          <cell r="AI2354" t="str">
            <v>N52</v>
          </cell>
          <cell r="AJ2354" t="str">
            <v>F</v>
          </cell>
          <cell r="AK2354" t="str">
            <v/>
          </cell>
        </row>
        <row r="2355">
          <cell r="A2355" t="str">
            <v>3897936820531</v>
          </cell>
          <cell r="B2355" t="e">
            <v>#N/A</v>
          </cell>
          <cell r="C2355" t="e">
            <v>#N/A</v>
          </cell>
          <cell r="D2355" t="str">
            <v>EK65</v>
          </cell>
          <cell r="E2355" t="str">
            <v>726848</v>
          </cell>
          <cell r="F2355" t="str">
            <v>E</v>
          </cell>
          <cell r="G2355" t="str">
            <v>3897936</v>
          </cell>
          <cell r="H2355" t="str">
            <v>Aufnahme kpl.</v>
          </cell>
          <cell r="I2355">
            <v>3</v>
          </cell>
          <cell r="J2355" t="str">
            <v>Stk</v>
          </cell>
          <cell r="K2355">
            <v>45073</v>
          </cell>
          <cell r="L2355" t="str">
            <v>820531</v>
          </cell>
          <cell r="M2355" t="str">
            <v/>
          </cell>
          <cell r="N2355" t="str">
            <v/>
          </cell>
          <cell r="O2355" t="str">
            <v/>
          </cell>
          <cell r="P2355" t="str">
            <v/>
          </cell>
          <cell r="Q2355" t="str">
            <v/>
          </cell>
          <cell r="R2355" t="str">
            <v/>
          </cell>
          <cell r="S2355" t="str">
            <v/>
          </cell>
          <cell r="T2355" t="str">
            <v/>
          </cell>
          <cell r="U2355" t="str">
            <v/>
          </cell>
          <cell r="V2355" t="str">
            <v>N38</v>
          </cell>
          <cell r="W2355" t="str">
            <v/>
          </cell>
          <cell r="X2355" t="str">
            <v/>
          </cell>
          <cell r="Y2355" t="str">
            <v/>
          </cell>
          <cell r="Z2355" t="str">
            <v/>
          </cell>
          <cell r="AA2355" t="str">
            <v/>
          </cell>
          <cell r="AB2355" t="str">
            <v>PA_5228075-TA.3046-3</v>
          </cell>
          <cell r="AC2355">
            <v>1</v>
          </cell>
          <cell r="AD2355" t="str">
            <v/>
          </cell>
          <cell r="AE2355">
            <v>0</v>
          </cell>
          <cell r="AF2355" t="str">
            <v/>
          </cell>
          <cell r="AG2355" t="str">
            <v>3897936</v>
          </cell>
          <cell r="AH2355">
            <v>45021.383449074077</v>
          </cell>
          <cell r="AI2355" t="str">
            <v>N38</v>
          </cell>
          <cell r="AJ2355" t="str">
            <v>F</v>
          </cell>
          <cell r="AK2355" t="str">
            <v/>
          </cell>
        </row>
        <row r="2356">
          <cell r="A2356" t="str">
            <v>2580606731000</v>
          </cell>
          <cell r="B2356" t="e">
            <v>#N/A</v>
          </cell>
          <cell r="C2356" t="e">
            <v>#N/A</v>
          </cell>
          <cell r="D2356" t="str">
            <v>EK65</v>
          </cell>
          <cell r="E2356" t="str">
            <v>726850</v>
          </cell>
          <cell r="F2356" t="str">
            <v>E</v>
          </cell>
          <cell r="G2356" t="str">
            <v>2580606</v>
          </cell>
          <cell r="H2356" t="str">
            <v>Beilage</v>
          </cell>
          <cell r="I2356">
            <v>162</v>
          </cell>
          <cell r="J2356" t="str">
            <v>Stk</v>
          </cell>
          <cell r="K2356">
            <v>45014</v>
          </cell>
          <cell r="L2356" t="str">
            <v>731000</v>
          </cell>
          <cell r="M2356" t="str">
            <v/>
          </cell>
          <cell r="N2356" t="str">
            <v/>
          </cell>
          <cell r="O2356" t="str">
            <v/>
          </cell>
          <cell r="P2356" t="str">
            <v/>
          </cell>
          <cell r="Q2356" t="str">
            <v/>
          </cell>
          <cell r="R2356" t="str">
            <v/>
          </cell>
          <cell r="S2356" t="str">
            <v/>
          </cell>
          <cell r="T2356" t="str">
            <v/>
          </cell>
          <cell r="U2356" t="str">
            <v/>
          </cell>
          <cell r="V2356" t="str">
            <v>N38</v>
          </cell>
          <cell r="W2356" t="str">
            <v/>
          </cell>
          <cell r="X2356" t="str">
            <v/>
          </cell>
          <cell r="Y2356" t="str">
            <v/>
          </cell>
          <cell r="Z2356" t="str">
            <v/>
          </cell>
          <cell r="AA2356" t="str">
            <v/>
          </cell>
          <cell r="AB2356" t="str">
            <v>BU_3518345-NA.7501-4</v>
          </cell>
          <cell r="AC2356">
            <v>1</v>
          </cell>
          <cell r="AD2356" t="str">
            <v/>
          </cell>
          <cell r="AE2356">
            <v>0</v>
          </cell>
          <cell r="AF2356" t="str">
            <v/>
          </cell>
          <cell r="AG2356" t="str">
            <v>2580606</v>
          </cell>
          <cell r="AH2356">
            <v>45021.387187499997</v>
          </cell>
          <cell r="AI2356" t="str">
            <v>N38</v>
          </cell>
          <cell r="AJ2356" t="str">
            <v>F</v>
          </cell>
          <cell r="AK2356" t="str">
            <v/>
          </cell>
        </row>
        <row r="2357">
          <cell r="A2357" t="str">
            <v>0655160</v>
          </cell>
          <cell r="B2357" t="e">
            <v>#N/A</v>
          </cell>
          <cell r="C2357" t="e">
            <v>#N/A</v>
          </cell>
          <cell r="D2357" t="str">
            <v>EK65</v>
          </cell>
          <cell r="E2357" t="str">
            <v>726863</v>
          </cell>
          <cell r="F2357" t="str">
            <v>B</v>
          </cell>
          <cell r="G2357" t="str">
            <v>0655160</v>
          </cell>
          <cell r="H2357" t="str">
            <v>Gewindeplatte M8</v>
          </cell>
          <cell r="I2357">
            <v>30</v>
          </cell>
          <cell r="J2357" t="str">
            <v>Stk</v>
          </cell>
          <cell r="K2357">
            <v>45023</v>
          </cell>
          <cell r="L2357" t="str">
            <v/>
          </cell>
          <cell r="M2357" t="str">
            <v/>
          </cell>
          <cell r="N2357" t="str">
            <v/>
          </cell>
          <cell r="O2357" t="str">
            <v/>
          </cell>
          <cell r="P2357" t="str">
            <v/>
          </cell>
          <cell r="Q2357" t="str">
            <v/>
          </cell>
          <cell r="R2357" t="str">
            <v/>
          </cell>
          <cell r="S2357" t="str">
            <v/>
          </cell>
          <cell r="T2357" t="str">
            <v/>
          </cell>
          <cell r="U2357" t="str">
            <v/>
          </cell>
          <cell r="V2357" t="str">
            <v>N52</v>
          </cell>
          <cell r="W2357" t="str">
            <v/>
          </cell>
          <cell r="X2357" t="str">
            <v/>
          </cell>
          <cell r="Y2357" t="str">
            <v/>
          </cell>
          <cell r="Z2357" t="str">
            <v/>
          </cell>
          <cell r="AA2357" t="str">
            <v/>
          </cell>
          <cell r="AB2357" t="str">
            <v>PA_2197094-CE.7500-3</v>
          </cell>
          <cell r="AC2357">
            <v>4</v>
          </cell>
          <cell r="AD2357" t="str">
            <v/>
          </cell>
          <cell r="AE2357">
            <v>0</v>
          </cell>
          <cell r="AF2357" t="str">
            <v/>
          </cell>
          <cell r="AG2357" t="str">
            <v>0655160</v>
          </cell>
          <cell r="AH2357">
            <v>45021.834363425929</v>
          </cell>
          <cell r="AI2357" t="str">
            <v>N52</v>
          </cell>
          <cell r="AJ2357" t="str">
            <v>F</v>
          </cell>
          <cell r="AK2357" t="str">
            <v/>
          </cell>
        </row>
        <row r="2358">
          <cell r="A2358" t="str">
            <v>12496456</v>
          </cell>
          <cell r="B2358">
            <v>0</v>
          </cell>
          <cell r="C2358" t="e">
            <v>#N/A</v>
          </cell>
          <cell r="D2358" t="str">
            <v>EK65</v>
          </cell>
          <cell r="E2358" t="str">
            <v>726868</v>
          </cell>
          <cell r="F2358" t="str">
            <v>B</v>
          </cell>
          <cell r="G2358" t="str">
            <v>12496456</v>
          </cell>
          <cell r="H2358" t="str">
            <v>Blech</v>
          </cell>
          <cell r="I2358">
            <v>20</v>
          </cell>
          <cell r="J2358" t="str">
            <v>Stk</v>
          </cell>
          <cell r="K2358">
            <v>45023</v>
          </cell>
          <cell r="L2358" t="str">
            <v/>
          </cell>
          <cell r="M2358" t="str">
            <v/>
          </cell>
          <cell r="N2358" t="str">
            <v/>
          </cell>
          <cell r="O2358" t="str">
            <v/>
          </cell>
          <cell r="P2358" t="str">
            <v/>
          </cell>
          <cell r="Q2358" t="str">
            <v/>
          </cell>
          <cell r="R2358" t="str">
            <v/>
          </cell>
          <cell r="S2358" t="str">
            <v/>
          </cell>
          <cell r="T2358" t="str">
            <v/>
          </cell>
          <cell r="U2358" t="str">
            <v/>
          </cell>
          <cell r="V2358" t="str">
            <v>N52</v>
          </cell>
          <cell r="W2358" t="str">
            <v/>
          </cell>
          <cell r="X2358" t="str">
            <v/>
          </cell>
          <cell r="Y2358" t="str">
            <v/>
          </cell>
          <cell r="Z2358" t="str">
            <v/>
          </cell>
          <cell r="AA2358" t="str">
            <v/>
          </cell>
          <cell r="AB2358" t="str">
            <v>PA_4408706-LC.7005-3</v>
          </cell>
          <cell r="AC2358">
            <v>4</v>
          </cell>
          <cell r="AD2358" t="str">
            <v/>
          </cell>
          <cell r="AE2358">
            <v>0</v>
          </cell>
          <cell r="AF2358" t="str">
            <v/>
          </cell>
          <cell r="AG2358" t="str">
            <v>12496456</v>
          </cell>
          <cell r="AH2358">
            <v>45021.835092592592</v>
          </cell>
          <cell r="AI2358" t="str">
            <v>N52</v>
          </cell>
          <cell r="AJ2358" t="str">
            <v>F</v>
          </cell>
          <cell r="AK2358" t="str">
            <v/>
          </cell>
        </row>
        <row r="2359">
          <cell r="A2359" t="str">
            <v>2472654</v>
          </cell>
          <cell r="B2359" t="e">
            <v>#N/A</v>
          </cell>
          <cell r="C2359" t="e">
            <v>#N/A</v>
          </cell>
          <cell r="D2359" t="str">
            <v>EK65</v>
          </cell>
          <cell r="E2359" t="str">
            <v>726871</v>
          </cell>
          <cell r="F2359" t="str">
            <v>B</v>
          </cell>
          <cell r="G2359" t="str">
            <v>2472654</v>
          </cell>
          <cell r="H2359" t="str">
            <v>Distanzhuelse</v>
          </cell>
          <cell r="I2359">
            <v>24</v>
          </cell>
          <cell r="J2359" t="str">
            <v>Stk</v>
          </cell>
          <cell r="K2359">
            <v>45023</v>
          </cell>
          <cell r="L2359" t="str">
            <v/>
          </cell>
          <cell r="M2359" t="str">
            <v/>
          </cell>
          <cell r="N2359" t="str">
            <v/>
          </cell>
          <cell r="O2359" t="str">
            <v/>
          </cell>
          <cell r="P2359" t="str">
            <v/>
          </cell>
          <cell r="Q2359" t="str">
            <v/>
          </cell>
          <cell r="R2359" t="str">
            <v/>
          </cell>
          <cell r="S2359" t="str">
            <v/>
          </cell>
          <cell r="T2359" t="str">
            <v/>
          </cell>
          <cell r="U2359" t="str">
            <v/>
          </cell>
          <cell r="V2359" t="str">
            <v>N52</v>
          </cell>
          <cell r="W2359" t="str">
            <v/>
          </cell>
          <cell r="X2359" t="str">
            <v/>
          </cell>
          <cell r="Y2359" t="str">
            <v/>
          </cell>
          <cell r="Z2359" t="str">
            <v/>
          </cell>
          <cell r="AA2359" t="str">
            <v/>
          </cell>
          <cell r="AB2359" t="str">
            <v>PA_2195456-CE.7500-4</v>
          </cell>
          <cell r="AC2359">
            <v>4</v>
          </cell>
          <cell r="AD2359" t="str">
            <v/>
          </cell>
          <cell r="AE2359">
            <v>0</v>
          </cell>
          <cell r="AF2359" t="str">
            <v/>
          </cell>
          <cell r="AG2359" t="str">
            <v>2472654</v>
          </cell>
          <cell r="AH2359">
            <v>45021.835821759261</v>
          </cell>
          <cell r="AI2359" t="str">
            <v>N52</v>
          </cell>
          <cell r="AJ2359" t="str">
            <v>F</v>
          </cell>
          <cell r="AK2359" t="str">
            <v>A</v>
          </cell>
        </row>
        <row r="2360">
          <cell r="A2360" t="str">
            <v>1234068820531</v>
          </cell>
          <cell r="B2360" t="e">
            <v>#N/A</v>
          </cell>
          <cell r="C2360" t="e">
            <v>#N/A</v>
          </cell>
          <cell r="D2360" t="str">
            <v>EK65</v>
          </cell>
          <cell r="E2360" t="str">
            <v>726924</v>
          </cell>
          <cell r="F2360" t="str">
            <v>E</v>
          </cell>
          <cell r="G2360" t="str">
            <v>1234068</v>
          </cell>
          <cell r="H2360" t="str">
            <v>Distanzstueck</v>
          </cell>
          <cell r="I2360">
            <v>8</v>
          </cell>
          <cell r="J2360" t="str">
            <v>Stk</v>
          </cell>
          <cell r="K2360">
            <v>45218</v>
          </cell>
          <cell r="L2360" t="str">
            <v>820531</v>
          </cell>
          <cell r="M2360" t="str">
            <v/>
          </cell>
          <cell r="N2360" t="str">
            <v/>
          </cell>
          <cell r="O2360" t="str">
            <v/>
          </cell>
          <cell r="P2360" t="str">
            <v/>
          </cell>
          <cell r="Q2360" t="str">
            <v/>
          </cell>
          <cell r="R2360" t="str">
            <v/>
          </cell>
          <cell r="S2360" t="str">
            <v/>
          </cell>
          <cell r="T2360" t="str">
            <v/>
          </cell>
          <cell r="U2360" t="str">
            <v/>
          </cell>
          <cell r="V2360" t="str">
            <v>N52</v>
          </cell>
          <cell r="W2360" t="str">
            <v/>
          </cell>
          <cell r="X2360" t="str">
            <v/>
          </cell>
          <cell r="Y2360" t="str">
            <v/>
          </cell>
          <cell r="Z2360" t="str">
            <v/>
          </cell>
          <cell r="AA2360" t="str">
            <v/>
          </cell>
          <cell r="AB2360" t="str">
            <v>PA_2309061-CF.3046-4</v>
          </cell>
          <cell r="AC2360">
            <v>1</v>
          </cell>
          <cell r="AD2360" t="str">
            <v/>
          </cell>
          <cell r="AE2360">
            <v>0</v>
          </cell>
          <cell r="AF2360" t="str">
            <v/>
          </cell>
          <cell r="AG2360" t="str">
            <v>1234068</v>
          </cell>
          <cell r="AH2360">
            <v>45021.869062500002</v>
          </cell>
          <cell r="AI2360" t="str">
            <v>N52</v>
          </cell>
          <cell r="AJ2360" t="str">
            <v>F</v>
          </cell>
          <cell r="AK2360" t="str">
            <v/>
          </cell>
        </row>
        <row r="2361">
          <cell r="A2361" t="str">
            <v>12519732829052</v>
          </cell>
          <cell r="B2361" t="str">
            <v>Übergabe Task Force</v>
          </cell>
          <cell r="C2361">
            <v>24</v>
          </cell>
          <cell r="D2361" t="str">
            <v>EK65</v>
          </cell>
          <cell r="E2361" t="str">
            <v>726936</v>
          </cell>
          <cell r="F2361" t="str">
            <v>E</v>
          </cell>
          <cell r="G2361" t="str">
            <v>12519732</v>
          </cell>
          <cell r="H2361" t="str">
            <v>Schirmblech E16Mod</v>
          </cell>
          <cell r="I2361">
            <v>50</v>
          </cell>
          <cell r="J2361" t="str">
            <v>Stk</v>
          </cell>
          <cell r="K2361">
            <v>45294</v>
          </cell>
          <cell r="L2361" t="str">
            <v>829052</v>
          </cell>
          <cell r="M2361" t="str">
            <v/>
          </cell>
          <cell r="N2361" t="str">
            <v/>
          </cell>
          <cell r="O2361" t="str">
            <v/>
          </cell>
          <cell r="P2361" t="str">
            <v/>
          </cell>
          <cell r="Q2361" t="str">
            <v/>
          </cell>
          <cell r="R2361" t="str">
            <v/>
          </cell>
          <cell r="S2361" t="str">
            <v/>
          </cell>
          <cell r="T2361" t="str">
            <v/>
          </cell>
          <cell r="U2361" t="str">
            <v/>
          </cell>
          <cell r="V2361" t="str">
            <v>N52</v>
          </cell>
          <cell r="W2361" t="str">
            <v/>
          </cell>
          <cell r="X2361" t="str">
            <v/>
          </cell>
          <cell r="Y2361" t="str">
            <v/>
          </cell>
          <cell r="Z2361" t="str">
            <v/>
          </cell>
          <cell r="AA2361" t="str">
            <v/>
          </cell>
          <cell r="AB2361" t="str">
            <v>PA_4569623-UA.7005-2</v>
          </cell>
          <cell r="AC2361">
            <v>1</v>
          </cell>
          <cell r="AD2361" t="str">
            <v/>
          </cell>
          <cell r="AE2361">
            <v>0</v>
          </cell>
          <cell r="AF2361" t="str">
            <v/>
          </cell>
          <cell r="AG2361" t="str">
            <v>12519732</v>
          </cell>
          <cell r="AH2361">
            <v>45021.87804398148</v>
          </cell>
          <cell r="AI2361" t="str">
            <v>N52</v>
          </cell>
          <cell r="AJ2361" t="str">
            <v>F</v>
          </cell>
          <cell r="AK2361" t="str">
            <v/>
          </cell>
        </row>
        <row r="2362">
          <cell r="A2362" t="str">
            <v>12668205820541</v>
          </cell>
          <cell r="B2362" t="e">
            <v>#N/A</v>
          </cell>
          <cell r="C2362" t="e">
            <v>#N/A</v>
          </cell>
          <cell r="D2362" t="str">
            <v>EK65</v>
          </cell>
          <cell r="E2362" t="str">
            <v>726941</v>
          </cell>
          <cell r="F2362" t="str">
            <v>E</v>
          </cell>
          <cell r="G2362" t="str">
            <v>12668205</v>
          </cell>
          <cell r="H2362" t="str">
            <v>Nietdistanzhalter vollst.</v>
          </cell>
          <cell r="I2362">
            <v>20</v>
          </cell>
          <cell r="J2362" t="str">
            <v>Stk</v>
          </cell>
          <cell r="K2362">
            <v>45166</v>
          </cell>
          <cell r="L2362" t="str">
            <v>820541</v>
          </cell>
          <cell r="M2362" t="str">
            <v/>
          </cell>
          <cell r="N2362" t="str">
            <v/>
          </cell>
          <cell r="O2362" t="str">
            <v/>
          </cell>
          <cell r="P2362" t="str">
            <v/>
          </cell>
          <cell r="Q2362" t="str">
            <v/>
          </cell>
          <cell r="R2362" t="str">
            <v/>
          </cell>
          <cell r="S2362" t="str">
            <v/>
          </cell>
          <cell r="T2362" t="str">
            <v/>
          </cell>
          <cell r="U2362" t="str">
            <v/>
          </cell>
          <cell r="V2362" t="str">
            <v>N38</v>
          </cell>
          <cell r="W2362" t="str">
            <v/>
          </cell>
          <cell r="X2362" t="str">
            <v/>
          </cell>
          <cell r="Y2362" t="str">
            <v/>
          </cell>
          <cell r="Z2362" t="str">
            <v/>
          </cell>
          <cell r="AA2362" t="str">
            <v/>
          </cell>
          <cell r="AB2362" t="str">
            <v>PA_5046722-DC.3048-3</v>
          </cell>
          <cell r="AC2362">
            <v>1</v>
          </cell>
          <cell r="AD2362" t="str">
            <v/>
          </cell>
          <cell r="AE2362">
            <v>0</v>
          </cell>
          <cell r="AF2362" t="str">
            <v/>
          </cell>
          <cell r="AG2362" t="str">
            <v>12668205</v>
          </cell>
          <cell r="AH2362">
            <v>45021.88490740741</v>
          </cell>
          <cell r="AI2362" t="str">
            <v>N38</v>
          </cell>
          <cell r="AJ2362" t="str">
            <v>F</v>
          </cell>
          <cell r="AK2362" t="str">
            <v/>
          </cell>
        </row>
        <row r="2363">
          <cell r="A2363" t="str">
            <v>12668209820541</v>
          </cell>
          <cell r="B2363" t="e">
            <v>#N/A</v>
          </cell>
          <cell r="C2363" t="e">
            <v>#N/A</v>
          </cell>
          <cell r="D2363" t="str">
            <v>EK65</v>
          </cell>
          <cell r="E2363" t="str">
            <v>726945</v>
          </cell>
          <cell r="F2363" t="str">
            <v>E</v>
          </cell>
          <cell r="G2363" t="str">
            <v>12668209</v>
          </cell>
          <cell r="H2363" t="str">
            <v>Gewindehinterlage</v>
          </cell>
          <cell r="I2363">
            <v>40</v>
          </cell>
          <cell r="J2363" t="str">
            <v>Stk</v>
          </cell>
          <cell r="K2363">
            <v>45166</v>
          </cell>
          <cell r="L2363" t="str">
            <v>820541</v>
          </cell>
          <cell r="M2363" t="str">
            <v/>
          </cell>
          <cell r="N2363" t="str">
            <v/>
          </cell>
          <cell r="O2363" t="str">
            <v/>
          </cell>
          <cell r="P2363" t="str">
            <v/>
          </cell>
          <cell r="Q2363" t="str">
            <v/>
          </cell>
          <cell r="R2363" t="str">
            <v/>
          </cell>
          <cell r="S2363" t="str">
            <v/>
          </cell>
          <cell r="T2363" t="str">
            <v/>
          </cell>
          <cell r="U2363" t="str">
            <v/>
          </cell>
          <cell r="V2363" t="str">
            <v>N52</v>
          </cell>
          <cell r="W2363" t="str">
            <v/>
          </cell>
          <cell r="X2363" t="str">
            <v/>
          </cell>
          <cell r="Y2363" t="str">
            <v/>
          </cell>
          <cell r="Z2363" t="str">
            <v/>
          </cell>
          <cell r="AA2363" t="str">
            <v/>
          </cell>
          <cell r="AB2363" t="str">
            <v>PA_4959603-DC.3048-3</v>
          </cell>
          <cell r="AC2363">
            <v>1</v>
          </cell>
          <cell r="AD2363" t="str">
            <v/>
          </cell>
          <cell r="AE2363">
            <v>0</v>
          </cell>
          <cell r="AF2363" t="str">
            <v/>
          </cell>
          <cell r="AG2363" t="str">
            <v>12668209</v>
          </cell>
          <cell r="AH2363">
            <v>45021.884918981479</v>
          </cell>
          <cell r="AI2363" t="str">
            <v>N52</v>
          </cell>
          <cell r="AJ2363" t="str">
            <v>F</v>
          </cell>
          <cell r="AK2363" t="str">
            <v/>
          </cell>
        </row>
        <row r="2364">
          <cell r="A2364" t="str">
            <v>12668212820541</v>
          </cell>
          <cell r="B2364" t="e">
            <v>#N/A</v>
          </cell>
          <cell r="C2364" t="e">
            <v>#N/A</v>
          </cell>
          <cell r="D2364" t="str">
            <v>EK65</v>
          </cell>
          <cell r="E2364" t="str">
            <v>726946</v>
          </cell>
          <cell r="F2364" t="str">
            <v>E</v>
          </cell>
          <cell r="G2364" t="str">
            <v>12668212</v>
          </cell>
          <cell r="H2364" t="str">
            <v>Nietdistanzhalter vollst.</v>
          </cell>
          <cell r="I2364">
            <v>20</v>
          </cell>
          <cell r="J2364" t="str">
            <v>Stk</v>
          </cell>
          <cell r="K2364">
            <v>45166</v>
          </cell>
          <cell r="L2364" t="str">
            <v>820541</v>
          </cell>
          <cell r="M2364" t="str">
            <v/>
          </cell>
          <cell r="N2364" t="str">
            <v/>
          </cell>
          <cell r="O2364" t="str">
            <v/>
          </cell>
          <cell r="P2364" t="str">
            <v/>
          </cell>
          <cell r="Q2364" t="str">
            <v/>
          </cell>
          <cell r="R2364" t="str">
            <v/>
          </cell>
          <cell r="S2364" t="str">
            <v/>
          </cell>
          <cell r="T2364" t="str">
            <v/>
          </cell>
          <cell r="U2364" t="str">
            <v/>
          </cell>
          <cell r="V2364" t="str">
            <v>N38</v>
          </cell>
          <cell r="W2364" t="str">
            <v/>
          </cell>
          <cell r="X2364" t="str">
            <v/>
          </cell>
          <cell r="Y2364" t="str">
            <v/>
          </cell>
          <cell r="Z2364" t="str">
            <v/>
          </cell>
          <cell r="AA2364" t="str">
            <v/>
          </cell>
          <cell r="AB2364" t="str">
            <v>PA_5046557-DC.3048-3</v>
          </cell>
          <cell r="AC2364">
            <v>1</v>
          </cell>
          <cell r="AD2364" t="str">
            <v/>
          </cell>
          <cell r="AE2364">
            <v>0</v>
          </cell>
          <cell r="AF2364" t="str">
            <v/>
          </cell>
          <cell r="AG2364" t="str">
            <v>12668212</v>
          </cell>
          <cell r="AH2364">
            <v>45021.884930555556</v>
          </cell>
          <cell r="AI2364" t="str">
            <v>N38</v>
          </cell>
          <cell r="AJ2364" t="str">
            <v>F</v>
          </cell>
          <cell r="AK2364" t="str">
            <v/>
          </cell>
        </row>
        <row r="2365">
          <cell r="A2365" t="str">
            <v>0257908820541</v>
          </cell>
          <cell r="B2365" t="e">
            <v>#N/A</v>
          </cell>
          <cell r="C2365" t="e">
            <v>#N/A</v>
          </cell>
          <cell r="D2365" t="str">
            <v>EK65</v>
          </cell>
          <cell r="E2365" t="str">
            <v>726970</v>
          </cell>
          <cell r="F2365" t="str">
            <v>E</v>
          </cell>
          <cell r="G2365" t="str">
            <v>0257908</v>
          </cell>
          <cell r="H2365" t="str">
            <v>Distanzbuchse Boden-Trennwand D=20/d=11/L</v>
          </cell>
          <cell r="I2365">
            <v>264</v>
          </cell>
          <cell r="J2365" t="str">
            <v>Stk</v>
          </cell>
          <cell r="K2365">
            <v>45196</v>
          </cell>
          <cell r="L2365" t="str">
            <v>820541</v>
          </cell>
          <cell r="M2365" t="str">
            <v/>
          </cell>
          <cell r="N2365" t="str">
            <v/>
          </cell>
          <cell r="O2365" t="str">
            <v/>
          </cell>
          <cell r="P2365" t="str">
            <v/>
          </cell>
          <cell r="Q2365" t="str">
            <v/>
          </cell>
          <cell r="R2365" t="str">
            <v/>
          </cell>
          <cell r="S2365" t="str">
            <v/>
          </cell>
          <cell r="T2365" t="str">
            <v/>
          </cell>
          <cell r="U2365" t="str">
            <v/>
          </cell>
          <cell r="V2365" t="str">
            <v>K40</v>
          </cell>
          <cell r="W2365" t="str">
            <v/>
          </cell>
          <cell r="X2365" t="str">
            <v/>
          </cell>
          <cell r="Y2365" t="str">
            <v/>
          </cell>
          <cell r="Z2365" t="str">
            <v/>
          </cell>
          <cell r="AA2365" t="str">
            <v/>
          </cell>
          <cell r="AB2365" t="str">
            <v>BU_4112633-CE.3047-4</v>
          </cell>
          <cell r="AC2365">
            <v>1</v>
          </cell>
          <cell r="AD2365" t="str">
            <v/>
          </cell>
          <cell r="AE2365">
            <v>0</v>
          </cell>
          <cell r="AF2365" t="str">
            <v/>
          </cell>
          <cell r="AG2365" t="str">
            <v>0257908</v>
          </cell>
          <cell r="AH2365">
            <v>45021.908252314817</v>
          </cell>
          <cell r="AI2365" t="str">
            <v>K40</v>
          </cell>
          <cell r="AJ2365" t="str">
            <v>F</v>
          </cell>
          <cell r="AK2365" t="str">
            <v/>
          </cell>
        </row>
        <row r="2366">
          <cell r="A2366" t="str">
            <v>1250897820541</v>
          </cell>
          <cell r="B2366" t="e">
            <v>#N/A</v>
          </cell>
          <cell r="C2366" t="e">
            <v>#N/A</v>
          </cell>
          <cell r="D2366" t="str">
            <v>EK65</v>
          </cell>
          <cell r="E2366" t="str">
            <v>726975</v>
          </cell>
          <cell r="F2366" t="str">
            <v>E</v>
          </cell>
          <cell r="G2366" t="str">
            <v>1250897</v>
          </cell>
          <cell r="H2366" t="str">
            <v>Dehnhuelse M8</v>
          </cell>
          <cell r="I2366">
            <v>3168</v>
          </cell>
          <cell r="J2366" t="str">
            <v>Stk</v>
          </cell>
          <cell r="K2366">
            <v>45195</v>
          </cell>
          <cell r="L2366" t="str">
            <v>820541</v>
          </cell>
          <cell r="M2366" t="str">
            <v/>
          </cell>
          <cell r="N2366" t="str">
            <v/>
          </cell>
          <cell r="O2366" t="str">
            <v/>
          </cell>
          <cell r="P2366" t="str">
            <v/>
          </cell>
          <cell r="Q2366" t="str">
            <v/>
          </cell>
          <cell r="R2366" t="str">
            <v/>
          </cell>
          <cell r="S2366" t="str">
            <v/>
          </cell>
          <cell r="T2366" t="str">
            <v/>
          </cell>
          <cell r="U2366" t="str">
            <v/>
          </cell>
          <cell r="V2366" t="str">
            <v>N52</v>
          </cell>
          <cell r="W2366" t="str">
            <v/>
          </cell>
          <cell r="X2366" t="str">
            <v/>
          </cell>
          <cell r="Y2366" t="str">
            <v/>
          </cell>
          <cell r="Z2366" t="str">
            <v/>
          </cell>
          <cell r="AA2366" t="str">
            <v/>
          </cell>
          <cell r="AB2366" t="str">
            <v>BU_1818705-CF.3047-4</v>
          </cell>
          <cell r="AC2366">
            <v>1</v>
          </cell>
          <cell r="AD2366" t="str">
            <v/>
          </cell>
          <cell r="AE2366">
            <v>0</v>
          </cell>
          <cell r="AF2366" t="str">
            <v/>
          </cell>
          <cell r="AG2366" t="str">
            <v>1250897</v>
          </cell>
          <cell r="AH2366">
            <v>45021.913912037038</v>
          </cell>
          <cell r="AI2366" t="str">
            <v>N52</v>
          </cell>
          <cell r="AJ2366" t="str">
            <v>F</v>
          </cell>
          <cell r="AK2366" t="str">
            <v/>
          </cell>
        </row>
        <row r="2367">
          <cell r="A2367" t="str">
            <v>12649122820541</v>
          </cell>
          <cell r="B2367" t="e">
            <v>#N/A</v>
          </cell>
          <cell r="C2367" t="e">
            <v>#N/A</v>
          </cell>
          <cell r="D2367" t="str">
            <v>EK65</v>
          </cell>
          <cell r="E2367" t="str">
            <v>726977</v>
          </cell>
          <cell r="F2367" t="str">
            <v>E</v>
          </cell>
          <cell r="G2367" t="str">
            <v>12649122</v>
          </cell>
          <cell r="H2367" t="str">
            <v>Versteifungsblech</v>
          </cell>
          <cell r="I2367">
            <v>528</v>
          </cell>
          <cell r="J2367" t="str">
            <v>Stk</v>
          </cell>
          <cell r="K2367">
            <v>45195</v>
          </cell>
          <cell r="L2367" t="str">
            <v>820541</v>
          </cell>
          <cell r="M2367" t="str">
            <v/>
          </cell>
          <cell r="N2367" t="str">
            <v/>
          </cell>
          <cell r="O2367" t="str">
            <v/>
          </cell>
          <cell r="P2367" t="str">
            <v/>
          </cell>
          <cell r="Q2367" t="str">
            <v/>
          </cell>
          <cell r="R2367" t="str">
            <v/>
          </cell>
          <cell r="S2367" t="str">
            <v/>
          </cell>
          <cell r="T2367" t="str">
            <v/>
          </cell>
          <cell r="U2367" t="str">
            <v/>
          </cell>
          <cell r="V2367" t="str">
            <v>N52</v>
          </cell>
          <cell r="W2367" t="str">
            <v/>
          </cell>
          <cell r="X2367" t="str">
            <v/>
          </cell>
          <cell r="Y2367" t="str">
            <v/>
          </cell>
          <cell r="Z2367" t="str">
            <v/>
          </cell>
          <cell r="AA2367" t="str">
            <v/>
          </cell>
          <cell r="AB2367" t="str">
            <v>PA_5183121-CE.3048-3</v>
          </cell>
          <cell r="AC2367">
            <v>1</v>
          </cell>
          <cell r="AD2367" t="str">
            <v/>
          </cell>
          <cell r="AE2367">
            <v>0</v>
          </cell>
          <cell r="AF2367" t="str">
            <v/>
          </cell>
          <cell r="AG2367" t="str">
            <v>12649122</v>
          </cell>
          <cell r="AH2367">
            <v>45021.914444444446</v>
          </cell>
          <cell r="AI2367" t="str">
            <v>N52</v>
          </cell>
          <cell r="AJ2367" t="str">
            <v>F</v>
          </cell>
          <cell r="AK2367" t="str">
            <v/>
          </cell>
        </row>
        <row r="2368">
          <cell r="A2368" t="str">
            <v>12664328820541</v>
          </cell>
          <cell r="B2368" t="e">
            <v>#N/A</v>
          </cell>
          <cell r="C2368" t="e">
            <v>#N/A</v>
          </cell>
          <cell r="D2368" t="str">
            <v>EK65</v>
          </cell>
          <cell r="E2368" t="str">
            <v>726978</v>
          </cell>
          <cell r="F2368" t="str">
            <v>E</v>
          </cell>
          <cell r="G2368" t="str">
            <v>12664328</v>
          </cell>
          <cell r="H2368" t="str">
            <v>Befestigungssockel</v>
          </cell>
          <cell r="I2368">
            <v>88</v>
          </cell>
          <cell r="J2368" t="str">
            <v>Stk</v>
          </cell>
          <cell r="K2368">
            <v>45196</v>
          </cell>
          <cell r="L2368" t="str">
            <v>820541</v>
          </cell>
          <cell r="M2368" t="str">
            <v/>
          </cell>
          <cell r="N2368" t="str">
            <v/>
          </cell>
          <cell r="O2368" t="str">
            <v/>
          </cell>
          <cell r="P2368" t="str">
            <v/>
          </cell>
          <cell r="Q2368" t="str">
            <v/>
          </cell>
          <cell r="R2368" t="str">
            <v/>
          </cell>
          <cell r="S2368" t="str">
            <v/>
          </cell>
          <cell r="T2368" t="str">
            <v/>
          </cell>
          <cell r="U2368" t="str">
            <v/>
          </cell>
          <cell r="V2368" t="str">
            <v>N52</v>
          </cell>
          <cell r="W2368" t="str">
            <v/>
          </cell>
          <cell r="X2368" t="str">
            <v/>
          </cell>
          <cell r="Y2368" t="str">
            <v/>
          </cell>
          <cell r="Z2368" t="str">
            <v/>
          </cell>
          <cell r="AA2368" t="str">
            <v/>
          </cell>
          <cell r="AB2368" t="str">
            <v>PA_4823337-DB.3048-4</v>
          </cell>
          <cell r="AC2368">
            <v>1</v>
          </cell>
          <cell r="AD2368" t="str">
            <v/>
          </cell>
          <cell r="AE2368">
            <v>0</v>
          </cell>
          <cell r="AF2368" t="str">
            <v/>
          </cell>
          <cell r="AG2368" t="str">
            <v>12664328</v>
          </cell>
          <cell r="AH2368">
            <v>45021.914456018516</v>
          </cell>
          <cell r="AI2368" t="str">
            <v>N52</v>
          </cell>
          <cell r="AJ2368" t="str">
            <v>F</v>
          </cell>
          <cell r="AK2368" t="str">
            <v/>
          </cell>
        </row>
        <row r="2369">
          <cell r="A2369" t="str">
            <v>12664414820541</v>
          </cell>
          <cell r="B2369" t="e">
            <v>#N/A</v>
          </cell>
          <cell r="C2369" t="e">
            <v>#N/A</v>
          </cell>
          <cell r="D2369" t="str">
            <v>EK65</v>
          </cell>
          <cell r="E2369" t="str">
            <v>726979</v>
          </cell>
          <cell r="F2369" t="str">
            <v>E</v>
          </cell>
          <cell r="G2369" t="str">
            <v>12664414</v>
          </cell>
          <cell r="H2369" t="str">
            <v>Beilage 3mm</v>
          </cell>
          <cell r="I2369">
            <v>88</v>
          </cell>
          <cell r="J2369" t="str">
            <v>Stk</v>
          </cell>
          <cell r="K2369">
            <v>45196</v>
          </cell>
          <cell r="L2369" t="str">
            <v>820541</v>
          </cell>
          <cell r="M2369" t="str">
            <v/>
          </cell>
          <cell r="N2369" t="str">
            <v/>
          </cell>
          <cell r="O2369" t="str">
            <v/>
          </cell>
          <cell r="P2369" t="str">
            <v/>
          </cell>
          <cell r="Q2369" t="str">
            <v/>
          </cell>
          <cell r="R2369" t="str">
            <v/>
          </cell>
          <cell r="S2369" t="str">
            <v/>
          </cell>
          <cell r="T2369" t="str">
            <v/>
          </cell>
          <cell r="U2369" t="str">
            <v/>
          </cell>
          <cell r="V2369" t="str">
            <v>N52</v>
          </cell>
          <cell r="W2369" t="str">
            <v/>
          </cell>
          <cell r="X2369" t="str">
            <v/>
          </cell>
          <cell r="Y2369" t="str">
            <v/>
          </cell>
          <cell r="Z2369" t="str">
            <v/>
          </cell>
          <cell r="AA2369" t="str">
            <v/>
          </cell>
          <cell r="AB2369" t="str">
            <v>PA_5001937-CD.3048-4</v>
          </cell>
          <cell r="AC2369">
            <v>1</v>
          </cell>
          <cell r="AD2369" t="str">
            <v/>
          </cell>
          <cell r="AE2369">
            <v>0</v>
          </cell>
          <cell r="AF2369" t="str">
            <v/>
          </cell>
          <cell r="AG2369" t="str">
            <v>12664414</v>
          </cell>
          <cell r="AH2369">
            <v>45021.914467592593</v>
          </cell>
          <cell r="AI2369" t="str">
            <v>N52</v>
          </cell>
          <cell r="AJ2369" t="str">
            <v>F</v>
          </cell>
          <cell r="AK2369" t="str">
            <v/>
          </cell>
        </row>
        <row r="2370">
          <cell r="A2370" t="str">
            <v>12664415820541</v>
          </cell>
          <cell r="B2370" t="e">
            <v>#N/A</v>
          </cell>
          <cell r="C2370" t="e">
            <v>#N/A</v>
          </cell>
          <cell r="D2370" t="str">
            <v>EK65</v>
          </cell>
          <cell r="E2370" t="str">
            <v>726980</v>
          </cell>
          <cell r="F2370" t="str">
            <v>E</v>
          </cell>
          <cell r="G2370" t="str">
            <v>12664415</v>
          </cell>
          <cell r="H2370" t="str">
            <v>Beilage 2mm</v>
          </cell>
          <cell r="I2370">
            <v>88</v>
          </cell>
          <cell r="J2370" t="str">
            <v>Stk</v>
          </cell>
          <cell r="K2370">
            <v>45196</v>
          </cell>
          <cell r="L2370" t="str">
            <v>820541</v>
          </cell>
          <cell r="M2370" t="str">
            <v/>
          </cell>
          <cell r="N2370" t="str">
            <v/>
          </cell>
          <cell r="O2370" t="str">
            <v/>
          </cell>
          <cell r="P2370" t="str">
            <v/>
          </cell>
          <cell r="Q2370" t="str">
            <v/>
          </cell>
          <cell r="R2370" t="str">
            <v/>
          </cell>
          <cell r="S2370" t="str">
            <v/>
          </cell>
          <cell r="T2370" t="str">
            <v/>
          </cell>
          <cell r="U2370" t="str">
            <v/>
          </cell>
          <cell r="V2370" t="str">
            <v>N52</v>
          </cell>
          <cell r="W2370" t="str">
            <v/>
          </cell>
          <cell r="X2370" t="str">
            <v/>
          </cell>
          <cell r="Y2370" t="str">
            <v/>
          </cell>
          <cell r="Z2370" t="str">
            <v/>
          </cell>
          <cell r="AA2370" t="str">
            <v/>
          </cell>
          <cell r="AB2370" t="str">
            <v>PA_5001938-CD.3048-4</v>
          </cell>
          <cell r="AC2370">
            <v>1</v>
          </cell>
          <cell r="AD2370" t="str">
            <v/>
          </cell>
          <cell r="AE2370">
            <v>0</v>
          </cell>
          <cell r="AF2370" t="str">
            <v/>
          </cell>
          <cell r="AG2370" t="str">
            <v>12664415</v>
          </cell>
          <cell r="AH2370">
            <v>45021.914479166669</v>
          </cell>
          <cell r="AI2370" t="str">
            <v>N52</v>
          </cell>
          <cell r="AJ2370" t="str">
            <v>F</v>
          </cell>
          <cell r="AK2370" t="str">
            <v/>
          </cell>
        </row>
        <row r="2371">
          <cell r="A2371" t="str">
            <v>12664416820541</v>
          </cell>
          <cell r="B2371" t="e">
            <v>#N/A</v>
          </cell>
          <cell r="C2371" t="e">
            <v>#N/A</v>
          </cell>
          <cell r="D2371" t="str">
            <v>EK65</v>
          </cell>
          <cell r="E2371" t="str">
            <v>726981</v>
          </cell>
          <cell r="F2371" t="str">
            <v>E</v>
          </cell>
          <cell r="G2371" t="str">
            <v>12664416</v>
          </cell>
          <cell r="H2371" t="str">
            <v>Beilage 1mm</v>
          </cell>
          <cell r="I2371">
            <v>88</v>
          </cell>
          <cell r="J2371" t="str">
            <v>Stk</v>
          </cell>
          <cell r="K2371">
            <v>45196</v>
          </cell>
          <cell r="L2371" t="str">
            <v>820541</v>
          </cell>
          <cell r="M2371" t="str">
            <v/>
          </cell>
          <cell r="N2371" t="str">
            <v/>
          </cell>
          <cell r="O2371" t="str">
            <v/>
          </cell>
          <cell r="P2371" t="str">
            <v/>
          </cell>
          <cell r="Q2371" t="str">
            <v/>
          </cell>
          <cell r="R2371" t="str">
            <v/>
          </cell>
          <cell r="S2371" t="str">
            <v/>
          </cell>
          <cell r="T2371" t="str">
            <v/>
          </cell>
          <cell r="U2371" t="str">
            <v/>
          </cell>
          <cell r="V2371" t="str">
            <v>N52</v>
          </cell>
          <cell r="W2371" t="str">
            <v/>
          </cell>
          <cell r="X2371" t="str">
            <v/>
          </cell>
          <cell r="Y2371" t="str">
            <v/>
          </cell>
          <cell r="Z2371" t="str">
            <v/>
          </cell>
          <cell r="AA2371" t="str">
            <v/>
          </cell>
          <cell r="AB2371" t="str">
            <v>PA_5001939-CD.3048-4</v>
          </cell>
          <cell r="AC2371">
            <v>1</v>
          </cell>
          <cell r="AD2371" t="str">
            <v/>
          </cell>
          <cell r="AE2371">
            <v>0</v>
          </cell>
          <cell r="AF2371" t="str">
            <v/>
          </cell>
          <cell r="AG2371" t="str">
            <v>12664416</v>
          </cell>
          <cell r="AH2371">
            <v>45021.914490740739</v>
          </cell>
          <cell r="AI2371" t="str">
            <v>N52</v>
          </cell>
          <cell r="AJ2371" t="str">
            <v>F</v>
          </cell>
          <cell r="AK2371" t="str">
            <v/>
          </cell>
        </row>
        <row r="2372">
          <cell r="A2372" t="str">
            <v>12664942820541</v>
          </cell>
          <cell r="B2372" t="e">
            <v>#N/A</v>
          </cell>
          <cell r="C2372" t="e">
            <v>#N/A</v>
          </cell>
          <cell r="D2372" t="str">
            <v>EK65</v>
          </cell>
          <cell r="E2372" t="str">
            <v>726984</v>
          </cell>
          <cell r="F2372" t="str">
            <v>E</v>
          </cell>
          <cell r="G2372" t="str">
            <v>12664942</v>
          </cell>
          <cell r="H2372" t="str">
            <v>Scheibe</v>
          </cell>
          <cell r="I2372">
            <v>88</v>
          </cell>
          <cell r="J2372" t="str">
            <v>Stk</v>
          </cell>
          <cell r="K2372">
            <v>45196</v>
          </cell>
          <cell r="L2372" t="str">
            <v>820541</v>
          </cell>
          <cell r="M2372" t="str">
            <v/>
          </cell>
          <cell r="N2372" t="str">
            <v/>
          </cell>
          <cell r="O2372" t="str">
            <v/>
          </cell>
          <cell r="P2372" t="str">
            <v/>
          </cell>
          <cell r="Q2372" t="str">
            <v/>
          </cell>
          <cell r="R2372" t="str">
            <v/>
          </cell>
          <cell r="S2372" t="str">
            <v/>
          </cell>
          <cell r="T2372" t="str">
            <v/>
          </cell>
          <cell r="U2372" t="str">
            <v/>
          </cell>
          <cell r="V2372" t="str">
            <v>N52</v>
          </cell>
          <cell r="W2372" t="str">
            <v/>
          </cell>
          <cell r="X2372" t="str">
            <v/>
          </cell>
          <cell r="Y2372" t="str">
            <v/>
          </cell>
          <cell r="Z2372" t="str">
            <v/>
          </cell>
          <cell r="AA2372" t="str">
            <v/>
          </cell>
          <cell r="AB2372" t="str">
            <v>PA_5065563-DB.3048-4</v>
          </cell>
          <cell r="AC2372">
            <v>1</v>
          </cell>
          <cell r="AD2372" t="str">
            <v/>
          </cell>
          <cell r="AE2372">
            <v>0</v>
          </cell>
          <cell r="AF2372" t="str">
            <v/>
          </cell>
          <cell r="AG2372" t="str">
            <v>12664942</v>
          </cell>
          <cell r="AH2372">
            <v>45021.914513888885</v>
          </cell>
          <cell r="AI2372" t="str">
            <v>N52</v>
          </cell>
          <cell r="AJ2372" t="str">
            <v>F</v>
          </cell>
          <cell r="AK2372" t="str">
            <v/>
          </cell>
        </row>
        <row r="2373">
          <cell r="A2373" t="str">
            <v>1011858820541</v>
          </cell>
          <cell r="B2373" t="e">
            <v>#N/A</v>
          </cell>
          <cell r="C2373" t="e">
            <v>#N/A</v>
          </cell>
          <cell r="D2373" t="str">
            <v>EK65</v>
          </cell>
          <cell r="E2373" t="str">
            <v>727215</v>
          </cell>
          <cell r="F2373" t="str">
            <v>E</v>
          </cell>
          <cell r="G2373" t="str">
            <v>1011858</v>
          </cell>
          <cell r="H2373" t="str">
            <v>Gewindehinterlage</v>
          </cell>
          <cell r="I2373">
            <v>176</v>
          </cell>
          <cell r="J2373" t="str">
            <v>Stk</v>
          </cell>
          <cell r="K2373">
            <v>45169</v>
          </cell>
          <cell r="L2373" t="str">
            <v>820541</v>
          </cell>
          <cell r="M2373" t="str">
            <v/>
          </cell>
          <cell r="N2373" t="str">
            <v/>
          </cell>
          <cell r="O2373" t="str">
            <v/>
          </cell>
          <cell r="P2373" t="str">
            <v/>
          </cell>
          <cell r="Q2373" t="str">
            <v/>
          </cell>
          <cell r="R2373" t="str">
            <v/>
          </cell>
          <cell r="S2373" t="str">
            <v/>
          </cell>
          <cell r="T2373" t="str">
            <v/>
          </cell>
          <cell r="U2373" t="str">
            <v/>
          </cell>
          <cell r="V2373" t="str">
            <v>N32</v>
          </cell>
          <cell r="W2373" t="str">
            <v/>
          </cell>
          <cell r="X2373" t="str">
            <v/>
          </cell>
          <cell r="Y2373" t="str">
            <v/>
          </cell>
          <cell r="Z2373" t="str">
            <v/>
          </cell>
          <cell r="AA2373" t="str">
            <v/>
          </cell>
          <cell r="AB2373" t="str">
            <v>BU_3453022-CC.3043-3</v>
          </cell>
          <cell r="AC2373">
            <v>1</v>
          </cell>
          <cell r="AD2373" t="str">
            <v/>
          </cell>
          <cell r="AE2373">
            <v>0</v>
          </cell>
          <cell r="AF2373" t="str">
            <v/>
          </cell>
          <cell r="AG2373" t="str">
            <v>1011858</v>
          </cell>
          <cell r="AH2373">
            <v>45022.907060185185</v>
          </cell>
          <cell r="AI2373" t="str">
            <v>N32</v>
          </cell>
          <cell r="AJ2373" t="str">
            <v>F</v>
          </cell>
          <cell r="AK2373" t="str">
            <v>A</v>
          </cell>
        </row>
        <row r="2374">
          <cell r="A2374" t="str">
            <v>1011870820541</v>
          </cell>
          <cell r="B2374" t="e">
            <v>#N/A</v>
          </cell>
          <cell r="C2374" t="e">
            <v>#N/A</v>
          </cell>
          <cell r="D2374" t="str">
            <v>EK65</v>
          </cell>
          <cell r="E2374" t="str">
            <v>727216</v>
          </cell>
          <cell r="F2374" t="str">
            <v>E</v>
          </cell>
          <cell r="G2374" t="str">
            <v>1011870</v>
          </cell>
          <cell r="H2374" t="str">
            <v>Auflage</v>
          </cell>
          <cell r="I2374">
            <v>176</v>
          </cell>
          <cell r="J2374" t="str">
            <v>Stk</v>
          </cell>
          <cell r="K2374">
            <v>45169</v>
          </cell>
          <cell r="L2374" t="str">
            <v>820541</v>
          </cell>
          <cell r="M2374" t="str">
            <v/>
          </cell>
          <cell r="N2374" t="str">
            <v/>
          </cell>
          <cell r="O2374" t="str">
            <v/>
          </cell>
          <cell r="P2374" t="str">
            <v/>
          </cell>
          <cell r="Q2374" t="str">
            <v/>
          </cell>
          <cell r="R2374" t="str">
            <v/>
          </cell>
          <cell r="S2374" t="str">
            <v/>
          </cell>
          <cell r="T2374" t="str">
            <v/>
          </cell>
          <cell r="U2374" t="str">
            <v/>
          </cell>
          <cell r="V2374" t="str">
            <v>N32</v>
          </cell>
          <cell r="W2374" t="str">
            <v/>
          </cell>
          <cell r="X2374" t="str">
            <v/>
          </cell>
          <cell r="Y2374" t="str">
            <v/>
          </cell>
          <cell r="Z2374" t="str">
            <v/>
          </cell>
          <cell r="AA2374" t="str">
            <v/>
          </cell>
          <cell r="AB2374" t="str">
            <v>BU_3453023-CC.3043-3</v>
          </cell>
          <cell r="AC2374">
            <v>1</v>
          </cell>
          <cell r="AD2374" t="str">
            <v/>
          </cell>
          <cell r="AE2374">
            <v>0</v>
          </cell>
          <cell r="AF2374" t="str">
            <v/>
          </cell>
          <cell r="AG2374" t="str">
            <v>1011870</v>
          </cell>
          <cell r="AH2374">
            <v>45022.907071759262</v>
          </cell>
          <cell r="AI2374" t="str">
            <v>N32</v>
          </cell>
          <cell r="AJ2374" t="str">
            <v>F</v>
          </cell>
          <cell r="AK2374" t="str">
            <v/>
          </cell>
        </row>
        <row r="2375">
          <cell r="A2375" t="str">
            <v>1168094820541</v>
          </cell>
          <cell r="B2375" t="e">
            <v>#N/A</v>
          </cell>
          <cell r="C2375" t="e">
            <v>#N/A</v>
          </cell>
          <cell r="D2375" t="str">
            <v>EK65</v>
          </cell>
          <cell r="E2375" t="str">
            <v>727217</v>
          </cell>
          <cell r="F2375" t="str">
            <v>E</v>
          </cell>
          <cell r="G2375" t="str">
            <v>1168094</v>
          </cell>
          <cell r="H2375" t="str">
            <v>Distanzplatte</v>
          </cell>
          <cell r="I2375">
            <v>44</v>
          </cell>
          <cell r="J2375" t="str">
            <v>Stk</v>
          </cell>
          <cell r="K2375">
            <v>45169</v>
          </cell>
          <cell r="L2375" t="str">
            <v>820541</v>
          </cell>
          <cell r="M2375" t="str">
            <v/>
          </cell>
          <cell r="N2375" t="str">
            <v/>
          </cell>
          <cell r="O2375" t="str">
            <v/>
          </cell>
          <cell r="P2375" t="str">
            <v/>
          </cell>
          <cell r="Q2375" t="str">
            <v/>
          </cell>
          <cell r="R2375" t="str">
            <v/>
          </cell>
          <cell r="S2375" t="str">
            <v/>
          </cell>
          <cell r="T2375" t="str">
            <v/>
          </cell>
          <cell r="U2375" t="str">
            <v/>
          </cell>
          <cell r="V2375" t="str">
            <v>N52</v>
          </cell>
          <cell r="W2375" t="str">
            <v/>
          </cell>
          <cell r="X2375" t="str">
            <v/>
          </cell>
          <cell r="Y2375" t="str">
            <v/>
          </cell>
          <cell r="Z2375" t="str">
            <v/>
          </cell>
          <cell r="AA2375" t="str">
            <v/>
          </cell>
          <cell r="AB2375" t="str">
            <v>PA_2295914-CC.3044-4</v>
          </cell>
          <cell r="AC2375">
            <v>1</v>
          </cell>
          <cell r="AD2375" t="str">
            <v/>
          </cell>
          <cell r="AE2375">
            <v>0</v>
          </cell>
          <cell r="AF2375" t="str">
            <v/>
          </cell>
          <cell r="AG2375" t="str">
            <v>1168094</v>
          </cell>
          <cell r="AH2375">
            <v>45022.907546296294</v>
          </cell>
          <cell r="AI2375" t="str">
            <v>N52</v>
          </cell>
          <cell r="AJ2375" t="str">
            <v>F</v>
          </cell>
          <cell r="AK2375" t="str">
            <v/>
          </cell>
        </row>
        <row r="2376">
          <cell r="A2376" t="str">
            <v>12638614820541</v>
          </cell>
          <cell r="B2376" t="e">
            <v>#N/A</v>
          </cell>
          <cell r="C2376" t="e">
            <v>#N/A</v>
          </cell>
          <cell r="D2376" t="str">
            <v>EK65</v>
          </cell>
          <cell r="E2376" t="str">
            <v>727220</v>
          </cell>
          <cell r="F2376" t="str">
            <v>E</v>
          </cell>
          <cell r="G2376" t="str">
            <v>12638614</v>
          </cell>
          <cell r="H2376" t="str">
            <v>Distanzblock</v>
          </cell>
          <cell r="I2376">
            <v>88</v>
          </cell>
          <cell r="J2376" t="str">
            <v>Stk</v>
          </cell>
          <cell r="K2376">
            <v>45169</v>
          </cell>
          <cell r="L2376" t="str">
            <v>820541</v>
          </cell>
          <cell r="M2376" t="str">
            <v/>
          </cell>
          <cell r="N2376" t="str">
            <v/>
          </cell>
          <cell r="O2376" t="str">
            <v/>
          </cell>
          <cell r="P2376" t="str">
            <v/>
          </cell>
          <cell r="Q2376" t="str">
            <v/>
          </cell>
          <cell r="R2376" t="str">
            <v/>
          </cell>
          <cell r="S2376" t="str">
            <v/>
          </cell>
          <cell r="T2376" t="str">
            <v/>
          </cell>
          <cell r="U2376" t="str">
            <v/>
          </cell>
          <cell r="V2376" t="str">
            <v>N52</v>
          </cell>
          <cell r="W2376" t="str">
            <v/>
          </cell>
          <cell r="X2376" t="str">
            <v/>
          </cell>
          <cell r="Y2376" t="str">
            <v/>
          </cell>
          <cell r="Z2376" t="str">
            <v/>
          </cell>
          <cell r="AA2376" t="str">
            <v/>
          </cell>
          <cell r="AB2376" t="str">
            <v>PA_5088800-CC.3048-4</v>
          </cell>
          <cell r="AC2376">
            <v>1</v>
          </cell>
          <cell r="AD2376" t="str">
            <v/>
          </cell>
          <cell r="AE2376">
            <v>0</v>
          </cell>
          <cell r="AF2376" t="str">
            <v/>
          </cell>
          <cell r="AG2376" t="str">
            <v>12638614</v>
          </cell>
          <cell r="AH2376">
            <v>45022.908136574071</v>
          </cell>
          <cell r="AI2376" t="str">
            <v>N52</v>
          </cell>
          <cell r="AJ2376" t="str">
            <v>F</v>
          </cell>
          <cell r="AK2376" t="str">
            <v/>
          </cell>
        </row>
        <row r="2377">
          <cell r="A2377" t="str">
            <v>12638857820541</v>
          </cell>
          <cell r="B2377" t="e">
            <v>#N/A</v>
          </cell>
          <cell r="C2377" t="e">
            <v>#N/A</v>
          </cell>
          <cell r="D2377" t="str">
            <v>EK65</v>
          </cell>
          <cell r="E2377" t="str">
            <v>727221</v>
          </cell>
          <cell r="F2377" t="str">
            <v>E</v>
          </cell>
          <cell r="G2377" t="str">
            <v>12638857</v>
          </cell>
          <cell r="H2377" t="str">
            <v>Bodenprofil</v>
          </cell>
          <cell r="I2377">
            <v>44</v>
          </cell>
          <cell r="J2377" t="str">
            <v>Stk</v>
          </cell>
          <cell r="K2377">
            <v>45169</v>
          </cell>
          <cell r="L2377" t="str">
            <v>820541</v>
          </cell>
          <cell r="M2377" t="str">
            <v/>
          </cell>
          <cell r="N2377" t="str">
            <v/>
          </cell>
          <cell r="O2377" t="str">
            <v/>
          </cell>
          <cell r="P2377" t="str">
            <v/>
          </cell>
          <cell r="Q2377" t="str">
            <v/>
          </cell>
          <cell r="R2377" t="str">
            <v/>
          </cell>
          <cell r="S2377" t="str">
            <v/>
          </cell>
          <cell r="T2377" t="str">
            <v/>
          </cell>
          <cell r="U2377" t="str">
            <v/>
          </cell>
          <cell r="V2377" t="str">
            <v>N52</v>
          </cell>
          <cell r="W2377" t="str">
            <v/>
          </cell>
          <cell r="X2377" t="str">
            <v/>
          </cell>
          <cell r="Y2377" t="str">
            <v/>
          </cell>
          <cell r="Z2377" t="str">
            <v/>
          </cell>
          <cell r="AA2377" t="str">
            <v/>
          </cell>
          <cell r="AB2377" t="str">
            <v>PA_4803196-CC.3048-3</v>
          </cell>
          <cell r="AC2377">
            <v>1</v>
          </cell>
          <cell r="AD2377" t="str">
            <v/>
          </cell>
          <cell r="AE2377">
            <v>0</v>
          </cell>
          <cell r="AF2377" t="str">
            <v/>
          </cell>
          <cell r="AG2377" t="str">
            <v>12638857</v>
          </cell>
          <cell r="AH2377">
            <v>45022.908148148148</v>
          </cell>
          <cell r="AI2377" t="str">
            <v>N52</v>
          </cell>
          <cell r="AJ2377" t="str">
            <v>F</v>
          </cell>
          <cell r="AK2377" t="str">
            <v/>
          </cell>
        </row>
        <row r="2378">
          <cell r="A2378" t="str">
            <v>12639191820541</v>
          </cell>
          <cell r="B2378" t="e">
            <v>#N/A</v>
          </cell>
          <cell r="C2378" t="e">
            <v>#N/A</v>
          </cell>
          <cell r="D2378" t="str">
            <v>EK65</v>
          </cell>
          <cell r="E2378" t="str">
            <v>727222</v>
          </cell>
          <cell r="F2378" t="str">
            <v>E</v>
          </cell>
          <cell r="G2378" t="str">
            <v>12639191</v>
          </cell>
          <cell r="H2378" t="str">
            <v>Bodenprofil</v>
          </cell>
          <cell r="I2378">
            <v>44</v>
          </cell>
          <cell r="J2378" t="str">
            <v>Stk</v>
          </cell>
          <cell r="K2378">
            <v>45169</v>
          </cell>
          <cell r="L2378" t="str">
            <v>820541</v>
          </cell>
          <cell r="M2378" t="str">
            <v/>
          </cell>
          <cell r="N2378" t="str">
            <v/>
          </cell>
          <cell r="O2378" t="str">
            <v/>
          </cell>
          <cell r="P2378" t="str">
            <v/>
          </cell>
          <cell r="Q2378" t="str">
            <v/>
          </cell>
          <cell r="R2378" t="str">
            <v/>
          </cell>
          <cell r="S2378" t="str">
            <v/>
          </cell>
          <cell r="T2378" t="str">
            <v/>
          </cell>
          <cell r="U2378" t="str">
            <v/>
          </cell>
          <cell r="V2378" t="str">
            <v>N52</v>
          </cell>
          <cell r="W2378" t="str">
            <v/>
          </cell>
          <cell r="X2378" t="str">
            <v/>
          </cell>
          <cell r="Y2378" t="str">
            <v/>
          </cell>
          <cell r="Z2378" t="str">
            <v/>
          </cell>
          <cell r="AA2378" t="str">
            <v/>
          </cell>
          <cell r="AB2378" t="str">
            <v>PA_5114847-CC.3048-3</v>
          </cell>
          <cell r="AC2378">
            <v>1</v>
          </cell>
          <cell r="AD2378" t="str">
            <v/>
          </cell>
          <cell r="AE2378">
            <v>0</v>
          </cell>
          <cell r="AF2378" t="str">
            <v/>
          </cell>
          <cell r="AG2378" t="str">
            <v>12639191</v>
          </cell>
          <cell r="AH2378">
            <v>45022.908159722225</v>
          </cell>
          <cell r="AI2378" t="str">
            <v>N52</v>
          </cell>
          <cell r="AJ2378" t="str">
            <v>F</v>
          </cell>
          <cell r="AK2378" t="str">
            <v/>
          </cell>
        </row>
        <row r="2379">
          <cell r="A2379" t="str">
            <v>12639549820541</v>
          </cell>
          <cell r="B2379" t="e">
            <v>#N/A</v>
          </cell>
          <cell r="C2379" t="e">
            <v>#N/A</v>
          </cell>
          <cell r="D2379" t="str">
            <v>EK65</v>
          </cell>
          <cell r="E2379" t="str">
            <v>727223</v>
          </cell>
          <cell r="F2379" t="str">
            <v>E</v>
          </cell>
          <cell r="G2379" t="str">
            <v>12639549</v>
          </cell>
          <cell r="H2379" t="str">
            <v>Bodenprofil</v>
          </cell>
          <cell r="I2379">
            <v>836</v>
          </cell>
          <cell r="J2379" t="str">
            <v>Stk</v>
          </cell>
          <cell r="K2379">
            <v>45168</v>
          </cell>
          <cell r="L2379" t="str">
            <v>820541</v>
          </cell>
          <cell r="M2379" t="str">
            <v/>
          </cell>
          <cell r="N2379" t="str">
            <v/>
          </cell>
          <cell r="O2379" t="str">
            <v/>
          </cell>
          <cell r="P2379" t="str">
            <v/>
          </cell>
          <cell r="Q2379" t="str">
            <v/>
          </cell>
          <cell r="R2379" t="str">
            <v/>
          </cell>
          <cell r="S2379" t="str">
            <v/>
          </cell>
          <cell r="T2379" t="str">
            <v/>
          </cell>
          <cell r="U2379" t="str">
            <v/>
          </cell>
          <cell r="V2379" t="str">
            <v>N52</v>
          </cell>
          <cell r="W2379" t="str">
            <v/>
          </cell>
          <cell r="X2379" t="str">
            <v/>
          </cell>
          <cell r="Y2379" t="str">
            <v/>
          </cell>
          <cell r="Z2379" t="str">
            <v/>
          </cell>
          <cell r="AA2379" t="str">
            <v/>
          </cell>
          <cell r="AB2379" t="str">
            <v>PA_5114002-CC.3048-3</v>
          </cell>
          <cell r="AC2379">
            <v>1</v>
          </cell>
          <cell r="AD2379" t="str">
            <v/>
          </cell>
          <cell r="AE2379">
            <v>0</v>
          </cell>
          <cell r="AF2379" t="str">
            <v/>
          </cell>
          <cell r="AG2379" t="str">
            <v>12639549</v>
          </cell>
          <cell r="AH2379">
            <v>45022.908159722225</v>
          </cell>
          <cell r="AI2379" t="str">
            <v>N52</v>
          </cell>
          <cell r="AJ2379" t="str">
            <v>F</v>
          </cell>
          <cell r="AK2379" t="str">
            <v/>
          </cell>
        </row>
        <row r="2380">
          <cell r="A2380" t="str">
            <v>12639574820541</v>
          </cell>
          <cell r="B2380" t="e">
            <v>#N/A</v>
          </cell>
          <cell r="C2380" t="e">
            <v>#N/A</v>
          </cell>
          <cell r="D2380" t="str">
            <v>EK65</v>
          </cell>
          <cell r="E2380" t="str">
            <v>727224</v>
          </cell>
          <cell r="F2380" t="str">
            <v>E</v>
          </cell>
          <cell r="G2380" t="str">
            <v>12639574</v>
          </cell>
          <cell r="H2380" t="str">
            <v>Bodenprofil</v>
          </cell>
          <cell r="I2380">
            <v>308</v>
          </cell>
          <cell r="J2380" t="str">
            <v>Stk</v>
          </cell>
          <cell r="K2380">
            <v>45168</v>
          </cell>
          <cell r="L2380" t="str">
            <v>820541</v>
          </cell>
          <cell r="M2380" t="str">
            <v/>
          </cell>
          <cell r="N2380" t="str">
            <v/>
          </cell>
          <cell r="O2380" t="str">
            <v/>
          </cell>
          <cell r="P2380" t="str">
            <v/>
          </cell>
          <cell r="Q2380" t="str">
            <v/>
          </cell>
          <cell r="R2380" t="str">
            <v/>
          </cell>
          <cell r="S2380" t="str">
            <v/>
          </cell>
          <cell r="T2380" t="str">
            <v/>
          </cell>
          <cell r="U2380" t="str">
            <v/>
          </cell>
          <cell r="V2380" t="str">
            <v>N52</v>
          </cell>
          <cell r="W2380" t="str">
            <v/>
          </cell>
          <cell r="X2380" t="str">
            <v/>
          </cell>
          <cell r="Y2380" t="str">
            <v/>
          </cell>
          <cell r="Z2380" t="str">
            <v/>
          </cell>
          <cell r="AA2380" t="str">
            <v/>
          </cell>
          <cell r="AB2380" t="str">
            <v>PA_4934555-CC.3048-3</v>
          </cell>
          <cell r="AC2380">
            <v>1</v>
          </cell>
          <cell r="AD2380" t="str">
            <v/>
          </cell>
          <cell r="AE2380">
            <v>0</v>
          </cell>
          <cell r="AF2380" t="str">
            <v/>
          </cell>
          <cell r="AG2380" t="str">
            <v>12639574</v>
          </cell>
          <cell r="AH2380">
            <v>45022.908182870371</v>
          </cell>
          <cell r="AI2380" t="str">
            <v>N52</v>
          </cell>
          <cell r="AJ2380" t="str">
            <v>F</v>
          </cell>
          <cell r="AK2380" t="str">
            <v/>
          </cell>
        </row>
        <row r="2381">
          <cell r="A2381" t="str">
            <v>12639603820541</v>
          </cell>
          <cell r="B2381" t="e">
            <v>#N/A</v>
          </cell>
          <cell r="C2381" t="e">
            <v>#N/A</v>
          </cell>
          <cell r="D2381" t="str">
            <v>EK65</v>
          </cell>
          <cell r="E2381" t="str">
            <v>727225</v>
          </cell>
          <cell r="F2381" t="str">
            <v>E</v>
          </cell>
          <cell r="G2381" t="str">
            <v>12639603</v>
          </cell>
          <cell r="H2381" t="str">
            <v>Bodenprofil</v>
          </cell>
          <cell r="I2381">
            <v>88</v>
          </cell>
          <cell r="J2381" t="str">
            <v>Stk</v>
          </cell>
          <cell r="K2381">
            <v>45169</v>
          </cell>
          <cell r="L2381" t="str">
            <v>820541</v>
          </cell>
          <cell r="M2381" t="str">
            <v/>
          </cell>
          <cell r="N2381" t="str">
            <v/>
          </cell>
          <cell r="O2381" t="str">
            <v/>
          </cell>
          <cell r="P2381" t="str">
            <v/>
          </cell>
          <cell r="Q2381" t="str">
            <v/>
          </cell>
          <cell r="R2381" t="str">
            <v/>
          </cell>
          <cell r="S2381" t="str">
            <v/>
          </cell>
          <cell r="T2381" t="str">
            <v/>
          </cell>
          <cell r="U2381" t="str">
            <v/>
          </cell>
          <cell r="V2381" t="str">
            <v>N52</v>
          </cell>
          <cell r="W2381" t="str">
            <v/>
          </cell>
          <cell r="X2381" t="str">
            <v/>
          </cell>
          <cell r="Y2381" t="str">
            <v/>
          </cell>
          <cell r="Z2381" t="str">
            <v/>
          </cell>
          <cell r="AA2381" t="str">
            <v/>
          </cell>
          <cell r="AB2381" t="str">
            <v>PA_4993499-CC.3048-3</v>
          </cell>
          <cell r="AC2381">
            <v>1</v>
          </cell>
          <cell r="AD2381" t="str">
            <v/>
          </cell>
          <cell r="AE2381">
            <v>0</v>
          </cell>
          <cell r="AF2381" t="str">
            <v/>
          </cell>
          <cell r="AG2381" t="str">
            <v>12639603</v>
          </cell>
          <cell r="AH2381">
            <v>45022.908194444448</v>
          </cell>
          <cell r="AI2381" t="str">
            <v>N52</v>
          </cell>
          <cell r="AJ2381" t="str">
            <v>F</v>
          </cell>
          <cell r="AK2381" t="str">
            <v/>
          </cell>
        </row>
        <row r="2382">
          <cell r="A2382" t="str">
            <v>12639630820541</v>
          </cell>
          <cell r="B2382" t="e">
            <v>#N/A</v>
          </cell>
          <cell r="C2382" t="e">
            <v>#N/A</v>
          </cell>
          <cell r="D2382" t="str">
            <v>EK65</v>
          </cell>
          <cell r="E2382" t="str">
            <v>727226</v>
          </cell>
          <cell r="F2382" t="str">
            <v>E</v>
          </cell>
          <cell r="G2382" t="str">
            <v>12639630</v>
          </cell>
          <cell r="H2382" t="str">
            <v>R- Profil Bodenlagerung</v>
          </cell>
          <cell r="I2382">
            <v>352</v>
          </cell>
          <cell r="J2382" t="str">
            <v>Stk</v>
          </cell>
          <cell r="K2382">
            <v>45168</v>
          </cell>
          <cell r="L2382" t="str">
            <v>820541</v>
          </cell>
          <cell r="M2382" t="str">
            <v/>
          </cell>
          <cell r="N2382" t="str">
            <v/>
          </cell>
          <cell r="O2382" t="str">
            <v/>
          </cell>
          <cell r="P2382" t="str">
            <v/>
          </cell>
          <cell r="Q2382" t="str">
            <v/>
          </cell>
          <cell r="R2382" t="str">
            <v/>
          </cell>
          <cell r="S2382" t="str">
            <v/>
          </cell>
          <cell r="T2382" t="str">
            <v/>
          </cell>
          <cell r="U2382" t="str">
            <v/>
          </cell>
          <cell r="V2382" t="str">
            <v>N52</v>
          </cell>
          <cell r="W2382" t="str">
            <v/>
          </cell>
          <cell r="X2382" t="str">
            <v/>
          </cell>
          <cell r="Y2382" t="str">
            <v/>
          </cell>
          <cell r="Z2382" t="str">
            <v/>
          </cell>
          <cell r="AA2382" t="str">
            <v/>
          </cell>
          <cell r="AB2382" t="str">
            <v>PA_4802114-CC.3048-3</v>
          </cell>
          <cell r="AC2382">
            <v>1</v>
          </cell>
          <cell r="AD2382" t="str">
            <v/>
          </cell>
          <cell r="AE2382">
            <v>0</v>
          </cell>
          <cell r="AF2382" t="str">
            <v/>
          </cell>
          <cell r="AG2382" t="str">
            <v>12639630</v>
          </cell>
          <cell r="AH2382">
            <v>45022.908206018517</v>
          </cell>
          <cell r="AI2382" t="str">
            <v>N52</v>
          </cell>
          <cell r="AJ2382" t="str">
            <v>F</v>
          </cell>
          <cell r="AK2382" t="str">
            <v/>
          </cell>
        </row>
        <row r="2383">
          <cell r="A2383" t="str">
            <v>12639636820541</v>
          </cell>
          <cell r="B2383" t="e">
            <v>#N/A</v>
          </cell>
          <cell r="C2383" t="e">
            <v>#N/A</v>
          </cell>
          <cell r="D2383" t="str">
            <v>EK65</v>
          </cell>
          <cell r="E2383" t="str">
            <v>727227</v>
          </cell>
          <cell r="F2383" t="str">
            <v>E</v>
          </cell>
          <cell r="G2383" t="str">
            <v>12639636</v>
          </cell>
          <cell r="H2383" t="str">
            <v>R- Profil Bodenlagerung</v>
          </cell>
          <cell r="I2383">
            <v>352</v>
          </cell>
          <cell r="J2383" t="str">
            <v>Stk</v>
          </cell>
          <cell r="K2383">
            <v>45168</v>
          </cell>
          <cell r="L2383" t="str">
            <v>820541</v>
          </cell>
          <cell r="M2383" t="str">
            <v/>
          </cell>
          <cell r="N2383" t="str">
            <v/>
          </cell>
          <cell r="O2383" t="str">
            <v/>
          </cell>
          <cell r="P2383" t="str">
            <v/>
          </cell>
          <cell r="Q2383" t="str">
            <v/>
          </cell>
          <cell r="R2383" t="str">
            <v/>
          </cell>
          <cell r="S2383" t="str">
            <v/>
          </cell>
          <cell r="T2383" t="str">
            <v/>
          </cell>
          <cell r="U2383" t="str">
            <v/>
          </cell>
          <cell r="V2383" t="str">
            <v>N52</v>
          </cell>
          <cell r="W2383" t="str">
            <v/>
          </cell>
          <cell r="X2383" t="str">
            <v/>
          </cell>
          <cell r="Y2383" t="str">
            <v/>
          </cell>
          <cell r="Z2383" t="str">
            <v/>
          </cell>
          <cell r="AA2383" t="str">
            <v/>
          </cell>
          <cell r="AB2383" t="str">
            <v>PA_4935920-CC.3048-3</v>
          </cell>
          <cell r="AC2383">
            <v>1</v>
          </cell>
          <cell r="AD2383" t="str">
            <v/>
          </cell>
          <cell r="AE2383">
            <v>0</v>
          </cell>
          <cell r="AF2383" t="str">
            <v/>
          </cell>
          <cell r="AG2383" t="str">
            <v>12639636</v>
          </cell>
          <cell r="AH2383">
            <v>45022.908217592594</v>
          </cell>
          <cell r="AI2383" t="str">
            <v>N52</v>
          </cell>
          <cell r="AJ2383" t="str">
            <v>F</v>
          </cell>
          <cell r="AK2383" t="str">
            <v/>
          </cell>
        </row>
        <row r="2384">
          <cell r="A2384" t="str">
            <v>12639786820541</v>
          </cell>
          <cell r="B2384" t="e">
            <v>#N/A</v>
          </cell>
          <cell r="C2384" t="e">
            <v>#N/A</v>
          </cell>
          <cell r="D2384" t="str">
            <v>EK65</v>
          </cell>
          <cell r="E2384" t="str">
            <v>727228</v>
          </cell>
          <cell r="F2384" t="str">
            <v>E</v>
          </cell>
          <cell r="G2384" t="str">
            <v>12639786</v>
          </cell>
          <cell r="H2384" t="str">
            <v>R- Profil Bodenlagerung</v>
          </cell>
          <cell r="I2384">
            <v>704</v>
          </cell>
          <cell r="J2384" t="str">
            <v>Stk</v>
          </cell>
          <cell r="K2384">
            <v>45168</v>
          </cell>
          <cell r="L2384" t="str">
            <v>820541</v>
          </cell>
          <cell r="M2384" t="str">
            <v/>
          </cell>
          <cell r="N2384" t="str">
            <v/>
          </cell>
          <cell r="O2384" t="str">
            <v/>
          </cell>
          <cell r="P2384" t="str">
            <v/>
          </cell>
          <cell r="Q2384" t="str">
            <v/>
          </cell>
          <cell r="R2384" t="str">
            <v/>
          </cell>
          <cell r="S2384" t="str">
            <v/>
          </cell>
          <cell r="T2384" t="str">
            <v/>
          </cell>
          <cell r="U2384" t="str">
            <v/>
          </cell>
          <cell r="V2384" t="str">
            <v>N52</v>
          </cell>
          <cell r="W2384" t="str">
            <v/>
          </cell>
          <cell r="X2384" t="str">
            <v/>
          </cell>
          <cell r="Y2384" t="str">
            <v/>
          </cell>
          <cell r="Z2384" t="str">
            <v/>
          </cell>
          <cell r="AA2384" t="str">
            <v/>
          </cell>
          <cell r="AB2384" t="str">
            <v>PA_4749212-CC.3048-3</v>
          </cell>
          <cell r="AC2384">
            <v>1</v>
          </cell>
          <cell r="AD2384" t="str">
            <v/>
          </cell>
          <cell r="AE2384">
            <v>0</v>
          </cell>
          <cell r="AF2384" t="str">
            <v/>
          </cell>
          <cell r="AG2384" t="str">
            <v>12639786</v>
          </cell>
          <cell r="AH2384">
            <v>45022.908229166664</v>
          </cell>
          <cell r="AI2384" t="str">
            <v>N52</v>
          </cell>
          <cell r="AJ2384" t="str">
            <v>F</v>
          </cell>
          <cell r="AK2384" t="str">
            <v/>
          </cell>
        </row>
        <row r="2385">
          <cell r="A2385" t="str">
            <v>12639840820541</v>
          </cell>
          <cell r="B2385" t="e">
            <v>#N/A</v>
          </cell>
          <cell r="C2385" t="e">
            <v>#N/A</v>
          </cell>
          <cell r="D2385" t="str">
            <v>EK65</v>
          </cell>
          <cell r="E2385" t="str">
            <v>727229</v>
          </cell>
          <cell r="F2385" t="str">
            <v>E</v>
          </cell>
          <cell r="G2385" t="str">
            <v>12639840</v>
          </cell>
          <cell r="H2385" t="str">
            <v>R- Profil Bodenlagerung</v>
          </cell>
          <cell r="I2385">
            <v>132</v>
          </cell>
          <cell r="J2385" t="str">
            <v>Stk</v>
          </cell>
          <cell r="K2385">
            <v>45168</v>
          </cell>
          <cell r="L2385" t="str">
            <v>820541</v>
          </cell>
          <cell r="M2385" t="str">
            <v/>
          </cell>
          <cell r="N2385" t="str">
            <v/>
          </cell>
          <cell r="O2385" t="str">
            <v/>
          </cell>
          <cell r="P2385" t="str">
            <v/>
          </cell>
          <cell r="Q2385" t="str">
            <v/>
          </cell>
          <cell r="R2385" t="str">
            <v/>
          </cell>
          <cell r="S2385" t="str">
            <v/>
          </cell>
          <cell r="T2385" t="str">
            <v/>
          </cell>
          <cell r="U2385" t="str">
            <v/>
          </cell>
          <cell r="V2385" t="str">
            <v>N52</v>
          </cell>
          <cell r="W2385" t="str">
            <v/>
          </cell>
          <cell r="X2385" t="str">
            <v/>
          </cell>
          <cell r="Y2385" t="str">
            <v/>
          </cell>
          <cell r="Z2385" t="str">
            <v/>
          </cell>
          <cell r="AA2385" t="str">
            <v/>
          </cell>
          <cell r="AB2385" t="str">
            <v>PA_4802812-CC.3048-3</v>
          </cell>
          <cell r="AC2385">
            <v>1</v>
          </cell>
          <cell r="AD2385" t="str">
            <v/>
          </cell>
          <cell r="AE2385">
            <v>0</v>
          </cell>
          <cell r="AF2385" t="str">
            <v/>
          </cell>
          <cell r="AG2385" t="str">
            <v>12639840</v>
          </cell>
          <cell r="AH2385">
            <v>45022.90824074074</v>
          </cell>
          <cell r="AI2385" t="str">
            <v>N52</v>
          </cell>
          <cell r="AJ2385" t="str">
            <v>F</v>
          </cell>
          <cell r="AK2385" t="str">
            <v/>
          </cell>
        </row>
        <row r="2386">
          <cell r="A2386" t="str">
            <v>12639966820541</v>
          </cell>
          <cell r="B2386" t="e">
            <v>#N/A</v>
          </cell>
          <cell r="C2386" t="e">
            <v>#N/A</v>
          </cell>
          <cell r="D2386" t="str">
            <v>EK65</v>
          </cell>
          <cell r="E2386" t="str">
            <v>727230</v>
          </cell>
          <cell r="F2386" t="str">
            <v>E</v>
          </cell>
          <cell r="G2386" t="str">
            <v>12639966</v>
          </cell>
          <cell r="H2386" t="str">
            <v>R- Profil Bodenlagerung</v>
          </cell>
          <cell r="I2386">
            <v>352</v>
          </cell>
          <cell r="J2386" t="str">
            <v>Stk</v>
          </cell>
          <cell r="K2386">
            <v>45168</v>
          </cell>
          <cell r="L2386" t="str">
            <v>820541</v>
          </cell>
          <cell r="M2386" t="str">
            <v/>
          </cell>
          <cell r="N2386" t="str">
            <v/>
          </cell>
          <cell r="O2386" t="str">
            <v/>
          </cell>
          <cell r="P2386" t="str">
            <v/>
          </cell>
          <cell r="Q2386" t="str">
            <v/>
          </cell>
          <cell r="R2386" t="str">
            <v/>
          </cell>
          <cell r="S2386" t="str">
            <v/>
          </cell>
          <cell r="T2386" t="str">
            <v/>
          </cell>
          <cell r="U2386" t="str">
            <v/>
          </cell>
          <cell r="V2386" t="str">
            <v>N52</v>
          </cell>
          <cell r="W2386" t="str">
            <v/>
          </cell>
          <cell r="X2386" t="str">
            <v/>
          </cell>
          <cell r="Y2386" t="str">
            <v/>
          </cell>
          <cell r="Z2386" t="str">
            <v/>
          </cell>
          <cell r="AA2386" t="str">
            <v/>
          </cell>
          <cell r="AB2386" t="str">
            <v>PA_5100166-CC.3048-3</v>
          </cell>
          <cell r="AC2386">
            <v>1</v>
          </cell>
          <cell r="AD2386" t="str">
            <v/>
          </cell>
          <cell r="AE2386">
            <v>0</v>
          </cell>
          <cell r="AF2386" t="str">
            <v/>
          </cell>
          <cell r="AG2386" t="str">
            <v>12639966</v>
          </cell>
          <cell r="AH2386">
            <v>45022.908252314817</v>
          </cell>
          <cell r="AI2386" t="str">
            <v>N52</v>
          </cell>
          <cell r="AJ2386" t="str">
            <v>F</v>
          </cell>
          <cell r="AK2386" t="str">
            <v/>
          </cell>
        </row>
        <row r="2387">
          <cell r="A2387" t="str">
            <v>12640038820541</v>
          </cell>
          <cell r="B2387" t="e">
            <v>#N/A</v>
          </cell>
          <cell r="C2387" t="e">
            <v>#N/A</v>
          </cell>
          <cell r="D2387" t="str">
            <v>EK65</v>
          </cell>
          <cell r="E2387" t="str">
            <v>727231</v>
          </cell>
          <cell r="F2387" t="str">
            <v>E</v>
          </cell>
          <cell r="G2387" t="str">
            <v>12640038</v>
          </cell>
          <cell r="H2387" t="str">
            <v>R- Profil Bodenlagerung</v>
          </cell>
          <cell r="I2387">
            <v>44</v>
          </cell>
          <cell r="J2387" t="str">
            <v>Stk</v>
          </cell>
          <cell r="K2387">
            <v>45169</v>
          </cell>
          <cell r="L2387" t="str">
            <v>820541</v>
          </cell>
          <cell r="M2387" t="str">
            <v/>
          </cell>
          <cell r="N2387" t="str">
            <v/>
          </cell>
          <cell r="O2387" t="str">
            <v/>
          </cell>
          <cell r="P2387" t="str">
            <v/>
          </cell>
          <cell r="Q2387" t="str">
            <v/>
          </cell>
          <cell r="R2387" t="str">
            <v/>
          </cell>
          <cell r="S2387" t="str">
            <v/>
          </cell>
          <cell r="T2387" t="str">
            <v/>
          </cell>
          <cell r="U2387" t="str">
            <v/>
          </cell>
          <cell r="V2387" t="str">
            <v>N52</v>
          </cell>
          <cell r="W2387" t="str">
            <v/>
          </cell>
          <cell r="X2387" t="str">
            <v/>
          </cell>
          <cell r="Y2387" t="str">
            <v/>
          </cell>
          <cell r="Z2387" t="str">
            <v/>
          </cell>
          <cell r="AA2387" t="str">
            <v/>
          </cell>
          <cell r="AB2387" t="str">
            <v>PA_5104614-CC.3048-3</v>
          </cell>
          <cell r="AC2387">
            <v>1</v>
          </cell>
          <cell r="AD2387" t="str">
            <v/>
          </cell>
          <cell r="AE2387">
            <v>0</v>
          </cell>
          <cell r="AF2387" t="str">
            <v/>
          </cell>
          <cell r="AG2387" t="str">
            <v>12640038</v>
          </cell>
          <cell r="AH2387">
            <v>45022.908263888887</v>
          </cell>
          <cell r="AI2387" t="str">
            <v>N52</v>
          </cell>
          <cell r="AJ2387" t="str">
            <v>F</v>
          </cell>
          <cell r="AK2387" t="str">
            <v/>
          </cell>
        </row>
        <row r="2388">
          <cell r="A2388" t="str">
            <v>12640112820541</v>
          </cell>
          <cell r="B2388" t="e">
            <v>#N/A</v>
          </cell>
          <cell r="C2388" t="e">
            <v>#N/A</v>
          </cell>
          <cell r="D2388" t="str">
            <v>EK65</v>
          </cell>
          <cell r="E2388" t="str">
            <v>727232</v>
          </cell>
          <cell r="F2388" t="str">
            <v>E</v>
          </cell>
          <cell r="G2388" t="str">
            <v>12640112</v>
          </cell>
          <cell r="H2388" t="str">
            <v>R- Profil Bodenlagerung</v>
          </cell>
          <cell r="I2388">
            <v>88</v>
          </cell>
          <cell r="J2388" t="str">
            <v>Stk</v>
          </cell>
          <cell r="K2388">
            <v>45169</v>
          </cell>
          <cell r="L2388" t="str">
            <v>820541</v>
          </cell>
          <cell r="M2388" t="str">
            <v/>
          </cell>
          <cell r="N2388" t="str">
            <v/>
          </cell>
          <cell r="O2388" t="str">
            <v/>
          </cell>
          <cell r="P2388" t="str">
            <v/>
          </cell>
          <cell r="Q2388" t="str">
            <v/>
          </cell>
          <cell r="R2388" t="str">
            <v/>
          </cell>
          <cell r="S2388" t="str">
            <v/>
          </cell>
          <cell r="T2388" t="str">
            <v/>
          </cell>
          <cell r="U2388" t="str">
            <v/>
          </cell>
          <cell r="V2388" t="str">
            <v>N52</v>
          </cell>
          <cell r="W2388" t="str">
            <v/>
          </cell>
          <cell r="X2388" t="str">
            <v/>
          </cell>
          <cell r="Y2388" t="str">
            <v/>
          </cell>
          <cell r="Z2388" t="str">
            <v/>
          </cell>
          <cell r="AA2388" t="str">
            <v/>
          </cell>
          <cell r="AB2388" t="str">
            <v>PA_4956462-CC.3048-3</v>
          </cell>
          <cell r="AC2388">
            <v>1</v>
          </cell>
          <cell r="AD2388" t="str">
            <v/>
          </cell>
          <cell r="AE2388">
            <v>0</v>
          </cell>
          <cell r="AF2388" t="str">
            <v/>
          </cell>
          <cell r="AG2388" t="str">
            <v>12640112</v>
          </cell>
          <cell r="AH2388">
            <v>45022.90829861111</v>
          </cell>
          <cell r="AI2388" t="str">
            <v>N52</v>
          </cell>
          <cell r="AJ2388" t="str">
            <v>F</v>
          </cell>
          <cell r="AK2388" t="str">
            <v/>
          </cell>
        </row>
        <row r="2389">
          <cell r="A2389" t="str">
            <v>12641121820541</v>
          </cell>
          <cell r="B2389" t="e">
            <v>#N/A</v>
          </cell>
          <cell r="C2389" t="e">
            <v>#N/A</v>
          </cell>
          <cell r="D2389" t="str">
            <v>EK65</v>
          </cell>
          <cell r="E2389" t="str">
            <v>727233</v>
          </cell>
          <cell r="F2389" t="str">
            <v>E</v>
          </cell>
          <cell r="G2389" t="str">
            <v>12641121</v>
          </cell>
          <cell r="H2389" t="str">
            <v>R-Profil Bodenlagerung</v>
          </cell>
          <cell r="I2389">
            <v>176</v>
          </cell>
          <cell r="J2389" t="str">
            <v>Stk</v>
          </cell>
          <cell r="K2389">
            <v>45169</v>
          </cell>
          <cell r="L2389" t="str">
            <v>820541</v>
          </cell>
          <cell r="M2389" t="str">
            <v/>
          </cell>
          <cell r="N2389" t="str">
            <v/>
          </cell>
          <cell r="O2389" t="str">
            <v/>
          </cell>
          <cell r="P2389" t="str">
            <v/>
          </cell>
          <cell r="Q2389" t="str">
            <v/>
          </cell>
          <cell r="R2389" t="str">
            <v/>
          </cell>
          <cell r="S2389" t="str">
            <v/>
          </cell>
          <cell r="T2389" t="str">
            <v/>
          </cell>
          <cell r="U2389" t="str">
            <v/>
          </cell>
          <cell r="V2389" t="str">
            <v>N52</v>
          </cell>
          <cell r="W2389" t="str">
            <v/>
          </cell>
          <cell r="X2389" t="str">
            <v/>
          </cell>
          <cell r="Y2389" t="str">
            <v/>
          </cell>
          <cell r="Z2389" t="str">
            <v/>
          </cell>
          <cell r="AA2389" t="str">
            <v/>
          </cell>
          <cell r="AB2389" t="str">
            <v>PA_4953955-CC.3048-2</v>
          </cell>
          <cell r="AC2389">
            <v>1</v>
          </cell>
          <cell r="AD2389" t="str">
            <v/>
          </cell>
          <cell r="AE2389">
            <v>0</v>
          </cell>
          <cell r="AF2389" t="str">
            <v/>
          </cell>
          <cell r="AG2389" t="str">
            <v>12641121</v>
          </cell>
          <cell r="AH2389">
            <v>45022.908321759256</v>
          </cell>
          <cell r="AI2389" t="str">
            <v>N52</v>
          </cell>
          <cell r="AJ2389" t="str">
            <v>F</v>
          </cell>
          <cell r="AK2389" t="str">
            <v/>
          </cell>
        </row>
        <row r="2390">
          <cell r="A2390" t="str">
            <v>12641145820541</v>
          </cell>
          <cell r="B2390" t="e">
            <v>#N/A</v>
          </cell>
          <cell r="C2390" t="e">
            <v>#N/A</v>
          </cell>
          <cell r="D2390" t="str">
            <v>EK65</v>
          </cell>
          <cell r="E2390" t="str">
            <v>727234</v>
          </cell>
          <cell r="F2390" t="str">
            <v>E</v>
          </cell>
          <cell r="G2390" t="str">
            <v>12641145</v>
          </cell>
          <cell r="H2390" t="str">
            <v>R-Profil Bodenlagerung</v>
          </cell>
          <cell r="I2390">
            <v>44</v>
          </cell>
          <cell r="J2390" t="str">
            <v>Stk</v>
          </cell>
          <cell r="K2390">
            <v>45169</v>
          </cell>
          <cell r="L2390" t="str">
            <v>820541</v>
          </cell>
          <cell r="M2390" t="str">
            <v/>
          </cell>
          <cell r="N2390" t="str">
            <v/>
          </cell>
          <cell r="O2390" t="str">
            <v/>
          </cell>
          <cell r="P2390" t="str">
            <v/>
          </cell>
          <cell r="Q2390" t="str">
            <v/>
          </cell>
          <cell r="R2390" t="str">
            <v/>
          </cell>
          <cell r="S2390" t="str">
            <v/>
          </cell>
          <cell r="T2390" t="str">
            <v/>
          </cell>
          <cell r="U2390" t="str">
            <v/>
          </cell>
          <cell r="V2390" t="str">
            <v>N52</v>
          </cell>
          <cell r="W2390" t="str">
            <v/>
          </cell>
          <cell r="X2390" t="str">
            <v/>
          </cell>
          <cell r="Y2390" t="str">
            <v/>
          </cell>
          <cell r="Z2390" t="str">
            <v/>
          </cell>
          <cell r="AA2390" t="str">
            <v/>
          </cell>
          <cell r="AB2390" t="str">
            <v>PA_4954969-CC.3048-2</v>
          </cell>
          <cell r="AC2390">
            <v>1</v>
          </cell>
          <cell r="AD2390" t="str">
            <v/>
          </cell>
          <cell r="AE2390">
            <v>0</v>
          </cell>
          <cell r="AF2390" t="str">
            <v/>
          </cell>
          <cell r="AG2390" t="str">
            <v>12641145</v>
          </cell>
          <cell r="AH2390">
            <v>45022.908333333333</v>
          </cell>
          <cell r="AI2390" t="str">
            <v>N52</v>
          </cell>
          <cell r="AJ2390" t="str">
            <v>F</v>
          </cell>
          <cell r="AK2390" t="str">
            <v/>
          </cell>
        </row>
        <row r="2391">
          <cell r="A2391" t="str">
            <v>12641305820541</v>
          </cell>
          <cell r="B2391" t="e">
            <v>#N/A</v>
          </cell>
          <cell r="C2391" t="e">
            <v>#N/A</v>
          </cell>
          <cell r="D2391" t="str">
            <v>EK65</v>
          </cell>
          <cell r="E2391" t="str">
            <v>727235</v>
          </cell>
          <cell r="F2391" t="str">
            <v>E</v>
          </cell>
          <cell r="G2391" t="str">
            <v>12641305</v>
          </cell>
          <cell r="H2391" t="str">
            <v>R- Profil Bodenlagerung</v>
          </cell>
          <cell r="I2391">
            <v>528</v>
          </cell>
          <cell r="J2391" t="str">
            <v>Stk</v>
          </cell>
          <cell r="K2391">
            <v>45168</v>
          </cell>
          <cell r="L2391" t="str">
            <v>820541</v>
          </cell>
          <cell r="M2391" t="str">
            <v/>
          </cell>
          <cell r="N2391" t="str">
            <v/>
          </cell>
          <cell r="O2391" t="str">
            <v/>
          </cell>
          <cell r="P2391" t="str">
            <v/>
          </cell>
          <cell r="Q2391" t="str">
            <v/>
          </cell>
          <cell r="R2391" t="str">
            <v/>
          </cell>
          <cell r="S2391" t="str">
            <v/>
          </cell>
          <cell r="T2391" t="str">
            <v/>
          </cell>
          <cell r="U2391" t="str">
            <v/>
          </cell>
          <cell r="V2391" t="str">
            <v>N52</v>
          </cell>
          <cell r="W2391" t="str">
            <v/>
          </cell>
          <cell r="X2391" t="str">
            <v/>
          </cell>
          <cell r="Y2391" t="str">
            <v/>
          </cell>
          <cell r="Z2391" t="str">
            <v/>
          </cell>
          <cell r="AA2391" t="str">
            <v/>
          </cell>
          <cell r="AB2391" t="str">
            <v>PA_4749146-CC.3048-3</v>
          </cell>
          <cell r="AC2391">
            <v>1</v>
          </cell>
          <cell r="AD2391" t="str">
            <v/>
          </cell>
          <cell r="AE2391">
            <v>0</v>
          </cell>
          <cell r="AF2391" t="str">
            <v/>
          </cell>
          <cell r="AG2391" t="str">
            <v>12641305</v>
          </cell>
          <cell r="AH2391">
            <v>45022.90834490741</v>
          </cell>
          <cell r="AI2391" t="str">
            <v>N52</v>
          </cell>
          <cell r="AJ2391" t="str">
            <v>F</v>
          </cell>
          <cell r="AK2391" t="str">
            <v/>
          </cell>
        </row>
        <row r="2392">
          <cell r="A2392" t="str">
            <v>12641331820541</v>
          </cell>
          <cell r="B2392" t="e">
            <v>#N/A</v>
          </cell>
          <cell r="C2392" t="e">
            <v>#N/A</v>
          </cell>
          <cell r="D2392" t="str">
            <v>EK65</v>
          </cell>
          <cell r="E2392" t="str">
            <v>727236</v>
          </cell>
          <cell r="F2392" t="str">
            <v>E</v>
          </cell>
          <cell r="G2392" t="str">
            <v>12641331</v>
          </cell>
          <cell r="H2392" t="str">
            <v>R-Profil Bodenlagerung</v>
          </cell>
          <cell r="I2392">
            <v>88</v>
          </cell>
          <cell r="J2392" t="str">
            <v>Stk</v>
          </cell>
          <cell r="K2392">
            <v>45168</v>
          </cell>
          <cell r="L2392" t="str">
            <v>820541</v>
          </cell>
          <cell r="M2392" t="str">
            <v/>
          </cell>
          <cell r="N2392" t="str">
            <v/>
          </cell>
          <cell r="O2392" t="str">
            <v/>
          </cell>
          <cell r="P2392" t="str">
            <v/>
          </cell>
          <cell r="Q2392" t="str">
            <v/>
          </cell>
          <cell r="R2392" t="str">
            <v/>
          </cell>
          <cell r="S2392" t="str">
            <v/>
          </cell>
          <cell r="T2392" t="str">
            <v/>
          </cell>
          <cell r="U2392" t="str">
            <v/>
          </cell>
          <cell r="V2392" t="str">
            <v>N52</v>
          </cell>
          <cell r="W2392" t="str">
            <v/>
          </cell>
          <cell r="X2392" t="str">
            <v/>
          </cell>
          <cell r="Y2392" t="str">
            <v/>
          </cell>
          <cell r="Z2392" t="str">
            <v/>
          </cell>
          <cell r="AA2392" t="str">
            <v/>
          </cell>
          <cell r="AB2392" t="str">
            <v>PA_4802282-CC.3048-3</v>
          </cell>
          <cell r="AC2392">
            <v>1</v>
          </cell>
          <cell r="AD2392" t="str">
            <v/>
          </cell>
          <cell r="AE2392">
            <v>0</v>
          </cell>
          <cell r="AF2392" t="str">
            <v/>
          </cell>
          <cell r="AG2392" t="str">
            <v>12641331</v>
          </cell>
          <cell r="AH2392">
            <v>45022.908356481479</v>
          </cell>
          <cell r="AI2392" t="str">
            <v>N52</v>
          </cell>
          <cell r="AJ2392" t="str">
            <v>F</v>
          </cell>
          <cell r="AK2392" t="str">
            <v/>
          </cell>
        </row>
        <row r="2393">
          <cell r="A2393" t="str">
            <v>12641475820541</v>
          </cell>
          <cell r="B2393" t="e">
            <v>#N/A</v>
          </cell>
          <cell r="C2393" t="e">
            <v>#N/A</v>
          </cell>
          <cell r="D2393" t="str">
            <v>EK65</v>
          </cell>
          <cell r="E2393" t="str">
            <v>727237</v>
          </cell>
          <cell r="F2393" t="str">
            <v>E</v>
          </cell>
          <cell r="G2393" t="str">
            <v>12641475</v>
          </cell>
          <cell r="H2393" t="str">
            <v>R-Profil Bodenlagerung</v>
          </cell>
          <cell r="I2393">
            <v>352</v>
          </cell>
          <cell r="J2393" t="str">
            <v>Stk</v>
          </cell>
          <cell r="K2393">
            <v>45168</v>
          </cell>
          <cell r="L2393" t="str">
            <v>820541</v>
          </cell>
          <cell r="M2393" t="str">
            <v/>
          </cell>
          <cell r="N2393" t="str">
            <v/>
          </cell>
          <cell r="O2393" t="str">
            <v/>
          </cell>
          <cell r="P2393" t="str">
            <v/>
          </cell>
          <cell r="Q2393" t="str">
            <v/>
          </cell>
          <cell r="R2393" t="str">
            <v/>
          </cell>
          <cell r="S2393" t="str">
            <v/>
          </cell>
          <cell r="T2393" t="str">
            <v/>
          </cell>
          <cell r="U2393" t="str">
            <v/>
          </cell>
          <cell r="V2393" t="str">
            <v>N52</v>
          </cell>
          <cell r="W2393" t="str">
            <v/>
          </cell>
          <cell r="X2393" t="str">
            <v/>
          </cell>
          <cell r="Y2393" t="str">
            <v/>
          </cell>
          <cell r="Z2393" t="str">
            <v/>
          </cell>
          <cell r="AA2393" t="str">
            <v/>
          </cell>
          <cell r="AB2393" t="str">
            <v>PA_4775169-CC.3048-3</v>
          </cell>
          <cell r="AC2393">
            <v>1</v>
          </cell>
          <cell r="AD2393" t="str">
            <v/>
          </cell>
          <cell r="AE2393">
            <v>0</v>
          </cell>
          <cell r="AF2393" t="str">
            <v/>
          </cell>
          <cell r="AG2393" t="str">
            <v>12641475</v>
          </cell>
          <cell r="AH2393">
            <v>45022.908368055556</v>
          </cell>
          <cell r="AI2393" t="str">
            <v>N52</v>
          </cell>
          <cell r="AJ2393" t="str">
            <v>F</v>
          </cell>
          <cell r="AK2393" t="str">
            <v/>
          </cell>
        </row>
        <row r="2394">
          <cell r="A2394" t="str">
            <v>12641511820541</v>
          </cell>
          <cell r="B2394" t="e">
            <v>#N/A</v>
          </cell>
          <cell r="C2394" t="e">
            <v>#N/A</v>
          </cell>
          <cell r="D2394" t="str">
            <v>EK65</v>
          </cell>
          <cell r="E2394" t="str">
            <v>727238</v>
          </cell>
          <cell r="F2394" t="str">
            <v>E</v>
          </cell>
          <cell r="G2394" t="str">
            <v>12641511</v>
          </cell>
          <cell r="H2394" t="str">
            <v>R-Profil Bodenlagerung</v>
          </cell>
          <cell r="I2394">
            <v>440</v>
          </cell>
          <cell r="J2394" t="str">
            <v>Stk</v>
          </cell>
          <cell r="K2394">
            <v>45168</v>
          </cell>
          <cell r="L2394" t="str">
            <v>820541</v>
          </cell>
          <cell r="M2394" t="str">
            <v/>
          </cell>
          <cell r="N2394" t="str">
            <v/>
          </cell>
          <cell r="O2394" t="str">
            <v/>
          </cell>
          <cell r="P2394" t="str">
            <v/>
          </cell>
          <cell r="Q2394" t="str">
            <v/>
          </cell>
          <cell r="R2394" t="str">
            <v/>
          </cell>
          <cell r="S2394" t="str">
            <v/>
          </cell>
          <cell r="T2394" t="str">
            <v/>
          </cell>
          <cell r="U2394" t="str">
            <v/>
          </cell>
          <cell r="V2394" t="str">
            <v>N52</v>
          </cell>
          <cell r="W2394" t="str">
            <v/>
          </cell>
          <cell r="X2394" t="str">
            <v/>
          </cell>
          <cell r="Y2394" t="str">
            <v/>
          </cell>
          <cell r="Z2394" t="str">
            <v/>
          </cell>
          <cell r="AA2394" t="str">
            <v/>
          </cell>
          <cell r="AB2394" t="str">
            <v>PA_4802046-CC.3048-3</v>
          </cell>
          <cell r="AC2394">
            <v>1</v>
          </cell>
          <cell r="AD2394" t="str">
            <v/>
          </cell>
          <cell r="AE2394">
            <v>0</v>
          </cell>
          <cell r="AF2394" t="str">
            <v/>
          </cell>
          <cell r="AG2394" t="str">
            <v>12641511</v>
          </cell>
          <cell r="AH2394">
            <v>45022.908379629633</v>
          </cell>
          <cell r="AI2394" t="str">
            <v>N52</v>
          </cell>
          <cell r="AJ2394" t="str">
            <v>F</v>
          </cell>
          <cell r="AK2394" t="str">
            <v/>
          </cell>
        </row>
        <row r="2395">
          <cell r="A2395" t="str">
            <v>12641599820541</v>
          </cell>
          <cell r="B2395" t="e">
            <v>#N/A</v>
          </cell>
          <cell r="C2395" t="e">
            <v>#N/A</v>
          </cell>
          <cell r="D2395" t="str">
            <v>EK65</v>
          </cell>
          <cell r="E2395" t="str">
            <v>727239</v>
          </cell>
          <cell r="F2395" t="str">
            <v>E</v>
          </cell>
          <cell r="G2395" t="str">
            <v>12641599</v>
          </cell>
          <cell r="H2395" t="str">
            <v>R- Profil Bodenlagerung</v>
          </cell>
          <cell r="I2395">
            <v>264</v>
          </cell>
          <cell r="J2395" t="str">
            <v>Stk</v>
          </cell>
          <cell r="K2395">
            <v>45168</v>
          </cell>
          <cell r="L2395" t="str">
            <v>820541</v>
          </cell>
          <cell r="M2395" t="str">
            <v/>
          </cell>
          <cell r="N2395" t="str">
            <v/>
          </cell>
          <cell r="O2395" t="str">
            <v/>
          </cell>
          <cell r="P2395" t="str">
            <v/>
          </cell>
          <cell r="Q2395" t="str">
            <v/>
          </cell>
          <cell r="R2395" t="str">
            <v/>
          </cell>
          <cell r="S2395" t="str">
            <v/>
          </cell>
          <cell r="T2395" t="str">
            <v/>
          </cell>
          <cell r="U2395" t="str">
            <v/>
          </cell>
          <cell r="V2395" t="str">
            <v>N52</v>
          </cell>
          <cell r="W2395" t="str">
            <v/>
          </cell>
          <cell r="X2395" t="str">
            <v/>
          </cell>
          <cell r="Y2395" t="str">
            <v/>
          </cell>
          <cell r="Z2395" t="str">
            <v/>
          </cell>
          <cell r="AA2395" t="str">
            <v/>
          </cell>
          <cell r="AB2395" t="str">
            <v>PA_4802109-CC.3048-3</v>
          </cell>
          <cell r="AC2395">
            <v>1</v>
          </cell>
          <cell r="AD2395" t="str">
            <v/>
          </cell>
          <cell r="AE2395">
            <v>0</v>
          </cell>
          <cell r="AF2395" t="str">
            <v/>
          </cell>
          <cell r="AG2395" t="str">
            <v>12641599</v>
          </cell>
          <cell r="AH2395">
            <v>45022.908402777779</v>
          </cell>
          <cell r="AI2395" t="str">
            <v>N52</v>
          </cell>
          <cell r="AJ2395" t="str">
            <v>F</v>
          </cell>
          <cell r="AK2395" t="str">
            <v/>
          </cell>
        </row>
        <row r="2396">
          <cell r="A2396" t="str">
            <v>12641943820541</v>
          </cell>
          <cell r="B2396" t="e">
            <v>#N/A</v>
          </cell>
          <cell r="C2396" t="e">
            <v>#N/A</v>
          </cell>
          <cell r="D2396" t="str">
            <v>EK65</v>
          </cell>
          <cell r="E2396" t="str">
            <v>727240</v>
          </cell>
          <cell r="F2396" t="str">
            <v>E</v>
          </cell>
          <cell r="G2396" t="str">
            <v>12641943</v>
          </cell>
          <cell r="H2396" t="str">
            <v>Klebehalter</v>
          </cell>
          <cell r="I2396">
            <v>264</v>
          </cell>
          <cell r="J2396" t="str">
            <v>Stk</v>
          </cell>
          <cell r="K2396">
            <v>45168</v>
          </cell>
          <cell r="L2396" t="str">
            <v>820541</v>
          </cell>
          <cell r="M2396" t="str">
            <v/>
          </cell>
          <cell r="N2396" t="str">
            <v/>
          </cell>
          <cell r="O2396" t="str">
            <v/>
          </cell>
          <cell r="P2396" t="str">
            <v/>
          </cell>
          <cell r="Q2396" t="str">
            <v/>
          </cell>
          <cell r="R2396" t="str">
            <v/>
          </cell>
          <cell r="S2396" t="str">
            <v/>
          </cell>
          <cell r="T2396" t="str">
            <v/>
          </cell>
          <cell r="U2396" t="str">
            <v/>
          </cell>
          <cell r="V2396" t="str">
            <v>N52</v>
          </cell>
          <cell r="W2396" t="str">
            <v/>
          </cell>
          <cell r="X2396" t="str">
            <v/>
          </cell>
          <cell r="Y2396" t="str">
            <v/>
          </cell>
          <cell r="Z2396" t="str">
            <v/>
          </cell>
          <cell r="AA2396" t="str">
            <v/>
          </cell>
          <cell r="AB2396" t="str">
            <v>PA_4914906-CC.3048-3</v>
          </cell>
          <cell r="AC2396">
            <v>1</v>
          </cell>
          <cell r="AD2396" t="str">
            <v/>
          </cell>
          <cell r="AE2396">
            <v>0</v>
          </cell>
          <cell r="AF2396" t="str">
            <v/>
          </cell>
          <cell r="AG2396" t="str">
            <v>12641943</v>
          </cell>
          <cell r="AH2396">
            <v>45022.908414351848</v>
          </cell>
          <cell r="AI2396" t="str">
            <v>N52</v>
          </cell>
          <cell r="AJ2396" t="str">
            <v>F</v>
          </cell>
          <cell r="AK2396" t="str">
            <v/>
          </cell>
        </row>
        <row r="2397">
          <cell r="A2397" t="str">
            <v>12643419820541</v>
          </cell>
          <cell r="B2397" t="e">
            <v>#N/A</v>
          </cell>
          <cell r="C2397" t="e">
            <v>#N/A</v>
          </cell>
          <cell r="D2397" t="str">
            <v>EK65</v>
          </cell>
          <cell r="E2397" t="str">
            <v>727244</v>
          </cell>
          <cell r="F2397" t="str">
            <v>E</v>
          </cell>
          <cell r="G2397" t="str">
            <v>12643419</v>
          </cell>
          <cell r="H2397" t="str">
            <v>Flachprofil</v>
          </cell>
          <cell r="I2397">
            <v>264</v>
          </cell>
          <cell r="J2397" t="str">
            <v>Stk</v>
          </cell>
          <cell r="K2397">
            <v>45169</v>
          </cell>
          <cell r="L2397" t="str">
            <v>820541</v>
          </cell>
          <cell r="M2397" t="str">
            <v/>
          </cell>
          <cell r="N2397" t="str">
            <v/>
          </cell>
          <cell r="O2397" t="str">
            <v/>
          </cell>
          <cell r="P2397" t="str">
            <v/>
          </cell>
          <cell r="Q2397" t="str">
            <v>EN AW-6060 T66</v>
          </cell>
          <cell r="R2397" t="str">
            <v>EN 755-2</v>
          </cell>
          <cell r="S2397" t="str">
            <v/>
          </cell>
          <cell r="T2397" t="str">
            <v/>
          </cell>
          <cell r="U2397" t="str">
            <v>RCK20x2x550</v>
          </cell>
          <cell r="V2397" t="str">
            <v>N52</v>
          </cell>
          <cell r="W2397" t="str">
            <v/>
          </cell>
          <cell r="X2397" t="str">
            <v/>
          </cell>
          <cell r="Y2397" t="str">
            <v/>
          </cell>
          <cell r="Z2397" t="str">
            <v/>
          </cell>
          <cell r="AA2397" t="str">
            <v/>
          </cell>
          <cell r="AB2397" t="str">
            <v/>
          </cell>
          <cell r="AC2397">
            <v>1</v>
          </cell>
          <cell r="AD2397" t="str">
            <v/>
          </cell>
          <cell r="AE2397">
            <v>0</v>
          </cell>
          <cell r="AF2397" t="str">
            <v/>
          </cell>
          <cell r="AG2397" t="str">
            <v>12643419</v>
          </cell>
          <cell r="AH2397">
            <v>45022.908506944441</v>
          </cell>
          <cell r="AI2397" t="str">
            <v>N52</v>
          </cell>
          <cell r="AJ2397" t="str">
            <v/>
          </cell>
          <cell r="AK2397" t="str">
            <v/>
          </cell>
        </row>
        <row r="2398">
          <cell r="A2398" t="str">
            <v>12644437820541</v>
          </cell>
          <cell r="B2398" t="e">
            <v>#N/A</v>
          </cell>
          <cell r="C2398" t="e">
            <v>#N/A</v>
          </cell>
          <cell r="D2398" t="str">
            <v>EK65</v>
          </cell>
          <cell r="E2398" t="str">
            <v>727245</v>
          </cell>
          <cell r="F2398" t="str">
            <v>E</v>
          </cell>
          <cell r="G2398" t="str">
            <v>12644437</v>
          </cell>
          <cell r="H2398" t="str">
            <v>Flachprofil</v>
          </cell>
          <cell r="I2398">
            <v>44</v>
          </cell>
          <cell r="J2398" t="str">
            <v>Stk</v>
          </cell>
          <cell r="K2398">
            <v>45170</v>
          </cell>
          <cell r="L2398" t="str">
            <v>820541</v>
          </cell>
          <cell r="M2398" t="str">
            <v/>
          </cell>
          <cell r="N2398" t="str">
            <v/>
          </cell>
          <cell r="O2398" t="str">
            <v/>
          </cell>
          <cell r="P2398" t="str">
            <v/>
          </cell>
          <cell r="Q2398" t="str">
            <v>EN AW-6060 T66</v>
          </cell>
          <cell r="R2398" t="str">
            <v>DIN 755-2</v>
          </cell>
          <cell r="S2398" t="str">
            <v/>
          </cell>
          <cell r="T2398" t="str">
            <v/>
          </cell>
          <cell r="U2398" t="str">
            <v>RCK20x2x2300</v>
          </cell>
          <cell r="V2398" t="str">
            <v>N52</v>
          </cell>
          <cell r="W2398" t="str">
            <v/>
          </cell>
          <cell r="X2398" t="str">
            <v/>
          </cell>
          <cell r="Y2398" t="str">
            <v/>
          </cell>
          <cell r="Z2398" t="str">
            <v/>
          </cell>
          <cell r="AA2398" t="str">
            <v/>
          </cell>
          <cell r="AB2398" t="str">
            <v/>
          </cell>
          <cell r="AC2398">
            <v>1</v>
          </cell>
          <cell r="AD2398" t="str">
            <v/>
          </cell>
          <cell r="AE2398">
            <v>0</v>
          </cell>
          <cell r="AF2398" t="str">
            <v/>
          </cell>
          <cell r="AG2398" t="str">
            <v>12644437</v>
          </cell>
          <cell r="AH2398">
            <v>45022.908518518518</v>
          </cell>
          <cell r="AI2398" t="str">
            <v>N52</v>
          </cell>
          <cell r="AJ2398" t="str">
            <v/>
          </cell>
          <cell r="AK2398" t="str">
            <v/>
          </cell>
        </row>
        <row r="2399">
          <cell r="A2399" t="str">
            <v>12645294820541</v>
          </cell>
          <cell r="B2399" t="e">
            <v>#N/A</v>
          </cell>
          <cell r="C2399" t="e">
            <v>#N/A</v>
          </cell>
          <cell r="D2399" t="str">
            <v>EK65</v>
          </cell>
          <cell r="E2399" t="str">
            <v>727246</v>
          </cell>
          <cell r="F2399" t="str">
            <v>E</v>
          </cell>
          <cell r="G2399" t="str">
            <v>12645294</v>
          </cell>
          <cell r="H2399" t="str">
            <v>R-Profil Bodenlagerung</v>
          </cell>
          <cell r="I2399">
            <v>132</v>
          </cell>
          <cell r="J2399" t="str">
            <v>Stk</v>
          </cell>
          <cell r="K2399">
            <v>45169</v>
          </cell>
          <cell r="L2399" t="str">
            <v>820541</v>
          </cell>
          <cell r="M2399" t="str">
            <v/>
          </cell>
          <cell r="N2399" t="str">
            <v/>
          </cell>
          <cell r="O2399" t="str">
            <v/>
          </cell>
          <cell r="P2399" t="str">
            <v/>
          </cell>
          <cell r="Q2399" t="str">
            <v/>
          </cell>
          <cell r="R2399" t="str">
            <v/>
          </cell>
          <cell r="S2399" t="str">
            <v/>
          </cell>
          <cell r="T2399" t="str">
            <v/>
          </cell>
          <cell r="U2399" t="str">
            <v/>
          </cell>
          <cell r="V2399" t="str">
            <v>N52</v>
          </cell>
          <cell r="W2399" t="str">
            <v/>
          </cell>
          <cell r="X2399" t="str">
            <v/>
          </cell>
          <cell r="Y2399" t="str">
            <v/>
          </cell>
          <cell r="Z2399" t="str">
            <v/>
          </cell>
          <cell r="AA2399" t="str">
            <v/>
          </cell>
          <cell r="AB2399" t="str">
            <v>PA_5154824-CC.3048-3</v>
          </cell>
          <cell r="AC2399">
            <v>1</v>
          </cell>
          <cell r="AD2399" t="str">
            <v/>
          </cell>
          <cell r="AE2399">
            <v>0</v>
          </cell>
          <cell r="AF2399" t="str">
            <v/>
          </cell>
          <cell r="AG2399" t="str">
            <v>12645294</v>
          </cell>
          <cell r="AH2399">
            <v>45022.908518518518</v>
          </cell>
          <cell r="AI2399" t="str">
            <v>N52</v>
          </cell>
          <cell r="AJ2399" t="str">
            <v>F</v>
          </cell>
          <cell r="AK2399" t="str">
            <v/>
          </cell>
        </row>
        <row r="2400">
          <cell r="A2400" t="str">
            <v>12660718820541</v>
          </cell>
          <cell r="B2400" t="e">
            <v>#N/A</v>
          </cell>
          <cell r="C2400" t="e">
            <v>#N/A</v>
          </cell>
          <cell r="D2400" t="str">
            <v>EK65</v>
          </cell>
          <cell r="E2400" t="str">
            <v>727248</v>
          </cell>
          <cell r="F2400" t="str">
            <v>E</v>
          </cell>
          <cell r="G2400" t="str">
            <v>12660718</v>
          </cell>
          <cell r="H2400" t="str">
            <v>Profil</v>
          </cell>
          <cell r="I2400">
            <v>264</v>
          </cell>
          <cell r="J2400" t="str">
            <v>Stk</v>
          </cell>
          <cell r="K2400">
            <v>45168</v>
          </cell>
          <cell r="L2400" t="str">
            <v>820541</v>
          </cell>
          <cell r="M2400" t="str">
            <v/>
          </cell>
          <cell r="N2400" t="str">
            <v/>
          </cell>
          <cell r="O2400" t="str">
            <v/>
          </cell>
          <cell r="P2400" t="str">
            <v/>
          </cell>
          <cell r="Q2400" t="str">
            <v/>
          </cell>
          <cell r="R2400" t="str">
            <v/>
          </cell>
          <cell r="S2400" t="str">
            <v/>
          </cell>
          <cell r="T2400" t="str">
            <v/>
          </cell>
          <cell r="U2400" t="str">
            <v/>
          </cell>
          <cell r="V2400" t="str">
            <v>N52</v>
          </cell>
          <cell r="W2400" t="str">
            <v/>
          </cell>
          <cell r="X2400" t="str">
            <v/>
          </cell>
          <cell r="Y2400" t="str">
            <v/>
          </cell>
          <cell r="Z2400" t="str">
            <v/>
          </cell>
          <cell r="AA2400" t="str">
            <v/>
          </cell>
          <cell r="AB2400" t="str">
            <v>PA_5213660-CC.3048-2</v>
          </cell>
          <cell r="AC2400">
            <v>1</v>
          </cell>
          <cell r="AD2400" t="str">
            <v/>
          </cell>
          <cell r="AE2400">
            <v>0</v>
          </cell>
          <cell r="AF2400" t="str">
            <v/>
          </cell>
          <cell r="AG2400" t="str">
            <v>12660718</v>
          </cell>
          <cell r="AH2400">
            <v>45022.908553240741</v>
          </cell>
          <cell r="AI2400" t="str">
            <v>N52</v>
          </cell>
          <cell r="AJ2400" t="str">
            <v>F</v>
          </cell>
          <cell r="AK2400" t="str">
            <v/>
          </cell>
        </row>
        <row r="2401">
          <cell r="A2401" t="str">
            <v>12660722820541</v>
          </cell>
          <cell r="B2401" t="e">
            <v>#N/A</v>
          </cell>
          <cell r="C2401" t="e">
            <v>#N/A</v>
          </cell>
          <cell r="D2401" t="str">
            <v>EK65</v>
          </cell>
          <cell r="E2401" t="str">
            <v>727249</v>
          </cell>
          <cell r="F2401" t="str">
            <v>E</v>
          </cell>
          <cell r="G2401" t="str">
            <v>12660722</v>
          </cell>
          <cell r="H2401" t="str">
            <v>Profil</v>
          </cell>
          <cell r="I2401">
            <v>484</v>
          </cell>
          <cell r="J2401" t="str">
            <v>Stk</v>
          </cell>
          <cell r="K2401">
            <v>45168</v>
          </cell>
          <cell r="L2401" t="str">
            <v>820541</v>
          </cell>
          <cell r="M2401" t="str">
            <v/>
          </cell>
          <cell r="N2401" t="str">
            <v/>
          </cell>
          <cell r="O2401" t="str">
            <v/>
          </cell>
          <cell r="P2401" t="str">
            <v/>
          </cell>
          <cell r="Q2401" t="str">
            <v/>
          </cell>
          <cell r="R2401" t="str">
            <v/>
          </cell>
          <cell r="S2401" t="str">
            <v/>
          </cell>
          <cell r="T2401" t="str">
            <v/>
          </cell>
          <cell r="U2401" t="str">
            <v/>
          </cell>
          <cell r="V2401" t="str">
            <v>N52</v>
          </cell>
          <cell r="W2401" t="str">
            <v/>
          </cell>
          <cell r="X2401" t="str">
            <v/>
          </cell>
          <cell r="Y2401" t="str">
            <v/>
          </cell>
          <cell r="Z2401" t="str">
            <v/>
          </cell>
          <cell r="AA2401" t="str">
            <v/>
          </cell>
          <cell r="AB2401" t="str">
            <v>PA_5213658-CC.3048-2</v>
          </cell>
          <cell r="AC2401">
            <v>1</v>
          </cell>
          <cell r="AD2401" t="str">
            <v/>
          </cell>
          <cell r="AE2401">
            <v>0</v>
          </cell>
          <cell r="AF2401" t="str">
            <v/>
          </cell>
          <cell r="AG2401" t="str">
            <v>12660722</v>
          </cell>
          <cell r="AH2401">
            <v>45022.908576388887</v>
          </cell>
          <cell r="AI2401" t="str">
            <v>N52</v>
          </cell>
          <cell r="AJ2401" t="str">
            <v>F</v>
          </cell>
          <cell r="AK2401" t="str">
            <v/>
          </cell>
        </row>
        <row r="2402">
          <cell r="A2402" t="str">
            <v>12660728820541</v>
          </cell>
          <cell r="B2402" t="e">
            <v>#N/A</v>
          </cell>
          <cell r="C2402" t="e">
            <v>#N/A</v>
          </cell>
          <cell r="D2402" t="str">
            <v>EK65</v>
          </cell>
          <cell r="E2402" t="str">
            <v>727250</v>
          </cell>
          <cell r="F2402" t="str">
            <v>E</v>
          </cell>
          <cell r="G2402" t="str">
            <v>12660728</v>
          </cell>
          <cell r="H2402" t="str">
            <v>Profil</v>
          </cell>
          <cell r="I2402">
            <v>44</v>
          </cell>
          <cell r="J2402" t="str">
            <v>Stk</v>
          </cell>
          <cell r="K2402">
            <v>45169</v>
          </cell>
          <cell r="L2402" t="str">
            <v>820541</v>
          </cell>
          <cell r="M2402" t="str">
            <v/>
          </cell>
          <cell r="N2402" t="str">
            <v/>
          </cell>
          <cell r="O2402" t="str">
            <v/>
          </cell>
          <cell r="P2402" t="str">
            <v/>
          </cell>
          <cell r="Q2402" t="str">
            <v/>
          </cell>
          <cell r="R2402" t="str">
            <v/>
          </cell>
          <cell r="S2402" t="str">
            <v/>
          </cell>
          <cell r="T2402" t="str">
            <v/>
          </cell>
          <cell r="U2402" t="str">
            <v/>
          </cell>
          <cell r="V2402" t="str">
            <v>N52</v>
          </cell>
          <cell r="W2402" t="str">
            <v/>
          </cell>
          <cell r="X2402" t="str">
            <v/>
          </cell>
          <cell r="Y2402" t="str">
            <v/>
          </cell>
          <cell r="Z2402" t="str">
            <v/>
          </cell>
          <cell r="AA2402" t="str">
            <v/>
          </cell>
          <cell r="AB2402" t="str">
            <v>PA_5225291-CC.3048-2</v>
          </cell>
          <cell r="AC2402">
            <v>1</v>
          </cell>
          <cell r="AD2402" t="str">
            <v/>
          </cell>
          <cell r="AE2402">
            <v>0</v>
          </cell>
          <cell r="AF2402" t="str">
            <v/>
          </cell>
          <cell r="AG2402" t="str">
            <v>12660728</v>
          </cell>
          <cell r="AH2402">
            <v>45022.908587962964</v>
          </cell>
          <cell r="AI2402" t="str">
            <v>N52</v>
          </cell>
          <cell r="AJ2402" t="str">
            <v>F</v>
          </cell>
          <cell r="AK2402" t="str">
            <v/>
          </cell>
        </row>
        <row r="2403">
          <cell r="A2403" t="str">
            <v>1238980820531</v>
          </cell>
          <cell r="B2403" t="e">
            <v>#N/A</v>
          </cell>
          <cell r="C2403" t="e">
            <v>#N/A</v>
          </cell>
          <cell r="D2403" t="str">
            <v>EK65</v>
          </cell>
          <cell r="E2403" t="str">
            <v>727275</v>
          </cell>
          <cell r="F2403" t="str">
            <v>E</v>
          </cell>
          <cell r="G2403" t="str">
            <v>1238980</v>
          </cell>
          <cell r="H2403" t="str">
            <v>Stuetze</v>
          </cell>
          <cell r="I2403">
            <v>2</v>
          </cell>
          <cell r="J2403" t="str">
            <v>Stk</v>
          </cell>
          <cell r="K2403">
            <v>45224</v>
          </cell>
          <cell r="L2403" t="str">
            <v>820531</v>
          </cell>
          <cell r="M2403" t="str">
            <v/>
          </cell>
          <cell r="N2403" t="str">
            <v/>
          </cell>
          <cell r="O2403" t="str">
            <v/>
          </cell>
          <cell r="P2403" t="str">
            <v/>
          </cell>
          <cell r="Q2403" t="str">
            <v/>
          </cell>
          <cell r="R2403" t="str">
            <v/>
          </cell>
          <cell r="S2403" t="str">
            <v/>
          </cell>
          <cell r="T2403" t="str">
            <v/>
          </cell>
          <cell r="U2403" t="str">
            <v/>
          </cell>
          <cell r="V2403" t="str">
            <v>N52</v>
          </cell>
          <cell r="W2403" t="str">
            <v/>
          </cell>
          <cell r="X2403" t="str">
            <v/>
          </cell>
          <cell r="Y2403" t="str">
            <v/>
          </cell>
          <cell r="Z2403" t="str">
            <v/>
          </cell>
          <cell r="AA2403" t="str">
            <v/>
          </cell>
          <cell r="AB2403" t="str">
            <v>PA_2312724-CF.3046-2</v>
          </cell>
          <cell r="AC2403">
            <v>1</v>
          </cell>
          <cell r="AD2403" t="str">
            <v/>
          </cell>
          <cell r="AE2403">
            <v>0</v>
          </cell>
          <cell r="AF2403" t="str">
            <v/>
          </cell>
          <cell r="AG2403" t="str">
            <v>1238980</v>
          </cell>
          <cell r="AH2403">
            <v>45027.54960648148</v>
          </cell>
          <cell r="AI2403" t="str">
            <v>N52</v>
          </cell>
          <cell r="AJ2403" t="str">
            <v>F</v>
          </cell>
          <cell r="AK2403" t="str">
            <v/>
          </cell>
        </row>
        <row r="2404">
          <cell r="A2404" t="str">
            <v>12506557829052</v>
          </cell>
          <cell r="B2404" t="e">
            <v>#N/A</v>
          </cell>
          <cell r="C2404">
            <v>24</v>
          </cell>
          <cell r="D2404" t="str">
            <v>EK65</v>
          </cell>
          <cell r="E2404" t="str">
            <v>727277</v>
          </cell>
          <cell r="F2404" t="str">
            <v>E</v>
          </cell>
          <cell r="G2404" t="str">
            <v>12506557</v>
          </cell>
          <cell r="H2404" t="str">
            <v>Gewindeplatte</v>
          </cell>
          <cell r="I2404">
            <v>62</v>
          </cell>
          <cell r="J2404" t="str">
            <v>Stk</v>
          </cell>
          <cell r="K2404">
            <v>45363</v>
          </cell>
          <cell r="L2404" t="str">
            <v>829052</v>
          </cell>
          <cell r="M2404" t="str">
            <v/>
          </cell>
          <cell r="N2404" t="str">
            <v/>
          </cell>
          <cell r="O2404" t="str">
            <v/>
          </cell>
          <cell r="P2404" t="str">
            <v/>
          </cell>
          <cell r="Q2404" t="str">
            <v/>
          </cell>
          <cell r="R2404" t="str">
            <v/>
          </cell>
          <cell r="S2404" t="str">
            <v/>
          </cell>
          <cell r="T2404" t="str">
            <v/>
          </cell>
          <cell r="U2404" t="str">
            <v/>
          </cell>
          <cell r="V2404" t="str">
            <v>N52</v>
          </cell>
          <cell r="W2404" t="str">
            <v/>
          </cell>
          <cell r="X2404" t="str">
            <v/>
          </cell>
          <cell r="Y2404" t="str">
            <v/>
          </cell>
          <cell r="Z2404" t="str">
            <v/>
          </cell>
          <cell r="AA2404" t="str">
            <v/>
          </cell>
          <cell r="AB2404" t="str">
            <v>PA_4379199-DB.7005-4</v>
          </cell>
          <cell r="AC2404">
            <v>1</v>
          </cell>
          <cell r="AD2404" t="str">
            <v/>
          </cell>
          <cell r="AE2404">
            <v>0</v>
          </cell>
          <cell r="AF2404" t="str">
            <v/>
          </cell>
          <cell r="AG2404" t="str">
            <v>12506557</v>
          </cell>
          <cell r="AH2404">
            <v>45027.671006944445</v>
          </cell>
          <cell r="AI2404" t="str">
            <v>N52</v>
          </cell>
          <cell r="AJ2404" t="str">
            <v>F</v>
          </cell>
          <cell r="AK2404" t="str">
            <v/>
          </cell>
        </row>
        <row r="2405">
          <cell r="A2405" t="str">
            <v>0655171</v>
          </cell>
          <cell r="B2405" t="e">
            <v>#N/A</v>
          </cell>
          <cell r="C2405" t="e">
            <v>#N/A</v>
          </cell>
          <cell r="D2405" t="str">
            <v>EK65</v>
          </cell>
          <cell r="E2405" t="str">
            <v>727281</v>
          </cell>
          <cell r="F2405" t="str">
            <v>B</v>
          </cell>
          <cell r="G2405" t="str">
            <v>0655171</v>
          </cell>
          <cell r="H2405" t="str">
            <v>Distanzplatte</v>
          </cell>
          <cell r="I2405">
            <v>60</v>
          </cell>
          <cell r="J2405" t="str">
            <v>Stk</v>
          </cell>
          <cell r="K2405">
            <v>45029</v>
          </cell>
          <cell r="L2405" t="str">
            <v/>
          </cell>
          <cell r="M2405" t="str">
            <v/>
          </cell>
          <cell r="N2405" t="str">
            <v/>
          </cell>
          <cell r="O2405" t="str">
            <v/>
          </cell>
          <cell r="P2405" t="str">
            <v/>
          </cell>
          <cell r="Q2405" t="str">
            <v/>
          </cell>
          <cell r="R2405" t="str">
            <v/>
          </cell>
          <cell r="S2405" t="str">
            <v/>
          </cell>
          <cell r="T2405" t="str">
            <v/>
          </cell>
          <cell r="U2405" t="str">
            <v/>
          </cell>
          <cell r="V2405" t="str">
            <v>N52</v>
          </cell>
          <cell r="W2405" t="str">
            <v/>
          </cell>
          <cell r="X2405" t="str">
            <v/>
          </cell>
          <cell r="Y2405" t="str">
            <v/>
          </cell>
          <cell r="Z2405" t="str">
            <v/>
          </cell>
          <cell r="AA2405" t="str">
            <v/>
          </cell>
          <cell r="AB2405" t="str">
            <v>PA_2197386-CE.7500-4</v>
          </cell>
          <cell r="AC2405">
            <v>4</v>
          </cell>
          <cell r="AD2405" t="str">
            <v/>
          </cell>
          <cell r="AE2405">
            <v>0</v>
          </cell>
          <cell r="AF2405" t="str">
            <v/>
          </cell>
          <cell r="AG2405" t="str">
            <v>0655171</v>
          </cell>
          <cell r="AH2405">
            <v>45027.834398148145</v>
          </cell>
          <cell r="AI2405" t="str">
            <v>N52</v>
          </cell>
          <cell r="AJ2405" t="str">
            <v>F</v>
          </cell>
          <cell r="AK2405" t="str">
            <v>A</v>
          </cell>
        </row>
        <row r="2406">
          <cell r="A2406" t="str">
            <v>0655397</v>
          </cell>
          <cell r="B2406" t="e">
            <v>#N/A</v>
          </cell>
          <cell r="C2406" t="e">
            <v>#N/A</v>
          </cell>
          <cell r="D2406" t="str">
            <v>EK65</v>
          </cell>
          <cell r="E2406" t="str">
            <v>727282</v>
          </cell>
          <cell r="F2406" t="str">
            <v>B</v>
          </cell>
          <cell r="G2406" t="str">
            <v>0655397</v>
          </cell>
          <cell r="H2406" t="str">
            <v>Distanzbuchse</v>
          </cell>
          <cell r="I2406">
            <v>8</v>
          </cell>
          <cell r="J2406" t="str">
            <v>Stk</v>
          </cell>
          <cell r="K2406">
            <v>45029</v>
          </cell>
          <cell r="L2406" t="str">
            <v/>
          </cell>
          <cell r="M2406" t="str">
            <v/>
          </cell>
          <cell r="N2406" t="str">
            <v/>
          </cell>
          <cell r="O2406" t="str">
            <v/>
          </cell>
          <cell r="P2406" t="str">
            <v/>
          </cell>
          <cell r="Q2406" t="str">
            <v/>
          </cell>
          <cell r="R2406" t="str">
            <v/>
          </cell>
          <cell r="S2406" t="str">
            <v/>
          </cell>
          <cell r="T2406" t="str">
            <v/>
          </cell>
          <cell r="U2406" t="str">
            <v/>
          </cell>
          <cell r="V2406" t="str">
            <v>N52</v>
          </cell>
          <cell r="W2406" t="str">
            <v/>
          </cell>
          <cell r="X2406" t="str">
            <v/>
          </cell>
          <cell r="Y2406" t="str">
            <v/>
          </cell>
          <cell r="Z2406" t="str">
            <v/>
          </cell>
          <cell r="AA2406" t="str">
            <v/>
          </cell>
          <cell r="AB2406" t="str">
            <v>PA_2197917-QE.7500-4</v>
          </cell>
          <cell r="AC2406">
            <v>4</v>
          </cell>
          <cell r="AD2406" t="str">
            <v/>
          </cell>
          <cell r="AE2406">
            <v>0</v>
          </cell>
          <cell r="AF2406" t="str">
            <v/>
          </cell>
          <cell r="AG2406" t="str">
            <v>0655397</v>
          </cell>
          <cell r="AH2406">
            <v>45027.834409722222</v>
          </cell>
          <cell r="AI2406" t="str">
            <v>N52</v>
          </cell>
          <cell r="AJ2406" t="str">
            <v>F</v>
          </cell>
          <cell r="AK2406" t="str">
            <v/>
          </cell>
        </row>
        <row r="2407">
          <cell r="A2407" t="str">
            <v>0657495</v>
          </cell>
          <cell r="B2407" t="e">
            <v>#N/A</v>
          </cell>
          <cell r="C2407" t="e">
            <v>#N/A</v>
          </cell>
          <cell r="D2407" t="str">
            <v>EK65</v>
          </cell>
          <cell r="E2407" t="str">
            <v>727283</v>
          </cell>
          <cell r="F2407" t="str">
            <v>B</v>
          </cell>
          <cell r="G2407" t="str">
            <v>0657495</v>
          </cell>
          <cell r="H2407" t="str">
            <v>Distanzscheibe</v>
          </cell>
          <cell r="I2407">
            <v>40</v>
          </cell>
          <cell r="J2407" t="str">
            <v>Stk</v>
          </cell>
          <cell r="K2407">
            <v>45029</v>
          </cell>
          <cell r="L2407" t="str">
            <v/>
          </cell>
          <cell r="M2407" t="str">
            <v/>
          </cell>
          <cell r="N2407" t="str">
            <v/>
          </cell>
          <cell r="O2407" t="str">
            <v/>
          </cell>
          <cell r="P2407" t="str">
            <v/>
          </cell>
          <cell r="Q2407" t="str">
            <v/>
          </cell>
          <cell r="R2407" t="str">
            <v/>
          </cell>
          <cell r="S2407" t="str">
            <v/>
          </cell>
          <cell r="T2407" t="str">
            <v/>
          </cell>
          <cell r="U2407" t="str">
            <v/>
          </cell>
          <cell r="V2407" t="str">
            <v>N52</v>
          </cell>
          <cell r="W2407" t="str">
            <v/>
          </cell>
          <cell r="X2407" t="str">
            <v/>
          </cell>
          <cell r="Y2407" t="str">
            <v/>
          </cell>
          <cell r="Z2407" t="str">
            <v/>
          </cell>
          <cell r="AA2407" t="str">
            <v/>
          </cell>
          <cell r="AB2407" t="str">
            <v>PA_2193019-UA.7500-4</v>
          </cell>
          <cell r="AC2407">
            <v>4</v>
          </cell>
          <cell r="AD2407" t="str">
            <v/>
          </cell>
          <cell r="AE2407">
            <v>0</v>
          </cell>
          <cell r="AF2407" t="str">
            <v/>
          </cell>
          <cell r="AG2407" t="str">
            <v>0657495</v>
          </cell>
          <cell r="AH2407">
            <v>45027.834409722222</v>
          </cell>
          <cell r="AI2407" t="str">
            <v>N52</v>
          </cell>
          <cell r="AJ2407" t="str">
            <v>F</v>
          </cell>
          <cell r="AK2407" t="str">
            <v/>
          </cell>
        </row>
        <row r="2408">
          <cell r="A2408" t="str">
            <v>0711279</v>
          </cell>
          <cell r="B2408" t="e">
            <v>#N/A</v>
          </cell>
          <cell r="C2408" t="e">
            <v>#N/A</v>
          </cell>
          <cell r="D2408" t="str">
            <v>EK65</v>
          </cell>
          <cell r="E2408" t="str">
            <v>727284</v>
          </cell>
          <cell r="F2408" t="str">
            <v>B</v>
          </cell>
          <cell r="G2408" t="str">
            <v>0711279</v>
          </cell>
          <cell r="H2408" t="str">
            <v>Dehnhuelse</v>
          </cell>
          <cell r="I2408">
            <v>40</v>
          </cell>
          <cell r="J2408" t="str">
            <v>Stk</v>
          </cell>
          <cell r="K2408">
            <v>45029</v>
          </cell>
          <cell r="L2408" t="str">
            <v/>
          </cell>
          <cell r="M2408" t="str">
            <v/>
          </cell>
          <cell r="N2408" t="str">
            <v/>
          </cell>
          <cell r="O2408" t="str">
            <v/>
          </cell>
          <cell r="P2408" t="str">
            <v/>
          </cell>
          <cell r="Q2408" t="str">
            <v/>
          </cell>
          <cell r="R2408" t="str">
            <v/>
          </cell>
          <cell r="S2408" t="str">
            <v/>
          </cell>
          <cell r="T2408" t="str">
            <v/>
          </cell>
          <cell r="U2408" t="str">
            <v/>
          </cell>
          <cell r="V2408" t="str">
            <v>N52</v>
          </cell>
          <cell r="W2408" t="str">
            <v/>
          </cell>
          <cell r="X2408" t="str">
            <v/>
          </cell>
          <cell r="Y2408" t="str">
            <v/>
          </cell>
          <cell r="Z2408" t="str">
            <v/>
          </cell>
          <cell r="AA2408" t="str">
            <v/>
          </cell>
          <cell r="AB2408" t="str">
            <v>PA_2181539-CC.7500-4</v>
          </cell>
          <cell r="AC2408">
            <v>4</v>
          </cell>
          <cell r="AD2408" t="str">
            <v/>
          </cell>
          <cell r="AE2408">
            <v>0</v>
          </cell>
          <cell r="AF2408" t="str">
            <v/>
          </cell>
          <cell r="AG2408" t="str">
            <v>0711279</v>
          </cell>
          <cell r="AH2408">
            <v>45027.834479166668</v>
          </cell>
          <cell r="AI2408" t="str">
            <v>N52</v>
          </cell>
          <cell r="AJ2408" t="str">
            <v>F</v>
          </cell>
          <cell r="AK2408" t="str">
            <v/>
          </cell>
        </row>
        <row r="2409">
          <cell r="A2409" t="str">
            <v>0736061</v>
          </cell>
          <cell r="B2409" t="e">
            <v>#N/A</v>
          </cell>
          <cell r="C2409" t="e">
            <v>#N/A</v>
          </cell>
          <cell r="D2409" t="str">
            <v>EK65</v>
          </cell>
          <cell r="E2409" t="str">
            <v>727285</v>
          </cell>
          <cell r="F2409" t="str">
            <v>B</v>
          </cell>
          <cell r="G2409" t="str">
            <v>0736061</v>
          </cell>
          <cell r="H2409" t="str">
            <v>Dehnhuelse M20 79mm</v>
          </cell>
          <cell r="I2409">
            <v>18</v>
          </cell>
          <cell r="J2409" t="str">
            <v>Stk</v>
          </cell>
          <cell r="K2409">
            <v>45029</v>
          </cell>
          <cell r="L2409" t="str">
            <v/>
          </cell>
          <cell r="M2409" t="str">
            <v/>
          </cell>
          <cell r="N2409" t="str">
            <v/>
          </cell>
          <cell r="O2409" t="str">
            <v/>
          </cell>
          <cell r="P2409" t="str">
            <v/>
          </cell>
          <cell r="Q2409" t="str">
            <v/>
          </cell>
          <cell r="R2409" t="str">
            <v/>
          </cell>
          <cell r="S2409" t="str">
            <v/>
          </cell>
          <cell r="T2409" t="str">
            <v/>
          </cell>
          <cell r="U2409" t="str">
            <v/>
          </cell>
          <cell r="V2409" t="str">
            <v>N52</v>
          </cell>
          <cell r="W2409" t="str">
            <v/>
          </cell>
          <cell r="X2409" t="str">
            <v/>
          </cell>
          <cell r="Y2409" t="str">
            <v/>
          </cell>
          <cell r="Z2409" t="str">
            <v/>
          </cell>
          <cell r="AA2409" t="str">
            <v/>
          </cell>
          <cell r="AB2409" t="str">
            <v>PA_2189149-UA.7500-4</v>
          </cell>
          <cell r="AC2409">
            <v>4</v>
          </cell>
          <cell r="AD2409" t="str">
            <v/>
          </cell>
          <cell r="AE2409">
            <v>0</v>
          </cell>
          <cell r="AF2409" t="str">
            <v/>
          </cell>
          <cell r="AG2409" t="str">
            <v>0736061</v>
          </cell>
          <cell r="AH2409">
            <v>45027.83452546296</v>
          </cell>
          <cell r="AI2409" t="str">
            <v>N52</v>
          </cell>
          <cell r="AJ2409" t="str">
            <v>F</v>
          </cell>
          <cell r="AK2409" t="str">
            <v/>
          </cell>
        </row>
        <row r="2410">
          <cell r="A2410" t="str">
            <v>1155389831001</v>
          </cell>
          <cell r="B2410" t="e">
            <v>#N/A</v>
          </cell>
          <cell r="C2410" t="e">
            <v>#N/A</v>
          </cell>
          <cell r="D2410" t="str">
            <v>EK65</v>
          </cell>
          <cell r="E2410" t="str">
            <v>727415</v>
          </cell>
          <cell r="F2410" t="str">
            <v>E</v>
          </cell>
          <cell r="G2410" t="str">
            <v>1155389</v>
          </cell>
          <cell r="H2410" t="str">
            <v>Unterlage</v>
          </cell>
          <cell r="I2410">
            <v>10</v>
          </cell>
          <cell r="J2410" t="str">
            <v>Stk</v>
          </cell>
          <cell r="K2410">
            <v>43375</v>
          </cell>
          <cell r="L2410" t="str">
            <v>831001</v>
          </cell>
          <cell r="M2410" t="str">
            <v/>
          </cell>
          <cell r="N2410" t="str">
            <v/>
          </cell>
          <cell r="O2410" t="str">
            <v/>
          </cell>
          <cell r="P2410" t="str">
            <v/>
          </cell>
          <cell r="Q2410" t="str">
            <v/>
          </cell>
          <cell r="R2410" t="str">
            <v/>
          </cell>
          <cell r="S2410" t="str">
            <v/>
          </cell>
          <cell r="T2410" t="str">
            <v/>
          </cell>
          <cell r="U2410" t="str">
            <v/>
          </cell>
          <cell r="V2410" t="str">
            <v>N52</v>
          </cell>
          <cell r="W2410" t="str">
            <v/>
          </cell>
          <cell r="X2410" t="str">
            <v/>
          </cell>
          <cell r="Y2410" t="str">
            <v/>
          </cell>
          <cell r="Z2410" t="str">
            <v/>
          </cell>
          <cell r="AA2410" t="str">
            <v/>
          </cell>
          <cell r="AB2410" t="str">
            <v>PA_2278550-CF.7500-4</v>
          </cell>
          <cell r="AC2410">
            <v>1</v>
          </cell>
          <cell r="AD2410" t="str">
            <v/>
          </cell>
          <cell r="AE2410">
            <v>0</v>
          </cell>
          <cell r="AF2410" t="str">
            <v/>
          </cell>
          <cell r="AG2410" t="str">
            <v>1155389</v>
          </cell>
          <cell r="AH2410">
            <v>45027.898206018515</v>
          </cell>
          <cell r="AI2410" t="str">
            <v>N52</v>
          </cell>
          <cell r="AJ2410" t="str">
            <v>F</v>
          </cell>
          <cell r="AK2410" t="str">
            <v/>
          </cell>
        </row>
        <row r="2411">
          <cell r="A2411" t="str">
            <v>12609577829053</v>
          </cell>
          <cell r="B2411" t="e">
            <v>#N/A</v>
          </cell>
          <cell r="C2411" t="e">
            <v>#N/A</v>
          </cell>
          <cell r="D2411" t="str">
            <v>EK65</v>
          </cell>
          <cell r="E2411" t="str">
            <v>727471</v>
          </cell>
          <cell r="F2411" t="str">
            <v>E</v>
          </cell>
          <cell r="G2411" t="str">
            <v>12609577</v>
          </cell>
          <cell r="H2411" t="str">
            <v>Erdungswinkel</v>
          </cell>
          <cell r="I2411">
            <v>99</v>
          </cell>
          <cell r="J2411" t="str">
            <v>Stk</v>
          </cell>
          <cell r="K2411">
            <v>45218</v>
          </cell>
          <cell r="L2411" t="str">
            <v>829053</v>
          </cell>
          <cell r="M2411" t="str">
            <v/>
          </cell>
          <cell r="N2411" t="str">
            <v/>
          </cell>
          <cell r="O2411" t="str">
            <v/>
          </cell>
          <cell r="P2411" t="str">
            <v/>
          </cell>
          <cell r="Q2411" t="str">
            <v/>
          </cell>
          <cell r="R2411" t="str">
            <v/>
          </cell>
          <cell r="S2411" t="str">
            <v/>
          </cell>
          <cell r="T2411" t="str">
            <v/>
          </cell>
          <cell r="U2411" t="str">
            <v/>
          </cell>
          <cell r="V2411" t="str">
            <v>N52</v>
          </cell>
          <cell r="W2411" t="str">
            <v/>
          </cell>
          <cell r="X2411" t="str">
            <v/>
          </cell>
          <cell r="Y2411" t="str">
            <v/>
          </cell>
          <cell r="Z2411" t="str">
            <v/>
          </cell>
          <cell r="AA2411" t="str">
            <v/>
          </cell>
          <cell r="AB2411" t="str">
            <v>PA_4997870-UA.7005-3</v>
          </cell>
          <cell r="AC2411">
            <v>1</v>
          </cell>
          <cell r="AD2411" t="str">
            <v/>
          </cell>
          <cell r="AE2411">
            <v>0</v>
          </cell>
          <cell r="AF2411" t="str">
            <v/>
          </cell>
          <cell r="AG2411" t="str">
            <v>12609577</v>
          </cell>
          <cell r="AH2411">
            <v>45027.911979166667</v>
          </cell>
          <cell r="AI2411" t="str">
            <v>N52</v>
          </cell>
          <cell r="AJ2411" t="str">
            <v>F</v>
          </cell>
          <cell r="AK2411" t="str">
            <v/>
          </cell>
        </row>
        <row r="2412">
          <cell r="A2412" t="str">
            <v>0284184820541</v>
          </cell>
          <cell r="B2412" t="e">
            <v>#N/A</v>
          </cell>
          <cell r="C2412" t="e">
            <v>#N/A</v>
          </cell>
          <cell r="D2412" t="str">
            <v>EK65</v>
          </cell>
          <cell r="E2412" t="str">
            <v>728011</v>
          </cell>
          <cell r="F2412" t="str">
            <v>E</v>
          </cell>
          <cell r="G2412" t="str">
            <v>0284184</v>
          </cell>
          <cell r="H2412" t="str">
            <v>Verbindungsplatte w.g.</v>
          </cell>
          <cell r="I2412">
            <v>88</v>
          </cell>
          <cell r="J2412" t="str">
            <v>Stk</v>
          </cell>
          <cell r="K2412">
            <v>45177</v>
          </cell>
          <cell r="L2412" t="str">
            <v>820541</v>
          </cell>
          <cell r="M2412" t="str">
            <v/>
          </cell>
          <cell r="N2412" t="str">
            <v/>
          </cell>
          <cell r="O2412" t="str">
            <v/>
          </cell>
          <cell r="P2412" t="str">
            <v/>
          </cell>
          <cell r="Q2412" t="str">
            <v/>
          </cell>
          <cell r="R2412" t="str">
            <v/>
          </cell>
          <cell r="S2412" t="str">
            <v/>
          </cell>
          <cell r="T2412" t="str">
            <v/>
          </cell>
          <cell r="U2412" t="str">
            <v/>
          </cell>
          <cell r="V2412" t="str">
            <v>N52</v>
          </cell>
          <cell r="W2412" t="str">
            <v/>
          </cell>
          <cell r="X2412" t="str">
            <v/>
          </cell>
          <cell r="Y2412" t="str">
            <v/>
          </cell>
          <cell r="Z2412" t="str">
            <v/>
          </cell>
          <cell r="AA2412" t="str">
            <v/>
          </cell>
          <cell r="AB2412" t="str">
            <v>BU_4088817-CD.3046-2</v>
          </cell>
          <cell r="AC2412">
            <v>1</v>
          </cell>
          <cell r="AD2412" t="str">
            <v/>
          </cell>
          <cell r="AE2412">
            <v>0</v>
          </cell>
          <cell r="AF2412" t="str">
            <v/>
          </cell>
          <cell r="AG2412" t="str">
            <v>0284184</v>
          </cell>
          <cell r="AH2412">
            <v>45027.935231481482</v>
          </cell>
          <cell r="AI2412" t="str">
            <v>N52</v>
          </cell>
          <cell r="AJ2412" t="str">
            <v>F</v>
          </cell>
          <cell r="AK2412" t="str">
            <v/>
          </cell>
        </row>
        <row r="2413">
          <cell r="A2413" t="str">
            <v>0284195820541</v>
          </cell>
          <cell r="B2413" t="e">
            <v>#N/A</v>
          </cell>
          <cell r="C2413" t="e">
            <v>#N/A</v>
          </cell>
          <cell r="D2413" t="str">
            <v>EK65</v>
          </cell>
          <cell r="E2413" t="str">
            <v>728012</v>
          </cell>
          <cell r="F2413" t="str">
            <v>E</v>
          </cell>
          <cell r="G2413" t="str">
            <v>0284195</v>
          </cell>
          <cell r="H2413" t="str">
            <v>Verbindungsplatte sp.g.</v>
          </cell>
          <cell r="I2413">
            <v>88</v>
          </cell>
          <cell r="J2413" t="str">
            <v>Stk</v>
          </cell>
          <cell r="K2413">
            <v>45177</v>
          </cell>
          <cell r="L2413" t="str">
            <v>820541</v>
          </cell>
          <cell r="M2413" t="str">
            <v/>
          </cell>
          <cell r="N2413" t="str">
            <v/>
          </cell>
          <cell r="O2413" t="str">
            <v/>
          </cell>
          <cell r="P2413" t="str">
            <v/>
          </cell>
          <cell r="Q2413" t="str">
            <v/>
          </cell>
          <cell r="R2413" t="str">
            <v/>
          </cell>
          <cell r="S2413" t="str">
            <v/>
          </cell>
          <cell r="T2413" t="str">
            <v/>
          </cell>
          <cell r="U2413" t="str">
            <v/>
          </cell>
          <cell r="V2413" t="str">
            <v>N52</v>
          </cell>
          <cell r="W2413" t="str">
            <v/>
          </cell>
          <cell r="X2413" t="str">
            <v/>
          </cell>
          <cell r="Y2413" t="str">
            <v/>
          </cell>
          <cell r="Z2413" t="str">
            <v/>
          </cell>
          <cell r="AA2413" t="str">
            <v/>
          </cell>
          <cell r="AB2413" t="str">
            <v>BU_4088817-CD.3046-2</v>
          </cell>
          <cell r="AC2413">
            <v>1</v>
          </cell>
          <cell r="AD2413" t="str">
            <v/>
          </cell>
          <cell r="AE2413">
            <v>0</v>
          </cell>
          <cell r="AF2413" t="str">
            <v/>
          </cell>
          <cell r="AG2413" t="str">
            <v>0284195</v>
          </cell>
          <cell r="AH2413">
            <v>45027.935254629629</v>
          </cell>
          <cell r="AI2413" t="str">
            <v>N52</v>
          </cell>
          <cell r="AJ2413" t="str">
            <v>F</v>
          </cell>
          <cell r="AK2413" t="str">
            <v/>
          </cell>
        </row>
        <row r="2414">
          <cell r="A2414" t="str">
            <v>0284208820541</v>
          </cell>
          <cell r="B2414" t="e">
            <v>#N/A</v>
          </cell>
          <cell r="C2414" t="e">
            <v>#N/A</v>
          </cell>
          <cell r="D2414" t="str">
            <v>EK65</v>
          </cell>
          <cell r="E2414" t="str">
            <v>728013</v>
          </cell>
          <cell r="F2414" t="str">
            <v>E</v>
          </cell>
          <cell r="G2414" t="str">
            <v>0284208</v>
          </cell>
          <cell r="H2414" t="str">
            <v>Verbindungsplatte</v>
          </cell>
          <cell r="I2414">
            <v>176</v>
          </cell>
          <cell r="J2414" t="str">
            <v>Stk</v>
          </cell>
          <cell r="K2414">
            <v>45177</v>
          </cell>
          <cell r="L2414" t="str">
            <v>820541</v>
          </cell>
          <cell r="M2414" t="str">
            <v/>
          </cell>
          <cell r="N2414" t="str">
            <v/>
          </cell>
          <cell r="O2414" t="str">
            <v/>
          </cell>
          <cell r="P2414" t="str">
            <v/>
          </cell>
          <cell r="Q2414" t="str">
            <v/>
          </cell>
          <cell r="R2414" t="str">
            <v/>
          </cell>
          <cell r="S2414" t="str">
            <v/>
          </cell>
          <cell r="T2414" t="str">
            <v/>
          </cell>
          <cell r="U2414" t="str">
            <v/>
          </cell>
          <cell r="V2414" t="str">
            <v>N52</v>
          </cell>
          <cell r="W2414" t="str">
            <v/>
          </cell>
          <cell r="X2414" t="str">
            <v/>
          </cell>
          <cell r="Y2414" t="str">
            <v/>
          </cell>
          <cell r="Z2414" t="str">
            <v/>
          </cell>
          <cell r="AA2414" t="str">
            <v/>
          </cell>
          <cell r="AB2414" t="str">
            <v>BU_4088737-CD.3046-3</v>
          </cell>
          <cell r="AC2414">
            <v>1</v>
          </cell>
          <cell r="AD2414" t="str">
            <v/>
          </cell>
          <cell r="AE2414">
            <v>0</v>
          </cell>
          <cell r="AF2414" t="str">
            <v/>
          </cell>
          <cell r="AG2414" t="str">
            <v>0284208</v>
          </cell>
          <cell r="AH2414">
            <v>45027.935277777775</v>
          </cell>
          <cell r="AI2414" t="str">
            <v>N52</v>
          </cell>
          <cell r="AJ2414" t="str">
            <v>F</v>
          </cell>
          <cell r="AK2414" t="str">
            <v/>
          </cell>
        </row>
        <row r="2415">
          <cell r="A2415" t="str">
            <v>1063917820541</v>
          </cell>
          <cell r="B2415" t="e">
            <v>#N/A</v>
          </cell>
          <cell r="C2415" t="e">
            <v>#N/A</v>
          </cell>
          <cell r="D2415" t="str">
            <v>EK65</v>
          </cell>
          <cell r="E2415" t="str">
            <v>728016</v>
          </cell>
          <cell r="F2415" t="str">
            <v>E</v>
          </cell>
          <cell r="G2415" t="str">
            <v>1063917</v>
          </cell>
          <cell r="H2415" t="str">
            <v>Winkel</v>
          </cell>
          <cell r="I2415">
            <v>88</v>
          </cell>
          <cell r="J2415" t="str">
            <v>Stk</v>
          </cell>
          <cell r="K2415">
            <v>45177</v>
          </cell>
          <cell r="L2415" t="str">
            <v>820541</v>
          </cell>
          <cell r="M2415" t="str">
            <v/>
          </cell>
          <cell r="N2415" t="str">
            <v/>
          </cell>
          <cell r="O2415" t="str">
            <v/>
          </cell>
          <cell r="P2415" t="str">
            <v/>
          </cell>
          <cell r="Q2415" t="str">
            <v/>
          </cell>
          <cell r="R2415" t="str">
            <v/>
          </cell>
          <cell r="S2415" t="str">
            <v/>
          </cell>
          <cell r="T2415" t="str">
            <v/>
          </cell>
          <cell r="U2415" t="str">
            <v/>
          </cell>
          <cell r="V2415" t="str">
            <v>N52</v>
          </cell>
          <cell r="W2415" t="str">
            <v/>
          </cell>
          <cell r="X2415" t="str">
            <v/>
          </cell>
          <cell r="Y2415" t="str">
            <v/>
          </cell>
          <cell r="Z2415" t="str">
            <v/>
          </cell>
          <cell r="AA2415" t="str">
            <v/>
          </cell>
          <cell r="AB2415" t="str">
            <v>PA_2261679-CD.3044-2</v>
          </cell>
          <cell r="AC2415">
            <v>1</v>
          </cell>
          <cell r="AD2415" t="str">
            <v/>
          </cell>
          <cell r="AE2415">
            <v>0</v>
          </cell>
          <cell r="AF2415" t="str">
            <v/>
          </cell>
          <cell r="AG2415" t="str">
            <v>1063917</v>
          </cell>
          <cell r="AH2415">
            <v>45027.938483796293</v>
          </cell>
          <cell r="AI2415" t="str">
            <v>N52</v>
          </cell>
          <cell r="AJ2415" t="str">
            <v>F</v>
          </cell>
          <cell r="AK2415" t="str">
            <v/>
          </cell>
        </row>
        <row r="2416">
          <cell r="A2416" t="str">
            <v>12647913820541</v>
          </cell>
          <cell r="B2416" t="e">
            <v>#N/A</v>
          </cell>
          <cell r="C2416" t="e">
            <v>#N/A</v>
          </cell>
          <cell r="D2416" t="str">
            <v>EK65</v>
          </cell>
          <cell r="E2416" t="str">
            <v>728085</v>
          </cell>
          <cell r="F2416" t="str">
            <v>E</v>
          </cell>
          <cell r="G2416" t="str">
            <v>12647913</v>
          </cell>
          <cell r="H2416" t="str">
            <v>Strebe Boden</v>
          </cell>
          <cell r="I2416">
            <v>88</v>
          </cell>
          <cell r="J2416" t="str">
            <v>Stk</v>
          </cell>
          <cell r="K2416">
            <v>45177</v>
          </cell>
          <cell r="L2416" t="str">
            <v>820541</v>
          </cell>
          <cell r="M2416" t="str">
            <v/>
          </cell>
          <cell r="N2416" t="str">
            <v/>
          </cell>
          <cell r="O2416" t="str">
            <v/>
          </cell>
          <cell r="P2416" t="str">
            <v/>
          </cell>
          <cell r="Q2416" t="str">
            <v/>
          </cell>
          <cell r="R2416" t="str">
            <v/>
          </cell>
          <cell r="S2416" t="str">
            <v/>
          </cell>
          <cell r="T2416" t="str">
            <v/>
          </cell>
          <cell r="U2416" t="str">
            <v/>
          </cell>
          <cell r="V2416" t="str">
            <v>N52</v>
          </cell>
          <cell r="W2416" t="str">
            <v/>
          </cell>
          <cell r="X2416" t="str">
            <v/>
          </cell>
          <cell r="Y2416" t="str">
            <v/>
          </cell>
          <cell r="Z2416" t="str">
            <v/>
          </cell>
          <cell r="AA2416" t="str">
            <v/>
          </cell>
          <cell r="AB2416" t="str">
            <v>PA_5067376-CD.3048-3</v>
          </cell>
          <cell r="AC2416">
            <v>1</v>
          </cell>
          <cell r="AD2416" t="str">
            <v/>
          </cell>
          <cell r="AE2416">
            <v>0</v>
          </cell>
          <cell r="AF2416" t="str">
            <v/>
          </cell>
          <cell r="AG2416" t="str">
            <v>12647913</v>
          </cell>
          <cell r="AH2416">
            <v>45027.943668981483</v>
          </cell>
          <cell r="AI2416" t="str">
            <v>N52</v>
          </cell>
          <cell r="AJ2416" t="str">
            <v>F</v>
          </cell>
          <cell r="AK2416" t="str">
            <v/>
          </cell>
        </row>
        <row r="2417">
          <cell r="A2417" t="str">
            <v>12649249820541</v>
          </cell>
          <cell r="B2417" t="e">
            <v>#N/A</v>
          </cell>
          <cell r="C2417" t="e">
            <v>#N/A</v>
          </cell>
          <cell r="D2417" t="str">
            <v>EK65</v>
          </cell>
          <cell r="E2417" t="str">
            <v>728088</v>
          </cell>
          <cell r="F2417" t="str">
            <v>E</v>
          </cell>
          <cell r="G2417" t="str">
            <v>12649249</v>
          </cell>
          <cell r="H2417" t="str">
            <v>Schott links kpl.</v>
          </cell>
          <cell r="I2417">
            <v>88</v>
          </cell>
          <cell r="J2417" t="str">
            <v>Stk</v>
          </cell>
          <cell r="K2417">
            <v>45177</v>
          </cell>
          <cell r="L2417" t="str">
            <v>820541</v>
          </cell>
          <cell r="M2417" t="str">
            <v/>
          </cell>
          <cell r="N2417" t="str">
            <v/>
          </cell>
          <cell r="O2417" t="str">
            <v/>
          </cell>
          <cell r="P2417" t="str">
            <v/>
          </cell>
          <cell r="Q2417" t="str">
            <v/>
          </cell>
          <cell r="R2417" t="str">
            <v/>
          </cell>
          <cell r="S2417" t="str">
            <v/>
          </cell>
          <cell r="T2417" t="str">
            <v/>
          </cell>
          <cell r="U2417" t="str">
            <v/>
          </cell>
          <cell r="V2417" t="str">
            <v>N38</v>
          </cell>
          <cell r="W2417" t="str">
            <v/>
          </cell>
          <cell r="X2417" t="str">
            <v/>
          </cell>
          <cell r="Y2417" t="str">
            <v/>
          </cell>
          <cell r="Z2417" t="str">
            <v/>
          </cell>
          <cell r="AA2417" t="str">
            <v/>
          </cell>
          <cell r="AB2417" t="str">
            <v>PA_4980021-CD.3048-3</v>
          </cell>
          <cell r="AC2417">
            <v>1</v>
          </cell>
          <cell r="AD2417" t="str">
            <v/>
          </cell>
          <cell r="AE2417">
            <v>0</v>
          </cell>
          <cell r="AF2417" t="str">
            <v/>
          </cell>
          <cell r="AG2417" t="str">
            <v>12649249</v>
          </cell>
          <cell r="AH2417">
            <v>45027.943773148145</v>
          </cell>
          <cell r="AI2417" t="str">
            <v>N38</v>
          </cell>
          <cell r="AJ2417" t="str">
            <v>F</v>
          </cell>
          <cell r="AK2417" t="str">
            <v/>
          </cell>
        </row>
        <row r="2418">
          <cell r="A2418" t="str">
            <v>12649305820541</v>
          </cell>
          <cell r="B2418" t="e">
            <v>#N/A</v>
          </cell>
          <cell r="C2418" t="e">
            <v>#N/A</v>
          </cell>
          <cell r="D2418" t="str">
            <v>EK65</v>
          </cell>
          <cell r="E2418" t="str">
            <v>728089</v>
          </cell>
          <cell r="F2418" t="str">
            <v>E</v>
          </cell>
          <cell r="G2418" t="str">
            <v>12649305</v>
          </cell>
          <cell r="H2418" t="str">
            <v>Schott rechts kpl.</v>
          </cell>
          <cell r="I2418">
            <v>88</v>
          </cell>
          <cell r="J2418" t="str">
            <v>Stk</v>
          </cell>
          <cell r="K2418">
            <v>45177</v>
          </cell>
          <cell r="L2418" t="str">
            <v>820541</v>
          </cell>
          <cell r="M2418" t="str">
            <v/>
          </cell>
          <cell r="N2418" t="str">
            <v/>
          </cell>
          <cell r="O2418" t="str">
            <v/>
          </cell>
          <cell r="P2418" t="str">
            <v/>
          </cell>
          <cell r="Q2418" t="str">
            <v/>
          </cell>
          <cell r="R2418" t="str">
            <v/>
          </cell>
          <cell r="S2418" t="str">
            <v/>
          </cell>
          <cell r="T2418" t="str">
            <v/>
          </cell>
          <cell r="U2418" t="str">
            <v/>
          </cell>
          <cell r="V2418" t="str">
            <v>N38</v>
          </cell>
          <cell r="W2418" t="str">
            <v/>
          </cell>
          <cell r="X2418" t="str">
            <v/>
          </cell>
          <cell r="Y2418" t="str">
            <v/>
          </cell>
          <cell r="Z2418" t="str">
            <v/>
          </cell>
          <cell r="AA2418" t="str">
            <v/>
          </cell>
          <cell r="AB2418" t="str">
            <v>PA_4980271-CD.3048-3</v>
          </cell>
          <cell r="AC2418">
            <v>1</v>
          </cell>
          <cell r="AD2418" t="str">
            <v/>
          </cell>
          <cell r="AE2418">
            <v>0</v>
          </cell>
          <cell r="AF2418" t="str">
            <v/>
          </cell>
          <cell r="AG2418" t="str">
            <v>12649305</v>
          </cell>
          <cell r="AH2418">
            <v>45027.943784722222</v>
          </cell>
          <cell r="AI2418" t="str">
            <v>N38</v>
          </cell>
          <cell r="AJ2418" t="str">
            <v>F</v>
          </cell>
          <cell r="AK2418" t="str">
            <v/>
          </cell>
        </row>
        <row r="2419">
          <cell r="A2419" t="str">
            <v>12658283820541</v>
          </cell>
          <cell r="B2419" t="e">
            <v>#N/A</v>
          </cell>
          <cell r="C2419" t="e">
            <v>#N/A</v>
          </cell>
          <cell r="D2419" t="str">
            <v>EK65</v>
          </cell>
          <cell r="E2419" t="str">
            <v>728093</v>
          </cell>
          <cell r="F2419" t="str">
            <v>E</v>
          </cell>
          <cell r="G2419" t="str">
            <v>12658283</v>
          </cell>
          <cell r="H2419" t="str">
            <v>Einlegeblech links kpl.</v>
          </cell>
          <cell r="I2419">
            <v>88</v>
          </cell>
          <cell r="J2419" t="str">
            <v>Stk</v>
          </cell>
          <cell r="K2419">
            <v>45177</v>
          </cell>
          <cell r="L2419" t="str">
            <v>820541</v>
          </cell>
          <cell r="M2419" t="str">
            <v/>
          </cell>
          <cell r="N2419" t="str">
            <v/>
          </cell>
          <cell r="O2419" t="str">
            <v/>
          </cell>
          <cell r="P2419" t="str">
            <v/>
          </cell>
          <cell r="Q2419" t="str">
            <v/>
          </cell>
          <cell r="R2419" t="str">
            <v/>
          </cell>
          <cell r="S2419" t="str">
            <v/>
          </cell>
          <cell r="T2419" t="str">
            <v/>
          </cell>
          <cell r="U2419" t="str">
            <v/>
          </cell>
          <cell r="V2419" t="str">
            <v>N38</v>
          </cell>
          <cell r="W2419" t="str">
            <v/>
          </cell>
          <cell r="X2419" t="str">
            <v/>
          </cell>
          <cell r="Y2419" t="str">
            <v/>
          </cell>
          <cell r="Z2419" t="str">
            <v/>
          </cell>
          <cell r="AA2419" t="str">
            <v/>
          </cell>
          <cell r="AB2419" t="str">
            <v>PA_5217208-CD.3048-3</v>
          </cell>
          <cell r="AC2419">
            <v>1</v>
          </cell>
          <cell r="AD2419" t="str">
            <v/>
          </cell>
          <cell r="AE2419">
            <v>0</v>
          </cell>
          <cell r="AF2419" t="str">
            <v/>
          </cell>
          <cell r="AG2419" t="str">
            <v>12658283</v>
          </cell>
          <cell r="AH2419">
            <v>45027.944039351853</v>
          </cell>
          <cell r="AI2419" t="str">
            <v>N38</v>
          </cell>
          <cell r="AJ2419" t="str">
            <v>F</v>
          </cell>
          <cell r="AK2419" t="str">
            <v/>
          </cell>
        </row>
        <row r="2420">
          <cell r="A2420" t="str">
            <v>12658289820541</v>
          </cell>
          <cell r="B2420" t="e">
            <v>#N/A</v>
          </cell>
          <cell r="C2420" t="e">
            <v>#N/A</v>
          </cell>
          <cell r="D2420" t="str">
            <v>EK65</v>
          </cell>
          <cell r="E2420" t="str">
            <v>728094</v>
          </cell>
          <cell r="F2420" t="str">
            <v>E</v>
          </cell>
          <cell r="G2420" t="str">
            <v>12658289</v>
          </cell>
          <cell r="H2420" t="str">
            <v>Einlegeblech rechts kpl.</v>
          </cell>
          <cell r="I2420">
            <v>88</v>
          </cell>
          <cell r="J2420" t="str">
            <v>Stk</v>
          </cell>
          <cell r="K2420">
            <v>45177</v>
          </cell>
          <cell r="L2420" t="str">
            <v>820541</v>
          </cell>
          <cell r="M2420" t="str">
            <v/>
          </cell>
          <cell r="N2420" t="str">
            <v/>
          </cell>
          <cell r="O2420" t="str">
            <v/>
          </cell>
          <cell r="P2420" t="str">
            <v/>
          </cell>
          <cell r="Q2420" t="str">
            <v/>
          </cell>
          <cell r="R2420" t="str">
            <v/>
          </cell>
          <cell r="S2420" t="str">
            <v/>
          </cell>
          <cell r="T2420" t="str">
            <v/>
          </cell>
          <cell r="U2420" t="str">
            <v/>
          </cell>
          <cell r="V2420" t="str">
            <v>N34</v>
          </cell>
          <cell r="W2420" t="str">
            <v/>
          </cell>
          <cell r="X2420" t="str">
            <v/>
          </cell>
          <cell r="Y2420" t="str">
            <v/>
          </cell>
          <cell r="Z2420" t="str">
            <v/>
          </cell>
          <cell r="AA2420" t="str">
            <v/>
          </cell>
          <cell r="AB2420" t="str">
            <v>PA_5217479-CD.3048-3</v>
          </cell>
          <cell r="AC2420">
            <v>1</v>
          </cell>
          <cell r="AD2420" t="str">
            <v/>
          </cell>
          <cell r="AE2420">
            <v>0</v>
          </cell>
          <cell r="AF2420" t="str">
            <v/>
          </cell>
          <cell r="AG2420" t="str">
            <v>12658289</v>
          </cell>
          <cell r="AH2420">
            <v>45027.944062499999</v>
          </cell>
          <cell r="AI2420" t="str">
            <v>N34</v>
          </cell>
          <cell r="AJ2420" t="str">
            <v>F</v>
          </cell>
          <cell r="AK2420" t="str">
            <v/>
          </cell>
        </row>
        <row r="2421">
          <cell r="A2421" t="str">
            <v>3880365820541</v>
          </cell>
          <cell r="B2421" t="e">
            <v>#N/A</v>
          </cell>
          <cell r="C2421" t="e">
            <v>#N/A</v>
          </cell>
          <cell r="D2421" t="str">
            <v>EK65</v>
          </cell>
          <cell r="E2421" t="str">
            <v>728106</v>
          </cell>
          <cell r="F2421" t="str">
            <v>E</v>
          </cell>
          <cell r="G2421" t="str">
            <v>3880365</v>
          </cell>
          <cell r="H2421" t="str">
            <v>Winkel</v>
          </cell>
          <cell r="I2421">
            <v>704</v>
          </cell>
          <cell r="J2421" t="str">
            <v>Stk</v>
          </cell>
          <cell r="K2421">
            <v>45177</v>
          </cell>
          <cell r="L2421" t="str">
            <v>820541</v>
          </cell>
          <cell r="M2421" t="str">
            <v/>
          </cell>
          <cell r="N2421" t="str">
            <v/>
          </cell>
          <cell r="O2421" t="str">
            <v/>
          </cell>
          <cell r="P2421" t="str">
            <v/>
          </cell>
          <cell r="Q2421" t="str">
            <v/>
          </cell>
          <cell r="R2421" t="str">
            <v/>
          </cell>
          <cell r="S2421" t="str">
            <v/>
          </cell>
          <cell r="T2421" t="str">
            <v/>
          </cell>
          <cell r="U2421" t="str">
            <v/>
          </cell>
          <cell r="V2421" t="str">
            <v>N52</v>
          </cell>
          <cell r="W2421" t="str">
            <v/>
          </cell>
          <cell r="X2421" t="str">
            <v/>
          </cell>
          <cell r="Y2421" t="str">
            <v>CL2</v>
          </cell>
          <cell r="Z2421" t="str">
            <v/>
          </cell>
          <cell r="AA2421" t="str">
            <v/>
          </cell>
          <cell r="AB2421" t="str">
            <v>PA_4579094-CD.3046-3</v>
          </cell>
          <cell r="AC2421">
            <v>1</v>
          </cell>
          <cell r="AD2421" t="str">
            <v/>
          </cell>
          <cell r="AE2421">
            <v>0</v>
          </cell>
          <cell r="AF2421" t="str">
            <v/>
          </cell>
          <cell r="AG2421" t="str">
            <v>3880365</v>
          </cell>
          <cell r="AH2421">
            <v>45027.946666666663</v>
          </cell>
          <cell r="AI2421" t="str">
            <v>N52</v>
          </cell>
          <cell r="AJ2421" t="str">
            <v>F</v>
          </cell>
          <cell r="AK2421" t="str">
            <v/>
          </cell>
        </row>
        <row r="2422">
          <cell r="A2422" t="str">
            <v>1029557</v>
          </cell>
          <cell r="B2422" t="e">
            <v>#N/A</v>
          </cell>
          <cell r="C2422" t="e">
            <v>#N/A</v>
          </cell>
          <cell r="D2422" t="str">
            <v>EK65</v>
          </cell>
          <cell r="E2422" t="str">
            <v>728259</v>
          </cell>
          <cell r="F2422" t="str">
            <v>B</v>
          </cell>
          <cell r="G2422" t="str">
            <v>1029557</v>
          </cell>
          <cell r="H2422" t="str">
            <v>Halter</v>
          </cell>
          <cell r="I2422">
            <v>20</v>
          </cell>
          <cell r="J2422" t="str">
            <v>Stk</v>
          </cell>
          <cell r="K2422">
            <v>45030</v>
          </cell>
          <cell r="L2422" t="str">
            <v/>
          </cell>
          <cell r="M2422" t="str">
            <v/>
          </cell>
          <cell r="N2422" t="str">
            <v/>
          </cell>
          <cell r="O2422" t="str">
            <v/>
          </cell>
          <cell r="P2422" t="str">
            <v/>
          </cell>
          <cell r="Q2422" t="str">
            <v/>
          </cell>
          <cell r="R2422" t="str">
            <v/>
          </cell>
          <cell r="S2422" t="str">
            <v/>
          </cell>
          <cell r="T2422" t="str">
            <v/>
          </cell>
          <cell r="U2422" t="str">
            <v/>
          </cell>
          <cell r="V2422" t="str">
            <v>N52</v>
          </cell>
          <cell r="W2422" t="str">
            <v/>
          </cell>
          <cell r="X2422" t="str">
            <v/>
          </cell>
          <cell r="Y2422" t="str">
            <v/>
          </cell>
          <cell r="Z2422" t="str">
            <v/>
          </cell>
          <cell r="AA2422" t="str">
            <v/>
          </cell>
          <cell r="AB2422" t="str">
            <v>PA_2241330-TA.7501-2</v>
          </cell>
          <cell r="AC2422">
            <v>4</v>
          </cell>
          <cell r="AD2422" t="str">
            <v/>
          </cell>
          <cell r="AE2422">
            <v>0</v>
          </cell>
          <cell r="AF2422" t="str">
            <v/>
          </cell>
          <cell r="AG2422" t="str">
            <v>1029557</v>
          </cell>
          <cell r="AH2422">
            <v>45028.83488425926</v>
          </cell>
          <cell r="AI2422" t="str">
            <v>N52</v>
          </cell>
          <cell r="AJ2422" t="str">
            <v>F</v>
          </cell>
          <cell r="AK2422" t="str">
            <v/>
          </cell>
        </row>
        <row r="2423">
          <cell r="A2423" t="str">
            <v>12532541</v>
          </cell>
          <cell r="B2423" t="e">
            <v>#N/A</v>
          </cell>
          <cell r="C2423" t="e">
            <v>#N/A</v>
          </cell>
          <cell r="D2423" t="str">
            <v>EK65</v>
          </cell>
          <cell r="E2423" t="str">
            <v>728266</v>
          </cell>
          <cell r="F2423" t="str">
            <v>B</v>
          </cell>
          <cell r="G2423" t="str">
            <v>12532541</v>
          </cell>
          <cell r="H2423" t="str">
            <v>Kombihalter kompl.</v>
          </cell>
          <cell r="I2423">
            <v>132</v>
          </cell>
          <cell r="J2423" t="str">
            <v>Stk</v>
          </cell>
          <cell r="K2423">
            <v>45030</v>
          </cell>
          <cell r="L2423" t="str">
            <v/>
          </cell>
          <cell r="M2423" t="str">
            <v/>
          </cell>
          <cell r="N2423" t="str">
            <v/>
          </cell>
          <cell r="O2423" t="str">
            <v/>
          </cell>
          <cell r="P2423" t="str">
            <v/>
          </cell>
          <cell r="Q2423" t="str">
            <v/>
          </cell>
          <cell r="R2423" t="str">
            <v/>
          </cell>
          <cell r="S2423" t="str">
            <v/>
          </cell>
          <cell r="T2423" t="str">
            <v/>
          </cell>
          <cell r="U2423" t="str">
            <v/>
          </cell>
          <cell r="V2423" t="str">
            <v>N38</v>
          </cell>
          <cell r="W2423" t="str">
            <v/>
          </cell>
          <cell r="X2423" t="str">
            <v/>
          </cell>
          <cell r="Y2423" t="str">
            <v/>
          </cell>
          <cell r="Z2423" t="str">
            <v/>
          </cell>
          <cell r="AA2423" t="str">
            <v/>
          </cell>
          <cell r="AB2423" t="str">
            <v>PA_4528776-UA.7005-3</v>
          </cell>
          <cell r="AC2423">
            <v>4</v>
          </cell>
          <cell r="AD2423" t="str">
            <v/>
          </cell>
          <cell r="AE2423">
            <v>0</v>
          </cell>
          <cell r="AF2423" t="str">
            <v/>
          </cell>
          <cell r="AG2423" t="str">
            <v>12532541</v>
          </cell>
          <cell r="AH2423">
            <v>45028.835370370369</v>
          </cell>
          <cell r="AI2423" t="str">
            <v>N38</v>
          </cell>
          <cell r="AJ2423" t="str">
            <v>F</v>
          </cell>
          <cell r="AK2423" t="str">
            <v/>
          </cell>
        </row>
        <row r="2424">
          <cell r="A2424" t="str">
            <v>12532644</v>
          </cell>
          <cell r="B2424" t="e">
            <v>#N/A</v>
          </cell>
          <cell r="C2424" t="e">
            <v>#N/A</v>
          </cell>
          <cell r="D2424" t="str">
            <v>EK65</v>
          </cell>
          <cell r="E2424" t="str">
            <v>728267</v>
          </cell>
          <cell r="F2424" t="str">
            <v>B</v>
          </cell>
          <cell r="G2424" t="str">
            <v>12532644</v>
          </cell>
          <cell r="H2424" t="str">
            <v>J-Dehnhuelse ID10,5  AD 30 H 7</v>
          </cell>
          <cell r="I2424">
            <v>1236</v>
          </cell>
          <cell r="J2424" t="str">
            <v>Stk</v>
          </cell>
          <cell r="K2424">
            <v>45030</v>
          </cell>
          <cell r="L2424" t="str">
            <v/>
          </cell>
          <cell r="M2424" t="str">
            <v/>
          </cell>
          <cell r="N2424" t="str">
            <v/>
          </cell>
          <cell r="O2424" t="str">
            <v/>
          </cell>
          <cell r="P2424" t="str">
            <v/>
          </cell>
          <cell r="Q2424" t="str">
            <v/>
          </cell>
          <cell r="R2424" t="str">
            <v/>
          </cell>
          <cell r="S2424" t="str">
            <v/>
          </cell>
          <cell r="T2424" t="str">
            <v/>
          </cell>
          <cell r="U2424" t="str">
            <v/>
          </cell>
          <cell r="V2424" t="str">
            <v>N35</v>
          </cell>
          <cell r="W2424" t="str">
            <v/>
          </cell>
          <cell r="X2424" t="str">
            <v/>
          </cell>
          <cell r="Y2424" t="str">
            <v/>
          </cell>
          <cell r="Z2424" t="str">
            <v/>
          </cell>
          <cell r="AA2424" t="str">
            <v/>
          </cell>
          <cell r="AB2424" t="str">
            <v>PA_4605270-NB.7004-4</v>
          </cell>
          <cell r="AC2424">
            <v>4</v>
          </cell>
          <cell r="AD2424" t="str">
            <v/>
          </cell>
          <cell r="AE2424">
            <v>0</v>
          </cell>
          <cell r="AF2424" t="str">
            <v/>
          </cell>
          <cell r="AG2424" t="str">
            <v>12532644</v>
          </cell>
          <cell r="AH2424">
            <v>45028.835381944446</v>
          </cell>
          <cell r="AI2424" t="str">
            <v>N35</v>
          </cell>
          <cell r="AJ2424" t="str">
            <v>F</v>
          </cell>
          <cell r="AK2424" t="str">
            <v/>
          </cell>
        </row>
        <row r="2425">
          <cell r="A2425" t="str">
            <v>12533042</v>
          </cell>
          <cell r="B2425" t="e">
            <v>#N/A</v>
          </cell>
          <cell r="C2425" t="e">
            <v>#N/A</v>
          </cell>
          <cell r="D2425" t="str">
            <v>EK65</v>
          </cell>
          <cell r="E2425" t="str">
            <v>728269</v>
          </cell>
          <cell r="F2425" t="str">
            <v>B</v>
          </cell>
          <cell r="G2425" t="str">
            <v>12533042</v>
          </cell>
          <cell r="H2425" t="str">
            <v>Distanzhuelse D=30/d=9/L=17</v>
          </cell>
          <cell r="I2425">
            <v>1642</v>
          </cell>
          <cell r="J2425" t="str">
            <v>Stk</v>
          </cell>
          <cell r="K2425">
            <v>45030</v>
          </cell>
          <cell r="L2425" t="str">
            <v/>
          </cell>
          <cell r="M2425" t="str">
            <v/>
          </cell>
          <cell r="N2425" t="str">
            <v/>
          </cell>
          <cell r="O2425" t="str">
            <v/>
          </cell>
          <cell r="P2425" t="str">
            <v/>
          </cell>
          <cell r="Q2425" t="str">
            <v/>
          </cell>
          <cell r="R2425" t="str">
            <v/>
          </cell>
          <cell r="S2425" t="str">
            <v/>
          </cell>
          <cell r="T2425" t="str">
            <v/>
          </cell>
          <cell r="U2425" t="str">
            <v/>
          </cell>
          <cell r="V2425" t="str">
            <v>N52</v>
          </cell>
          <cell r="W2425" t="str">
            <v/>
          </cell>
          <cell r="X2425" t="str">
            <v/>
          </cell>
          <cell r="Y2425" t="str">
            <v/>
          </cell>
          <cell r="Z2425" t="str">
            <v/>
          </cell>
          <cell r="AA2425" t="str">
            <v/>
          </cell>
          <cell r="AB2425" t="str">
            <v>PA_4613373-CD.7004-4</v>
          </cell>
          <cell r="AC2425">
            <v>4</v>
          </cell>
          <cell r="AD2425" t="str">
            <v/>
          </cell>
          <cell r="AE2425">
            <v>0</v>
          </cell>
          <cell r="AF2425" t="str">
            <v/>
          </cell>
          <cell r="AG2425" t="str">
            <v>12533042</v>
          </cell>
          <cell r="AH2425">
            <v>45028.835393518515</v>
          </cell>
          <cell r="AI2425" t="str">
            <v>N52</v>
          </cell>
          <cell r="AJ2425" t="str">
            <v>F</v>
          </cell>
          <cell r="AK2425" t="str">
            <v/>
          </cell>
        </row>
        <row r="2426">
          <cell r="A2426" t="str">
            <v>12664228829051</v>
          </cell>
          <cell r="B2426" t="e">
            <v>#N/A</v>
          </cell>
          <cell r="C2426" t="e">
            <v>#N/A</v>
          </cell>
          <cell r="D2426" t="str">
            <v>EK65</v>
          </cell>
          <cell r="E2426" t="str">
            <v>728326</v>
          </cell>
          <cell r="F2426" t="str">
            <v>E</v>
          </cell>
          <cell r="G2426" t="str">
            <v>12664228</v>
          </cell>
          <cell r="H2426" t="str">
            <v>Halter Luftfilter</v>
          </cell>
          <cell r="I2426">
            <v>170</v>
          </cell>
          <cell r="J2426" t="str">
            <v>Stk</v>
          </cell>
          <cell r="K2426">
            <v>44706</v>
          </cell>
          <cell r="L2426" t="str">
            <v>829051</v>
          </cell>
          <cell r="M2426" t="str">
            <v/>
          </cell>
          <cell r="N2426" t="str">
            <v/>
          </cell>
          <cell r="O2426" t="str">
            <v/>
          </cell>
          <cell r="P2426" t="str">
            <v/>
          </cell>
          <cell r="Q2426" t="str">
            <v/>
          </cell>
          <cell r="R2426" t="str">
            <v/>
          </cell>
          <cell r="S2426" t="str">
            <v/>
          </cell>
          <cell r="T2426" t="str">
            <v/>
          </cell>
          <cell r="U2426" t="str">
            <v/>
          </cell>
          <cell r="V2426" t="str">
            <v>N52</v>
          </cell>
          <cell r="W2426" t="str">
            <v/>
          </cell>
          <cell r="X2426" t="str">
            <v/>
          </cell>
          <cell r="Y2426" t="str">
            <v/>
          </cell>
          <cell r="Z2426" t="str">
            <v/>
          </cell>
          <cell r="AA2426" t="str">
            <v/>
          </cell>
          <cell r="AB2426" t="str">
            <v>PA_5231930-QE.7004-3</v>
          </cell>
          <cell r="AC2426">
            <v>1</v>
          </cell>
          <cell r="AD2426" t="str">
            <v/>
          </cell>
          <cell r="AE2426">
            <v>0</v>
          </cell>
          <cell r="AF2426" t="str">
            <v/>
          </cell>
          <cell r="AG2426" t="str">
            <v>12664228</v>
          </cell>
          <cell r="AH2426">
            <v>45028.908043981479</v>
          </cell>
          <cell r="AI2426" t="str">
            <v>N52</v>
          </cell>
          <cell r="AJ2426" t="str">
            <v>F</v>
          </cell>
          <cell r="AK2426" t="str">
            <v/>
          </cell>
        </row>
        <row r="2427">
          <cell r="A2427" t="str">
            <v>12664228829052</v>
          </cell>
          <cell r="B2427" t="e">
            <v>#N/A</v>
          </cell>
          <cell r="C2427" t="e">
            <v>#N/A</v>
          </cell>
          <cell r="D2427" t="str">
            <v>EK65</v>
          </cell>
          <cell r="E2427" t="str">
            <v>728327</v>
          </cell>
          <cell r="F2427" t="str">
            <v>E</v>
          </cell>
          <cell r="G2427" t="str">
            <v>12664228</v>
          </cell>
          <cell r="H2427" t="str">
            <v>Halter Luftfilter</v>
          </cell>
          <cell r="I2427">
            <v>66</v>
          </cell>
          <cell r="J2427" t="str">
            <v>Stk</v>
          </cell>
          <cell r="K2427">
            <v>44706</v>
          </cell>
          <cell r="L2427" t="str">
            <v>829052</v>
          </cell>
          <cell r="M2427" t="str">
            <v/>
          </cell>
          <cell r="N2427" t="str">
            <v/>
          </cell>
          <cell r="O2427" t="str">
            <v/>
          </cell>
          <cell r="P2427" t="str">
            <v/>
          </cell>
          <cell r="Q2427" t="str">
            <v/>
          </cell>
          <cell r="R2427" t="str">
            <v/>
          </cell>
          <cell r="S2427" t="str">
            <v/>
          </cell>
          <cell r="T2427" t="str">
            <v/>
          </cell>
          <cell r="U2427" t="str">
            <v/>
          </cell>
          <cell r="V2427" t="str">
            <v>N52</v>
          </cell>
          <cell r="W2427" t="str">
            <v/>
          </cell>
          <cell r="X2427" t="str">
            <v/>
          </cell>
          <cell r="Y2427" t="str">
            <v/>
          </cell>
          <cell r="Z2427" t="str">
            <v/>
          </cell>
          <cell r="AA2427" t="str">
            <v/>
          </cell>
          <cell r="AB2427" t="str">
            <v>PA_5231930-QE.7004-3</v>
          </cell>
          <cell r="AC2427">
            <v>1</v>
          </cell>
          <cell r="AD2427" t="str">
            <v/>
          </cell>
          <cell r="AE2427">
            <v>0</v>
          </cell>
          <cell r="AF2427" t="str">
            <v/>
          </cell>
          <cell r="AG2427" t="str">
            <v>12664228</v>
          </cell>
          <cell r="AH2427">
            <v>45028.908043981479</v>
          </cell>
          <cell r="AI2427" t="str">
            <v>N52</v>
          </cell>
          <cell r="AJ2427" t="str">
            <v>F</v>
          </cell>
          <cell r="AK2427" t="str">
            <v/>
          </cell>
        </row>
        <row r="2428">
          <cell r="A2428" t="str">
            <v>12668628829051</v>
          </cell>
          <cell r="B2428" t="e">
            <v>#N/A</v>
          </cell>
          <cell r="C2428" t="e">
            <v>#N/A</v>
          </cell>
          <cell r="D2428" t="str">
            <v>EK65</v>
          </cell>
          <cell r="E2428" t="str">
            <v>728328</v>
          </cell>
          <cell r="F2428" t="str">
            <v>E</v>
          </cell>
          <cell r="G2428" t="str">
            <v>12668628</v>
          </cell>
          <cell r="H2428" t="str">
            <v>Schirmblech</v>
          </cell>
          <cell r="I2428">
            <v>85</v>
          </cell>
          <cell r="J2428" t="str">
            <v>Stk</v>
          </cell>
          <cell r="K2428">
            <v>44706</v>
          </cell>
          <cell r="L2428" t="str">
            <v>829051</v>
          </cell>
          <cell r="M2428" t="str">
            <v/>
          </cell>
          <cell r="N2428" t="str">
            <v/>
          </cell>
          <cell r="O2428" t="str">
            <v/>
          </cell>
          <cell r="P2428" t="str">
            <v/>
          </cell>
          <cell r="Q2428" t="str">
            <v/>
          </cell>
          <cell r="R2428" t="str">
            <v/>
          </cell>
          <cell r="S2428" t="str">
            <v/>
          </cell>
          <cell r="T2428" t="str">
            <v/>
          </cell>
          <cell r="U2428" t="str">
            <v/>
          </cell>
          <cell r="V2428" t="str">
            <v>N52</v>
          </cell>
          <cell r="W2428" t="str">
            <v/>
          </cell>
          <cell r="X2428" t="str">
            <v/>
          </cell>
          <cell r="Y2428" t="str">
            <v/>
          </cell>
          <cell r="Z2428" t="str">
            <v/>
          </cell>
          <cell r="AA2428" t="str">
            <v/>
          </cell>
          <cell r="AB2428" t="str">
            <v>PA_5249038-UA.7004-3</v>
          </cell>
          <cell r="AC2428">
            <v>1</v>
          </cell>
          <cell r="AD2428" t="str">
            <v/>
          </cell>
          <cell r="AE2428">
            <v>0</v>
          </cell>
          <cell r="AF2428" t="str">
            <v/>
          </cell>
          <cell r="AG2428" t="str">
            <v>12668628</v>
          </cell>
          <cell r="AH2428">
            <v>45028.908067129632</v>
          </cell>
          <cell r="AI2428" t="str">
            <v>N52</v>
          </cell>
          <cell r="AJ2428" t="str">
            <v>F</v>
          </cell>
          <cell r="AK2428" t="str">
            <v/>
          </cell>
        </row>
        <row r="2429">
          <cell r="A2429" t="str">
            <v>12668661829051</v>
          </cell>
          <cell r="B2429" t="e">
            <v>#N/A</v>
          </cell>
          <cell r="C2429" t="e">
            <v>#N/A</v>
          </cell>
          <cell r="D2429" t="str">
            <v>EK65</v>
          </cell>
          <cell r="E2429" t="str">
            <v>728329</v>
          </cell>
          <cell r="F2429" t="str">
            <v>E</v>
          </cell>
          <cell r="G2429" t="str">
            <v>12668661</v>
          </cell>
          <cell r="H2429" t="str">
            <v>Adapterblech vollst.</v>
          </cell>
          <cell r="I2429">
            <v>85</v>
          </cell>
          <cell r="J2429" t="str">
            <v>Stk</v>
          </cell>
          <cell r="K2429">
            <v>44706</v>
          </cell>
          <cell r="L2429" t="str">
            <v>829051</v>
          </cell>
          <cell r="M2429" t="str">
            <v/>
          </cell>
          <cell r="N2429" t="str">
            <v/>
          </cell>
          <cell r="O2429" t="str">
            <v/>
          </cell>
          <cell r="P2429" t="str">
            <v/>
          </cell>
          <cell r="Q2429" t="str">
            <v/>
          </cell>
          <cell r="R2429" t="str">
            <v/>
          </cell>
          <cell r="S2429" t="str">
            <v/>
          </cell>
          <cell r="T2429" t="str">
            <v/>
          </cell>
          <cell r="U2429" t="str">
            <v/>
          </cell>
          <cell r="V2429" t="str">
            <v>N38</v>
          </cell>
          <cell r="W2429" t="str">
            <v/>
          </cell>
          <cell r="X2429" t="str">
            <v/>
          </cell>
          <cell r="Y2429" t="str">
            <v/>
          </cell>
          <cell r="Z2429" t="str">
            <v/>
          </cell>
          <cell r="AA2429" t="str">
            <v/>
          </cell>
          <cell r="AB2429" t="str">
            <v>PA_5251152-UA.7004-3</v>
          </cell>
          <cell r="AC2429">
            <v>1</v>
          </cell>
          <cell r="AD2429" t="str">
            <v/>
          </cell>
          <cell r="AE2429">
            <v>0</v>
          </cell>
          <cell r="AF2429" t="str">
            <v/>
          </cell>
          <cell r="AG2429" t="str">
            <v>12668661</v>
          </cell>
          <cell r="AH2429">
            <v>45028.908090277779</v>
          </cell>
          <cell r="AI2429" t="str">
            <v>N38</v>
          </cell>
          <cell r="AJ2429" t="str">
            <v>F</v>
          </cell>
          <cell r="AK2429" t="str">
            <v/>
          </cell>
        </row>
        <row r="2430">
          <cell r="A2430" t="str">
            <v>12669589829051</v>
          </cell>
          <cell r="B2430" t="e">
            <v>#N/A</v>
          </cell>
          <cell r="C2430" t="e">
            <v>#N/A</v>
          </cell>
          <cell r="D2430" t="str">
            <v>EK65</v>
          </cell>
          <cell r="E2430" t="str">
            <v>728330</v>
          </cell>
          <cell r="F2430" t="str">
            <v>E</v>
          </cell>
          <cell r="G2430" t="str">
            <v>12669589</v>
          </cell>
          <cell r="H2430" t="str">
            <v>Beilage 5 mm</v>
          </cell>
          <cell r="I2430">
            <v>340</v>
          </cell>
          <cell r="J2430" t="str">
            <v>Stk</v>
          </cell>
          <cell r="K2430">
            <v>44706</v>
          </cell>
          <cell r="L2430" t="str">
            <v>829051</v>
          </cell>
          <cell r="M2430" t="str">
            <v/>
          </cell>
          <cell r="N2430" t="str">
            <v/>
          </cell>
          <cell r="O2430" t="str">
            <v/>
          </cell>
          <cell r="P2430" t="str">
            <v/>
          </cell>
          <cell r="Q2430" t="str">
            <v/>
          </cell>
          <cell r="R2430" t="str">
            <v/>
          </cell>
          <cell r="S2430" t="str">
            <v/>
          </cell>
          <cell r="T2430" t="str">
            <v/>
          </cell>
          <cell r="U2430" t="str">
            <v/>
          </cell>
          <cell r="V2430" t="str">
            <v>N52</v>
          </cell>
          <cell r="W2430" t="str">
            <v/>
          </cell>
          <cell r="X2430" t="str">
            <v/>
          </cell>
          <cell r="Y2430" t="str">
            <v/>
          </cell>
          <cell r="Z2430" t="str">
            <v/>
          </cell>
          <cell r="AA2430" t="str">
            <v/>
          </cell>
          <cell r="AB2430" t="str">
            <v>PA_5259603-UA.7004-4</v>
          </cell>
          <cell r="AC2430">
            <v>1</v>
          </cell>
          <cell r="AD2430" t="str">
            <v/>
          </cell>
          <cell r="AE2430">
            <v>0</v>
          </cell>
          <cell r="AF2430" t="str">
            <v/>
          </cell>
          <cell r="AG2430" t="str">
            <v>12669589</v>
          </cell>
          <cell r="AH2430">
            <v>45028.908101851855</v>
          </cell>
          <cell r="AI2430" t="str">
            <v>N52</v>
          </cell>
          <cell r="AJ2430" t="str">
            <v>F</v>
          </cell>
          <cell r="AK2430" t="str">
            <v/>
          </cell>
        </row>
        <row r="2431">
          <cell r="A2431" t="str">
            <v>12674996820541</v>
          </cell>
          <cell r="B2431" t="e">
            <v>#N/A</v>
          </cell>
          <cell r="C2431" t="e">
            <v>#N/A</v>
          </cell>
          <cell r="D2431" t="str">
            <v>EK65</v>
          </cell>
          <cell r="E2431" t="str">
            <v>728333</v>
          </cell>
          <cell r="F2431" t="str">
            <v>E</v>
          </cell>
          <cell r="G2431" t="str">
            <v>12674996</v>
          </cell>
          <cell r="H2431" t="str">
            <v>Steckerhalter</v>
          </cell>
          <cell r="I2431">
            <v>88</v>
          </cell>
          <cell r="J2431" t="str">
            <v>Stk</v>
          </cell>
          <cell r="K2431">
            <v>45177</v>
          </cell>
          <cell r="L2431" t="str">
            <v>820541</v>
          </cell>
          <cell r="M2431" t="str">
            <v/>
          </cell>
          <cell r="N2431" t="str">
            <v/>
          </cell>
          <cell r="O2431" t="str">
            <v/>
          </cell>
          <cell r="P2431" t="str">
            <v/>
          </cell>
          <cell r="Q2431" t="str">
            <v/>
          </cell>
          <cell r="R2431" t="str">
            <v/>
          </cell>
          <cell r="S2431" t="str">
            <v/>
          </cell>
          <cell r="T2431" t="str">
            <v/>
          </cell>
          <cell r="U2431" t="str">
            <v/>
          </cell>
          <cell r="V2431" t="str">
            <v>N52</v>
          </cell>
          <cell r="W2431" t="str">
            <v/>
          </cell>
          <cell r="X2431" t="str">
            <v/>
          </cell>
          <cell r="Y2431" t="str">
            <v/>
          </cell>
          <cell r="Z2431" t="str">
            <v/>
          </cell>
          <cell r="AA2431" t="str">
            <v/>
          </cell>
          <cell r="AB2431" t="str">
            <v>PA_5214677-UA.3048-2</v>
          </cell>
          <cell r="AC2431">
            <v>1</v>
          </cell>
          <cell r="AD2431" t="str">
            <v/>
          </cell>
          <cell r="AE2431">
            <v>0</v>
          </cell>
          <cell r="AF2431" t="str">
            <v/>
          </cell>
          <cell r="AG2431" t="str">
            <v>12674996</v>
          </cell>
          <cell r="AH2431">
            <v>45028.908125000002</v>
          </cell>
          <cell r="AI2431" t="str">
            <v>N52</v>
          </cell>
          <cell r="AJ2431" t="str">
            <v>F</v>
          </cell>
          <cell r="AK2431" t="str">
            <v/>
          </cell>
        </row>
        <row r="2432">
          <cell r="A2432" t="str">
            <v>12675007820541</v>
          </cell>
          <cell r="B2432" t="e">
            <v>#N/A</v>
          </cell>
          <cell r="C2432" t="e">
            <v>#N/A</v>
          </cell>
          <cell r="D2432" t="str">
            <v>EK65</v>
          </cell>
          <cell r="E2432" t="str">
            <v>728334</v>
          </cell>
          <cell r="F2432" t="str">
            <v>E</v>
          </cell>
          <cell r="G2432" t="str">
            <v>12675007</v>
          </cell>
          <cell r="H2432" t="str">
            <v>Platte</v>
          </cell>
          <cell r="I2432">
            <v>88</v>
          </cell>
          <cell r="J2432" t="str">
            <v>Stk</v>
          </cell>
          <cell r="K2432">
            <v>45177</v>
          </cell>
          <cell r="L2432" t="str">
            <v>820541</v>
          </cell>
          <cell r="M2432" t="str">
            <v/>
          </cell>
          <cell r="N2432" t="str">
            <v/>
          </cell>
          <cell r="O2432" t="str">
            <v/>
          </cell>
          <cell r="P2432" t="str">
            <v/>
          </cell>
          <cell r="Q2432" t="str">
            <v/>
          </cell>
          <cell r="R2432" t="str">
            <v/>
          </cell>
          <cell r="S2432" t="str">
            <v/>
          </cell>
          <cell r="T2432" t="str">
            <v/>
          </cell>
          <cell r="U2432" t="str">
            <v/>
          </cell>
          <cell r="V2432" t="str">
            <v>N52</v>
          </cell>
          <cell r="W2432" t="str">
            <v/>
          </cell>
          <cell r="X2432" t="str">
            <v/>
          </cell>
          <cell r="Y2432" t="str">
            <v/>
          </cell>
          <cell r="Z2432" t="str">
            <v/>
          </cell>
          <cell r="AA2432" t="str">
            <v/>
          </cell>
          <cell r="AB2432" t="str">
            <v>PA_5214896-UA.3048-3</v>
          </cell>
          <cell r="AC2432">
            <v>1</v>
          </cell>
          <cell r="AD2432" t="str">
            <v/>
          </cell>
          <cell r="AE2432">
            <v>0</v>
          </cell>
          <cell r="AF2432" t="str">
            <v/>
          </cell>
          <cell r="AG2432" t="str">
            <v>12675007</v>
          </cell>
          <cell r="AH2432">
            <v>45028.908136574071</v>
          </cell>
          <cell r="AI2432" t="str">
            <v>N52</v>
          </cell>
          <cell r="AJ2432" t="str">
            <v>F</v>
          </cell>
          <cell r="AK2432" t="str">
            <v/>
          </cell>
        </row>
        <row r="2433">
          <cell r="A2433" t="str">
            <v>12612076820541</v>
          </cell>
          <cell r="B2433" t="e">
            <v>#N/A</v>
          </cell>
          <cell r="C2433" t="e">
            <v>#N/A</v>
          </cell>
          <cell r="D2433" t="str">
            <v>EK65</v>
          </cell>
          <cell r="E2433" t="str">
            <v>728444</v>
          </cell>
          <cell r="F2433" t="str">
            <v>E</v>
          </cell>
          <cell r="G2433" t="str">
            <v>12612076</v>
          </cell>
          <cell r="H2433" t="str">
            <v>Pultplatte 1300 kpl.</v>
          </cell>
          <cell r="I2433">
            <v>88</v>
          </cell>
          <cell r="J2433" t="str">
            <v>Stk</v>
          </cell>
          <cell r="K2433">
            <v>45111</v>
          </cell>
          <cell r="L2433" t="str">
            <v>820541</v>
          </cell>
          <cell r="M2433" t="str">
            <v/>
          </cell>
          <cell r="N2433" t="str">
            <v/>
          </cell>
          <cell r="O2433" t="str">
            <v/>
          </cell>
          <cell r="P2433" t="str">
            <v/>
          </cell>
          <cell r="Q2433" t="str">
            <v/>
          </cell>
          <cell r="R2433" t="str">
            <v/>
          </cell>
          <cell r="S2433" t="str">
            <v/>
          </cell>
          <cell r="T2433" t="str">
            <v/>
          </cell>
          <cell r="U2433" t="str">
            <v/>
          </cell>
          <cell r="V2433" t="str">
            <v>N38</v>
          </cell>
          <cell r="W2433" t="str">
            <v/>
          </cell>
          <cell r="X2433" t="str">
            <v/>
          </cell>
          <cell r="Y2433" t="str">
            <v/>
          </cell>
          <cell r="Z2433" t="str">
            <v/>
          </cell>
          <cell r="AA2433" t="str">
            <v/>
          </cell>
          <cell r="AB2433" t="str">
            <v>PA_5010993-TD.3048-3</v>
          </cell>
          <cell r="AC2433">
            <v>1</v>
          </cell>
          <cell r="AD2433" t="str">
            <v/>
          </cell>
          <cell r="AE2433">
            <v>0</v>
          </cell>
          <cell r="AF2433" t="str">
            <v/>
          </cell>
          <cell r="AG2433" t="str">
            <v>12612076</v>
          </cell>
          <cell r="AH2433">
            <v>45028.938657407409</v>
          </cell>
          <cell r="AI2433" t="str">
            <v>N38</v>
          </cell>
          <cell r="AJ2433" t="str">
            <v>F</v>
          </cell>
          <cell r="AK2433" t="str">
            <v/>
          </cell>
        </row>
        <row r="2434">
          <cell r="A2434" t="str">
            <v>12660500820541</v>
          </cell>
          <cell r="B2434" t="e">
            <v>#N/A</v>
          </cell>
          <cell r="C2434" t="e">
            <v>#N/A</v>
          </cell>
          <cell r="D2434" t="str">
            <v>EK65</v>
          </cell>
          <cell r="E2434" t="str">
            <v>728454</v>
          </cell>
          <cell r="F2434" t="str">
            <v>E</v>
          </cell>
          <cell r="G2434" t="str">
            <v>12660500</v>
          </cell>
          <cell r="H2434" t="str">
            <v>Pultplatte 100 kpl.</v>
          </cell>
          <cell r="I2434">
            <v>88</v>
          </cell>
          <cell r="J2434" t="str">
            <v>Stk</v>
          </cell>
          <cell r="K2434">
            <v>45111</v>
          </cell>
          <cell r="L2434" t="str">
            <v>820541</v>
          </cell>
          <cell r="M2434" t="str">
            <v/>
          </cell>
          <cell r="N2434" t="str">
            <v/>
          </cell>
          <cell r="O2434" t="str">
            <v/>
          </cell>
          <cell r="P2434" t="str">
            <v/>
          </cell>
          <cell r="Q2434" t="str">
            <v/>
          </cell>
          <cell r="R2434" t="str">
            <v/>
          </cell>
          <cell r="S2434" t="str">
            <v/>
          </cell>
          <cell r="T2434" t="str">
            <v/>
          </cell>
          <cell r="U2434" t="str">
            <v/>
          </cell>
          <cell r="V2434" t="str">
            <v>N38</v>
          </cell>
          <cell r="W2434" t="str">
            <v/>
          </cell>
          <cell r="X2434" t="str">
            <v/>
          </cell>
          <cell r="Y2434" t="str">
            <v/>
          </cell>
          <cell r="Z2434" t="str">
            <v/>
          </cell>
          <cell r="AA2434" t="str">
            <v/>
          </cell>
          <cell r="AB2434" t="str">
            <v>PA_5008042-TD.3048-3</v>
          </cell>
          <cell r="AC2434">
            <v>1</v>
          </cell>
          <cell r="AD2434" t="str">
            <v/>
          </cell>
          <cell r="AE2434">
            <v>0</v>
          </cell>
          <cell r="AF2434" t="str">
            <v/>
          </cell>
          <cell r="AG2434" t="str">
            <v>12660500</v>
          </cell>
          <cell r="AH2434">
            <v>45028.93886574074</v>
          </cell>
          <cell r="AI2434" t="str">
            <v>N38</v>
          </cell>
          <cell r="AJ2434" t="str">
            <v>F</v>
          </cell>
          <cell r="AK2434" t="str">
            <v/>
          </cell>
        </row>
        <row r="2435">
          <cell r="A2435" t="str">
            <v>12661789820541</v>
          </cell>
          <cell r="B2435" t="e">
            <v>#N/A</v>
          </cell>
          <cell r="C2435" t="e">
            <v>#N/A</v>
          </cell>
          <cell r="D2435" t="str">
            <v>EK65</v>
          </cell>
          <cell r="E2435" t="str">
            <v>728455</v>
          </cell>
          <cell r="F2435" t="str">
            <v>E</v>
          </cell>
          <cell r="G2435" t="str">
            <v>12661789</v>
          </cell>
          <cell r="H2435" t="str">
            <v>Pultplatte 700 kpl.</v>
          </cell>
          <cell r="I2435">
            <v>88</v>
          </cell>
          <cell r="J2435" t="str">
            <v>Stk</v>
          </cell>
          <cell r="K2435">
            <v>45111</v>
          </cell>
          <cell r="L2435" t="str">
            <v>820541</v>
          </cell>
          <cell r="M2435" t="str">
            <v/>
          </cell>
          <cell r="N2435" t="str">
            <v/>
          </cell>
          <cell r="O2435" t="str">
            <v/>
          </cell>
          <cell r="P2435" t="str">
            <v/>
          </cell>
          <cell r="Q2435" t="str">
            <v/>
          </cell>
          <cell r="R2435" t="str">
            <v/>
          </cell>
          <cell r="S2435" t="str">
            <v/>
          </cell>
          <cell r="T2435" t="str">
            <v/>
          </cell>
          <cell r="U2435" t="str">
            <v/>
          </cell>
          <cell r="V2435" t="str">
            <v>N38</v>
          </cell>
          <cell r="W2435" t="str">
            <v/>
          </cell>
          <cell r="X2435" t="str">
            <v/>
          </cell>
          <cell r="Y2435" t="str">
            <v/>
          </cell>
          <cell r="Z2435" t="str">
            <v/>
          </cell>
          <cell r="AA2435" t="str">
            <v/>
          </cell>
          <cell r="AB2435" t="str">
            <v>PA_5009552-TD.3048-2</v>
          </cell>
          <cell r="AC2435">
            <v>1</v>
          </cell>
          <cell r="AD2435" t="str">
            <v/>
          </cell>
          <cell r="AE2435">
            <v>0</v>
          </cell>
          <cell r="AF2435" t="str">
            <v/>
          </cell>
          <cell r="AG2435" t="str">
            <v>12661789</v>
          </cell>
          <cell r="AH2435">
            <v>45028.938877314817</v>
          </cell>
          <cell r="AI2435" t="str">
            <v>N38</v>
          </cell>
          <cell r="AJ2435" t="str">
            <v>F</v>
          </cell>
          <cell r="AK2435" t="str">
            <v/>
          </cell>
        </row>
        <row r="2436">
          <cell r="A2436" t="str">
            <v>12661795820541</v>
          </cell>
          <cell r="B2436" t="e">
            <v>#N/A</v>
          </cell>
          <cell r="C2436" t="e">
            <v>#N/A</v>
          </cell>
          <cell r="D2436" t="str">
            <v>EK65</v>
          </cell>
          <cell r="E2436" t="str">
            <v>728456</v>
          </cell>
          <cell r="F2436" t="str">
            <v>E</v>
          </cell>
          <cell r="G2436" t="str">
            <v>12661795</v>
          </cell>
          <cell r="H2436" t="str">
            <v>Halter w.g.</v>
          </cell>
          <cell r="I2436">
            <v>88</v>
          </cell>
          <cell r="J2436" t="str">
            <v>Stk</v>
          </cell>
          <cell r="K2436">
            <v>45111</v>
          </cell>
          <cell r="L2436" t="str">
            <v>820541</v>
          </cell>
          <cell r="M2436" t="str">
            <v/>
          </cell>
          <cell r="N2436" t="str">
            <v/>
          </cell>
          <cell r="O2436" t="str">
            <v/>
          </cell>
          <cell r="P2436" t="str">
            <v/>
          </cell>
          <cell r="Q2436" t="str">
            <v/>
          </cell>
          <cell r="R2436" t="str">
            <v/>
          </cell>
          <cell r="S2436" t="str">
            <v/>
          </cell>
          <cell r="T2436" t="str">
            <v/>
          </cell>
          <cell r="U2436" t="str">
            <v/>
          </cell>
          <cell r="V2436" t="str">
            <v>N52</v>
          </cell>
          <cell r="W2436" t="str">
            <v/>
          </cell>
          <cell r="X2436" t="str">
            <v/>
          </cell>
          <cell r="Y2436" t="str">
            <v/>
          </cell>
          <cell r="Z2436" t="str">
            <v/>
          </cell>
          <cell r="AA2436" t="str">
            <v/>
          </cell>
          <cell r="AB2436" t="str">
            <v>PA_5009631-TD.3048-3</v>
          </cell>
          <cell r="AC2436">
            <v>1</v>
          </cell>
          <cell r="AD2436" t="str">
            <v/>
          </cell>
          <cell r="AE2436">
            <v>0</v>
          </cell>
          <cell r="AF2436" t="str">
            <v/>
          </cell>
          <cell r="AG2436" t="str">
            <v>12661795</v>
          </cell>
          <cell r="AH2436">
            <v>45028.938888888886</v>
          </cell>
          <cell r="AI2436" t="str">
            <v>N52</v>
          </cell>
          <cell r="AJ2436" t="str">
            <v>F</v>
          </cell>
          <cell r="AK2436" t="str">
            <v/>
          </cell>
        </row>
        <row r="2437">
          <cell r="A2437" t="str">
            <v>12661797820541</v>
          </cell>
          <cell r="B2437" t="e">
            <v>#N/A</v>
          </cell>
          <cell r="C2437" t="e">
            <v>#N/A</v>
          </cell>
          <cell r="D2437" t="str">
            <v>EK65</v>
          </cell>
          <cell r="E2437" t="str">
            <v>728457</v>
          </cell>
          <cell r="F2437" t="str">
            <v>E</v>
          </cell>
          <cell r="G2437" t="str">
            <v>12661797</v>
          </cell>
          <cell r="H2437" t="str">
            <v>Halter sp.g.</v>
          </cell>
          <cell r="I2437">
            <v>88</v>
          </cell>
          <cell r="J2437" t="str">
            <v>Stk</v>
          </cell>
          <cell r="K2437">
            <v>45111</v>
          </cell>
          <cell r="L2437" t="str">
            <v>820541</v>
          </cell>
          <cell r="M2437" t="str">
            <v/>
          </cell>
          <cell r="N2437" t="str">
            <v/>
          </cell>
          <cell r="O2437" t="str">
            <v/>
          </cell>
          <cell r="P2437" t="str">
            <v/>
          </cell>
          <cell r="Q2437" t="str">
            <v/>
          </cell>
          <cell r="R2437" t="str">
            <v/>
          </cell>
          <cell r="S2437" t="str">
            <v/>
          </cell>
          <cell r="T2437" t="str">
            <v/>
          </cell>
          <cell r="U2437" t="str">
            <v/>
          </cell>
          <cell r="V2437" t="str">
            <v>N52</v>
          </cell>
          <cell r="W2437" t="str">
            <v/>
          </cell>
          <cell r="X2437" t="str">
            <v/>
          </cell>
          <cell r="Y2437" t="str">
            <v/>
          </cell>
          <cell r="Z2437" t="str">
            <v/>
          </cell>
          <cell r="AA2437" t="str">
            <v/>
          </cell>
          <cell r="AB2437" t="str">
            <v>PA_5009631-TD.3048-3</v>
          </cell>
          <cell r="AC2437">
            <v>1</v>
          </cell>
          <cell r="AD2437" t="str">
            <v/>
          </cell>
          <cell r="AE2437">
            <v>0</v>
          </cell>
          <cell r="AF2437" t="str">
            <v/>
          </cell>
          <cell r="AG2437" t="str">
            <v>12661797</v>
          </cell>
          <cell r="AH2437">
            <v>45028.93891203704</v>
          </cell>
          <cell r="AI2437" t="str">
            <v>N52</v>
          </cell>
          <cell r="AJ2437" t="str">
            <v>F</v>
          </cell>
          <cell r="AK2437" t="str">
            <v/>
          </cell>
        </row>
        <row r="2438">
          <cell r="A2438" t="str">
            <v>12662129820541</v>
          </cell>
          <cell r="B2438" t="e">
            <v>#N/A</v>
          </cell>
          <cell r="C2438" t="e">
            <v>#N/A</v>
          </cell>
          <cell r="D2438" t="str">
            <v>EK65</v>
          </cell>
          <cell r="E2438" t="str">
            <v>728460</v>
          </cell>
          <cell r="F2438" t="str">
            <v>E</v>
          </cell>
          <cell r="G2438" t="str">
            <v>12662129</v>
          </cell>
          <cell r="H2438" t="str">
            <v>Pultplatte 1200 kpl.</v>
          </cell>
          <cell r="I2438">
            <v>88</v>
          </cell>
          <cell r="J2438" t="str">
            <v>Stk</v>
          </cell>
          <cell r="K2438">
            <v>45111</v>
          </cell>
          <cell r="L2438" t="str">
            <v>820541</v>
          </cell>
          <cell r="M2438" t="str">
            <v/>
          </cell>
          <cell r="N2438" t="str">
            <v/>
          </cell>
          <cell r="O2438" t="str">
            <v/>
          </cell>
          <cell r="P2438" t="str">
            <v/>
          </cell>
          <cell r="Q2438" t="str">
            <v/>
          </cell>
          <cell r="R2438" t="str">
            <v/>
          </cell>
          <cell r="S2438" t="str">
            <v/>
          </cell>
          <cell r="T2438" t="str">
            <v/>
          </cell>
          <cell r="U2438" t="str">
            <v/>
          </cell>
          <cell r="V2438" t="str">
            <v>N38</v>
          </cell>
          <cell r="W2438" t="str">
            <v/>
          </cell>
          <cell r="X2438" t="str">
            <v/>
          </cell>
          <cell r="Y2438" t="str">
            <v/>
          </cell>
          <cell r="Z2438" t="str">
            <v/>
          </cell>
          <cell r="AA2438" t="str">
            <v/>
          </cell>
          <cell r="AB2438" t="str">
            <v>PA_5011569-TD.3048-3</v>
          </cell>
          <cell r="AC2438">
            <v>1</v>
          </cell>
          <cell r="AD2438" t="str">
            <v/>
          </cell>
          <cell r="AE2438">
            <v>0</v>
          </cell>
          <cell r="AF2438" t="str">
            <v/>
          </cell>
          <cell r="AG2438" t="str">
            <v>12662129</v>
          </cell>
          <cell r="AH2438">
            <v>45028.938946759263</v>
          </cell>
          <cell r="AI2438" t="str">
            <v>N38</v>
          </cell>
          <cell r="AJ2438" t="str">
            <v>F</v>
          </cell>
          <cell r="AK2438" t="str">
            <v/>
          </cell>
        </row>
        <row r="2439">
          <cell r="A2439" t="str">
            <v>12662169820541</v>
          </cell>
          <cell r="B2439" t="e">
            <v>#N/A</v>
          </cell>
          <cell r="C2439" t="e">
            <v>#N/A</v>
          </cell>
          <cell r="D2439" t="str">
            <v>EK65</v>
          </cell>
          <cell r="E2439" t="str">
            <v>728461</v>
          </cell>
          <cell r="F2439" t="str">
            <v>E</v>
          </cell>
          <cell r="G2439" t="str">
            <v>12662169</v>
          </cell>
          <cell r="H2439" t="str">
            <v>Pultplatte 1100 kpl.</v>
          </cell>
          <cell r="I2439">
            <v>88</v>
          </cell>
          <cell r="J2439" t="str">
            <v>Stk</v>
          </cell>
          <cell r="K2439">
            <v>45111</v>
          </cell>
          <cell r="L2439" t="str">
            <v>820541</v>
          </cell>
          <cell r="M2439" t="str">
            <v/>
          </cell>
          <cell r="N2439" t="str">
            <v/>
          </cell>
          <cell r="O2439" t="str">
            <v/>
          </cell>
          <cell r="P2439" t="str">
            <v/>
          </cell>
          <cell r="Q2439" t="str">
            <v/>
          </cell>
          <cell r="R2439" t="str">
            <v/>
          </cell>
          <cell r="S2439" t="str">
            <v/>
          </cell>
          <cell r="T2439" t="str">
            <v/>
          </cell>
          <cell r="U2439" t="str">
            <v/>
          </cell>
          <cell r="V2439" t="str">
            <v>N38</v>
          </cell>
          <cell r="W2439" t="str">
            <v/>
          </cell>
          <cell r="X2439" t="str">
            <v/>
          </cell>
          <cell r="Y2439" t="str">
            <v/>
          </cell>
          <cell r="Z2439" t="str">
            <v/>
          </cell>
          <cell r="AA2439" t="str">
            <v/>
          </cell>
          <cell r="AB2439" t="str">
            <v>PA_5021741-TD.3048-3</v>
          </cell>
          <cell r="AC2439">
            <v>1</v>
          </cell>
          <cell r="AD2439" t="str">
            <v/>
          </cell>
          <cell r="AE2439">
            <v>0</v>
          </cell>
          <cell r="AF2439" t="str">
            <v/>
          </cell>
          <cell r="AG2439" t="str">
            <v>12662169</v>
          </cell>
          <cell r="AH2439">
            <v>45028.938958333332</v>
          </cell>
          <cell r="AI2439" t="str">
            <v>N38</v>
          </cell>
          <cell r="AJ2439" t="str">
            <v>F</v>
          </cell>
          <cell r="AK2439" t="str">
            <v/>
          </cell>
        </row>
        <row r="2440">
          <cell r="A2440" t="str">
            <v>12662274820541</v>
          </cell>
          <cell r="B2440" t="e">
            <v>#N/A</v>
          </cell>
          <cell r="C2440" t="e">
            <v>#N/A</v>
          </cell>
          <cell r="D2440" t="str">
            <v>EK65</v>
          </cell>
          <cell r="E2440" t="str">
            <v>728462</v>
          </cell>
          <cell r="F2440" t="str">
            <v>E</v>
          </cell>
          <cell r="G2440" t="str">
            <v>12662274</v>
          </cell>
          <cell r="H2440" t="str">
            <v>Abdeckung Mikrofon</v>
          </cell>
          <cell r="I2440">
            <v>176</v>
          </cell>
          <cell r="J2440" t="str">
            <v>Stk</v>
          </cell>
          <cell r="K2440">
            <v>45111</v>
          </cell>
          <cell r="L2440" t="str">
            <v>820541</v>
          </cell>
          <cell r="M2440" t="str">
            <v/>
          </cell>
          <cell r="N2440" t="str">
            <v/>
          </cell>
          <cell r="O2440" t="str">
            <v/>
          </cell>
          <cell r="P2440" t="str">
            <v/>
          </cell>
          <cell r="Q2440" t="str">
            <v/>
          </cell>
          <cell r="R2440" t="str">
            <v/>
          </cell>
          <cell r="S2440" t="str">
            <v/>
          </cell>
          <cell r="T2440" t="str">
            <v/>
          </cell>
          <cell r="U2440" t="str">
            <v/>
          </cell>
          <cell r="V2440" t="str">
            <v>N52</v>
          </cell>
          <cell r="W2440" t="str">
            <v/>
          </cell>
          <cell r="X2440" t="str">
            <v/>
          </cell>
          <cell r="Y2440" t="str">
            <v/>
          </cell>
          <cell r="Z2440" t="str">
            <v/>
          </cell>
          <cell r="AA2440" t="str">
            <v/>
          </cell>
          <cell r="AB2440" t="str">
            <v>PA_5230935-TD.3048-4</v>
          </cell>
          <cell r="AC2440">
            <v>1</v>
          </cell>
          <cell r="AD2440" t="str">
            <v/>
          </cell>
          <cell r="AE2440">
            <v>0</v>
          </cell>
          <cell r="AF2440" t="str">
            <v/>
          </cell>
          <cell r="AG2440" t="str">
            <v>12662274</v>
          </cell>
          <cell r="AH2440">
            <v>45028.938969907409</v>
          </cell>
          <cell r="AI2440" t="str">
            <v>N52</v>
          </cell>
          <cell r="AJ2440" t="str">
            <v>F</v>
          </cell>
          <cell r="AK2440" t="str">
            <v/>
          </cell>
        </row>
        <row r="2441">
          <cell r="A2441" t="str">
            <v>12663705820541</v>
          </cell>
          <cell r="B2441" t="e">
            <v>#N/A</v>
          </cell>
          <cell r="C2441" t="e">
            <v>#N/A</v>
          </cell>
          <cell r="D2441" t="str">
            <v>EK65</v>
          </cell>
          <cell r="E2441" t="str">
            <v>728473</v>
          </cell>
          <cell r="F2441" t="str">
            <v>E</v>
          </cell>
          <cell r="G2441" t="str">
            <v>12663705</v>
          </cell>
          <cell r="H2441" t="str">
            <v>Pultplatte 600 kpl.</v>
          </cell>
          <cell r="I2441">
            <v>88</v>
          </cell>
          <cell r="J2441" t="str">
            <v>Stk</v>
          </cell>
          <cell r="K2441">
            <v>45111</v>
          </cell>
          <cell r="L2441" t="str">
            <v>820541</v>
          </cell>
          <cell r="M2441" t="str">
            <v/>
          </cell>
          <cell r="N2441" t="str">
            <v/>
          </cell>
          <cell r="O2441" t="str">
            <v/>
          </cell>
          <cell r="P2441" t="str">
            <v/>
          </cell>
          <cell r="Q2441" t="str">
            <v/>
          </cell>
          <cell r="R2441" t="str">
            <v/>
          </cell>
          <cell r="S2441" t="str">
            <v/>
          </cell>
          <cell r="T2441" t="str">
            <v/>
          </cell>
          <cell r="U2441" t="str">
            <v/>
          </cell>
          <cell r="V2441" t="str">
            <v>N38</v>
          </cell>
          <cell r="W2441" t="str">
            <v/>
          </cell>
          <cell r="X2441" t="str">
            <v/>
          </cell>
          <cell r="Y2441" t="str">
            <v/>
          </cell>
          <cell r="Z2441" t="str">
            <v/>
          </cell>
          <cell r="AA2441" t="str">
            <v/>
          </cell>
          <cell r="AB2441" t="str">
            <v>PA_5015909-TD.3048-3</v>
          </cell>
          <cell r="AC2441">
            <v>1</v>
          </cell>
          <cell r="AD2441" t="str">
            <v/>
          </cell>
          <cell r="AE2441">
            <v>0</v>
          </cell>
          <cell r="AF2441" t="str">
            <v/>
          </cell>
          <cell r="AG2441" t="str">
            <v>12663705</v>
          </cell>
          <cell r="AH2441">
            <v>45028.939085648148</v>
          </cell>
          <cell r="AI2441" t="str">
            <v>N38</v>
          </cell>
          <cell r="AJ2441" t="str">
            <v>F</v>
          </cell>
          <cell r="AK2441" t="str">
            <v/>
          </cell>
        </row>
        <row r="2442">
          <cell r="A2442" t="str">
            <v>12663837820541</v>
          </cell>
          <cell r="B2442" t="e">
            <v>#N/A</v>
          </cell>
          <cell r="C2442" t="e">
            <v>#N/A</v>
          </cell>
          <cell r="D2442" t="str">
            <v>EK65</v>
          </cell>
          <cell r="E2442" t="str">
            <v>728474</v>
          </cell>
          <cell r="F2442" t="str">
            <v>E</v>
          </cell>
          <cell r="G2442" t="str">
            <v>12663837</v>
          </cell>
          <cell r="H2442" t="str">
            <v>Pultplatte 800 kpl.</v>
          </cell>
          <cell r="I2442">
            <v>88</v>
          </cell>
          <cell r="J2442" t="str">
            <v>Stk</v>
          </cell>
          <cell r="K2442">
            <v>45111</v>
          </cell>
          <cell r="L2442" t="str">
            <v>820541</v>
          </cell>
          <cell r="M2442" t="str">
            <v/>
          </cell>
          <cell r="N2442" t="str">
            <v/>
          </cell>
          <cell r="O2442" t="str">
            <v/>
          </cell>
          <cell r="P2442" t="str">
            <v/>
          </cell>
          <cell r="Q2442" t="str">
            <v/>
          </cell>
          <cell r="R2442" t="str">
            <v/>
          </cell>
          <cell r="S2442" t="str">
            <v/>
          </cell>
          <cell r="T2442" t="str">
            <v/>
          </cell>
          <cell r="U2442" t="str">
            <v/>
          </cell>
          <cell r="V2442" t="str">
            <v>N38</v>
          </cell>
          <cell r="W2442" t="str">
            <v/>
          </cell>
          <cell r="X2442" t="str">
            <v/>
          </cell>
          <cell r="Y2442" t="str">
            <v/>
          </cell>
          <cell r="Z2442" t="str">
            <v/>
          </cell>
          <cell r="AA2442" t="str">
            <v/>
          </cell>
          <cell r="AB2442" t="str">
            <v>PA_5018918-TD.3048-3</v>
          </cell>
          <cell r="AC2442">
            <v>1</v>
          </cell>
          <cell r="AD2442" t="str">
            <v/>
          </cell>
          <cell r="AE2442">
            <v>0</v>
          </cell>
          <cell r="AF2442" t="str">
            <v/>
          </cell>
          <cell r="AG2442" t="str">
            <v>12663837</v>
          </cell>
          <cell r="AH2442">
            <v>45028.939097222225</v>
          </cell>
          <cell r="AI2442" t="str">
            <v>N38</v>
          </cell>
          <cell r="AJ2442" t="str">
            <v>F</v>
          </cell>
          <cell r="AK2442" t="str">
            <v/>
          </cell>
        </row>
        <row r="2443">
          <cell r="A2443" t="str">
            <v>12663884820541</v>
          </cell>
          <cell r="B2443" t="e">
            <v>#N/A</v>
          </cell>
          <cell r="C2443" t="e">
            <v>#N/A</v>
          </cell>
          <cell r="D2443" t="str">
            <v>EK65</v>
          </cell>
          <cell r="E2443" t="str">
            <v>728477</v>
          </cell>
          <cell r="F2443" t="str">
            <v>E</v>
          </cell>
          <cell r="G2443" t="str">
            <v>12663884</v>
          </cell>
          <cell r="H2443" t="str">
            <v>Pultplatte 900 kpl.</v>
          </cell>
          <cell r="I2443">
            <v>88</v>
          </cell>
          <cell r="J2443" t="str">
            <v>Stk</v>
          </cell>
          <cell r="K2443">
            <v>45111</v>
          </cell>
          <cell r="L2443" t="str">
            <v>820541</v>
          </cell>
          <cell r="M2443" t="str">
            <v/>
          </cell>
          <cell r="N2443" t="str">
            <v/>
          </cell>
          <cell r="O2443" t="str">
            <v/>
          </cell>
          <cell r="P2443" t="str">
            <v/>
          </cell>
          <cell r="Q2443" t="str">
            <v/>
          </cell>
          <cell r="R2443" t="str">
            <v/>
          </cell>
          <cell r="S2443" t="str">
            <v/>
          </cell>
          <cell r="T2443" t="str">
            <v/>
          </cell>
          <cell r="U2443" t="str">
            <v/>
          </cell>
          <cell r="V2443" t="str">
            <v>N38</v>
          </cell>
          <cell r="W2443" t="str">
            <v/>
          </cell>
          <cell r="X2443" t="str">
            <v/>
          </cell>
          <cell r="Y2443" t="str">
            <v/>
          </cell>
          <cell r="Z2443" t="str">
            <v/>
          </cell>
          <cell r="AA2443" t="str">
            <v/>
          </cell>
          <cell r="AB2443" t="str">
            <v>PA_5020657-TD.3048-3</v>
          </cell>
          <cell r="AC2443">
            <v>1</v>
          </cell>
          <cell r="AD2443" t="str">
            <v/>
          </cell>
          <cell r="AE2443">
            <v>0</v>
          </cell>
          <cell r="AF2443" t="str">
            <v/>
          </cell>
          <cell r="AG2443" t="str">
            <v>12663884</v>
          </cell>
          <cell r="AH2443">
            <v>45028.939120370371</v>
          </cell>
          <cell r="AI2443" t="str">
            <v>N38</v>
          </cell>
          <cell r="AJ2443" t="str">
            <v>F</v>
          </cell>
          <cell r="AK2443" t="str">
            <v/>
          </cell>
        </row>
        <row r="2444">
          <cell r="A2444" t="str">
            <v>12664099820541</v>
          </cell>
          <cell r="B2444" t="e">
            <v>#N/A</v>
          </cell>
          <cell r="C2444" t="e">
            <v>#N/A</v>
          </cell>
          <cell r="D2444" t="str">
            <v>EK65</v>
          </cell>
          <cell r="E2444" t="str">
            <v>728478</v>
          </cell>
          <cell r="F2444" t="str">
            <v>E</v>
          </cell>
          <cell r="G2444" t="str">
            <v>12664099</v>
          </cell>
          <cell r="H2444" t="str">
            <v>Montageplatte kpl.</v>
          </cell>
          <cell r="I2444">
            <v>88</v>
          </cell>
          <cell r="J2444" t="str">
            <v>Stk</v>
          </cell>
          <cell r="K2444">
            <v>45111</v>
          </cell>
          <cell r="L2444" t="str">
            <v>820541</v>
          </cell>
          <cell r="M2444" t="str">
            <v/>
          </cell>
          <cell r="N2444" t="str">
            <v/>
          </cell>
          <cell r="O2444" t="str">
            <v/>
          </cell>
          <cell r="P2444" t="str">
            <v/>
          </cell>
          <cell r="Q2444" t="str">
            <v/>
          </cell>
          <cell r="R2444" t="str">
            <v/>
          </cell>
          <cell r="S2444" t="str">
            <v/>
          </cell>
          <cell r="T2444" t="str">
            <v/>
          </cell>
          <cell r="U2444" t="str">
            <v/>
          </cell>
          <cell r="V2444" t="str">
            <v>N38</v>
          </cell>
          <cell r="W2444" t="str">
            <v/>
          </cell>
          <cell r="X2444" t="str">
            <v/>
          </cell>
          <cell r="Y2444" t="str">
            <v/>
          </cell>
          <cell r="Z2444" t="str">
            <v/>
          </cell>
          <cell r="AA2444" t="str">
            <v/>
          </cell>
          <cell r="AB2444" t="str">
            <v>PA_5020713-TD.3048-3</v>
          </cell>
          <cell r="AC2444">
            <v>1</v>
          </cell>
          <cell r="AD2444" t="str">
            <v/>
          </cell>
          <cell r="AE2444">
            <v>0</v>
          </cell>
          <cell r="AF2444" t="str">
            <v/>
          </cell>
          <cell r="AG2444" t="str">
            <v>12664099</v>
          </cell>
          <cell r="AH2444">
            <v>45028.939143518517</v>
          </cell>
          <cell r="AI2444" t="str">
            <v>N38</v>
          </cell>
          <cell r="AJ2444" t="str">
            <v>F</v>
          </cell>
          <cell r="AK2444" t="str">
            <v/>
          </cell>
        </row>
        <row r="2445">
          <cell r="A2445" t="str">
            <v>12664225820541</v>
          </cell>
          <cell r="B2445" t="e">
            <v>#N/A</v>
          </cell>
          <cell r="C2445" t="e">
            <v>#N/A</v>
          </cell>
          <cell r="D2445" t="str">
            <v>EK65</v>
          </cell>
          <cell r="E2445" t="str">
            <v>728479</v>
          </cell>
          <cell r="F2445" t="str">
            <v>E</v>
          </cell>
          <cell r="G2445" t="str">
            <v>12664225</v>
          </cell>
          <cell r="H2445" t="str">
            <v>Kabelbuegel</v>
          </cell>
          <cell r="I2445">
            <v>88</v>
          </cell>
          <cell r="J2445" t="str">
            <v>Stk</v>
          </cell>
          <cell r="K2445">
            <v>45111</v>
          </cell>
          <cell r="L2445" t="str">
            <v>820541</v>
          </cell>
          <cell r="M2445" t="str">
            <v/>
          </cell>
          <cell r="N2445" t="str">
            <v/>
          </cell>
          <cell r="O2445" t="str">
            <v/>
          </cell>
          <cell r="P2445" t="str">
            <v/>
          </cell>
          <cell r="Q2445" t="str">
            <v/>
          </cell>
          <cell r="R2445" t="str">
            <v/>
          </cell>
          <cell r="S2445" t="str">
            <v/>
          </cell>
          <cell r="T2445" t="str">
            <v/>
          </cell>
          <cell r="U2445" t="str">
            <v/>
          </cell>
          <cell r="V2445" t="str">
            <v>N52</v>
          </cell>
          <cell r="W2445" t="str">
            <v/>
          </cell>
          <cell r="X2445" t="str">
            <v/>
          </cell>
          <cell r="Y2445" t="str">
            <v/>
          </cell>
          <cell r="Z2445" t="str">
            <v/>
          </cell>
          <cell r="AA2445" t="str">
            <v/>
          </cell>
          <cell r="AB2445" t="str">
            <v>PA_5239430-TD.3048-3</v>
          </cell>
          <cell r="AC2445">
            <v>1</v>
          </cell>
          <cell r="AD2445" t="str">
            <v/>
          </cell>
          <cell r="AE2445">
            <v>0</v>
          </cell>
          <cell r="AF2445" t="str">
            <v/>
          </cell>
          <cell r="AG2445" t="str">
            <v>12664225</v>
          </cell>
          <cell r="AH2445">
            <v>45028.939155092594</v>
          </cell>
          <cell r="AI2445" t="str">
            <v>N52</v>
          </cell>
          <cell r="AJ2445" t="str">
            <v>F</v>
          </cell>
          <cell r="AK2445" t="str">
            <v/>
          </cell>
        </row>
        <row r="2446">
          <cell r="A2446" t="str">
            <v>12664440820541</v>
          </cell>
          <cell r="B2446" t="e">
            <v>#N/A</v>
          </cell>
          <cell r="C2446" t="e">
            <v>#N/A</v>
          </cell>
          <cell r="D2446" t="str">
            <v>EK65</v>
          </cell>
          <cell r="E2446" t="str">
            <v>728481</v>
          </cell>
          <cell r="F2446" t="str">
            <v>E</v>
          </cell>
          <cell r="G2446" t="str">
            <v>12664440</v>
          </cell>
          <cell r="H2446" t="str">
            <v>Pultplatte 1000 kpl.</v>
          </cell>
          <cell r="I2446">
            <v>88</v>
          </cell>
          <cell r="J2446" t="str">
            <v>Stk</v>
          </cell>
          <cell r="K2446">
            <v>45111</v>
          </cell>
          <cell r="L2446" t="str">
            <v>820541</v>
          </cell>
          <cell r="M2446" t="str">
            <v/>
          </cell>
          <cell r="N2446" t="str">
            <v/>
          </cell>
          <cell r="O2446" t="str">
            <v/>
          </cell>
          <cell r="P2446" t="str">
            <v/>
          </cell>
          <cell r="Q2446" t="str">
            <v/>
          </cell>
          <cell r="R2446" t="str">
            <v/>
          </cell>
          <cell r="S2446" t="str">
            <v/>
          </cell>
          <cell r="T2446" t="str">
            <v/>
          </cell>
          <cell r="U2446" t="str">
            <v/>
          </cell>
          <cell r="V2446" t="str">
            <v>N38</v>
          </cell>
          <cell r="W2446" t="str">
            <v/>
          </cell>
          <cell r="X2446" t="str">
            <v/>
          </cell>
          <cell r="Y2446" t="str">
            <v/>
          </cell>
          <cell r="Z2446" t="str">
            <v/>
          </cell>
          <cell r="AA2446" t="str">
            <v/>
          </cell>
          <cell r="AB2446" t="str">
            <v>PA_5019716-TD.3048-3</v>
          </cell>
          <cell r="AC2446">
            <v>1</v>
          </cell>
          <cell r="AD2446" t="str">
            <v/>
          </cell>
          <cell r="AE2446">
            <v>0</v>
          </cell>
          <cell r="AF2446" t="str">
            <v/>
          </cell>
          <cell r="AG2446" t="str">
            <v>12664440</v>
          </cell>
          <cell r="AH2446">
            <v>45028.93917824074</v>
          </cell>
          <cell r="AI2446" t="str">
            <v>N38</v>
          </cell>
          <cell r="AJ2446" t="str">
            <v>F</v>
          </cell>
          <cell r="AK2446" t="str">
            <v/>
          </cell>
        </row>
        <row r="2447">
          <cell r="A2447" t="str">
            <v>12664495820541</v>
          </cell>
          <cell r="B2447" t="e">
            <v>#N/A</v>
          </cell>
          <cell r="C2447" t="e">
            <v>#N/A</v>
          </cell>
          <cell r="D2447" t="str">
            <v>EK65</v>
          </cell>
          <cell r="E2447" t="str">
            <v>728482</v>
          </cell>
          <cell r="F2447" t="str">
            <v>E</v>
          </cell>
          <cell r="G2447" t="str">
            <v>12664495</v>
          </cell>
          <cell r="H2447" t="str">
            <v>Pultplatte 400 kpl.</v>
          </cell>
          <cell r="I2447">
            <v>88</v>
          </cell>
          <cell r="J2447" t="str">
            <v>Stk</v>
          </cell>
          <cell r="K2447">
            <v>45111</v>
          </cell>
          <cell r="L2447" t="str">
            <v>820541</v>
          </cell>
          <cell r="M2447" t="str">
            <v/>
          </cell>
          <cell r="N2447" t="str">
            <v/>
          </cell>
          <cell r="O2447" t="str">
            <v/>
          </cell>
          <cell r="P2447" t="str">
            <v/>
          </cell>
          <cell r="Q2447" t="str">
            <v/>
          </cell>
          <cell r="R2447" t="str">
            <v/>
          </cell>
          <cell r="S2447" t="str">
            <v/>
          </cell>
          <cell r="T2447" t="str">
            <v/>
          </cell>
          <cell r="U2447" t="str">
            <v/>
          </cell>
          <cell r="V2447" t="str">
            <v>N38</v>
          </cell>
          <cell r="W2447" t="str">
            <v/>
          </cell>
          <cell r="X2447" t="str">
            <v/>
          </cell>
          <cell r="Y2447" t="str">
            <v/>
          </cell>
          <cell r="Z2447" t="str">
            <v/>
          </cell>
          <cell r="AA2447" t="str">
            <v/>
          </cell>
          <cell r="AB2447" t="str">
            <v>PA_5015713-TD.3048-2</v>
          </cell>
          <cell r="AC2447">
            <v>1</v>
          </cell>
          <cell r="AD2447" t="str">
            <v/>
          </cell>
          <cell r="AE2447">
            <v>0</v>
          </cell>
          <cell r="AF2447" t="str">
            <v/>
          </cell>
          <cell r="AG2447" t="str">
            <v>12664495</v>
          </cell>
          <cell r="AH2447">
            <v>45028.939189814817</v>
          </cell>
          <cell r="AI2447" t="str">
            <v>N38</v>
          </cell>
          <cell r="AJ2447" t="str">
            <v>F</v>
          </cell>
          <cell r="AK2447" t="str">
            <v/>
          </cell>
        </row>
        <row r="2448">
          <cell r="A2448" t="str">
            <v>12665429820541</v>
          </cell>
          <cell r="B2448" t="e">
            <v>#N/A</v>
          </cell>
          <cell r="C2448" t="e">
            <v>#N/A</v>
          </cell>
          <cell r="D2448" t="str">
            <v>EK65</v>
          </cell>
          <cell r="E2448" t="str">
            <v>728484</v>
          </cell>
          <cell r="F2448" t="str">
            <v>E</v>
          </cell>
          <cell r="G2448" t="str">
            <v>12665429</v>
          </cell>
          <cell r="H2448" t="str">
            <v>Halter FBV kpl.</v>
          </cell>
          <cell r="I2448">
            <v>88</v>
          </cell>
          <cell r="J2448" t="str">
            <v>Stk</v>
          </cell>
          <cell r="K2448">
            <v>45111</v>
          </cell>
          <cell r="L2448" t="str">
            <v>820541</v>
          </cell>
          <cell r="M2448" t="str">
            <v/>
          </cell>
          <cell r="N2448" t="str">
            <v/>
          </cell>
          <cell r="O2448" t="str">
            <v/>
          </cell>
          <cell r="P2448" t="str">
            <v/>
          </cell>
          <cell r="Q2448" t="str">
            <v/>
          </cell>
          <cell r="R2448" t="str">
            <v/>
          </cell>
          <cell r="S2448" t="str">
            <v/>
          </cell>
          <cell r="T2448" t="str">
            <v/>
          </cell>
          <cell r="U2448" t="str">
            <v/>
          </cell>
          <cell r="V2448" t="str">
            <v>N38</v>
          </cell>
          <cell r="W2448" t="str">
            <v/>
          </cell>
          <cell r="X2448" t="str">
            <v/>
          </cell>
          <cell r="Y2448" t="str">
            <v/>
          </cell>
          <cell r="Z2448" t="str">
            <v/>
          </cell>
          <cell r="AA2448" t="str">
            <v/>
          </cell>
          <cell r="AB2448" t="str">
            <v>PA_4814872-TD.3048-3</v>
          </cell>
          <cell r="AC2448">
            <v>1</v>
          </cell>
          <cell r="AD2448" t="str">
            <v/>
          </cell>
          <cell r="AE2448">
            <v>0</v>
          </cell>
          <cell r="AF2448" t="str">
            <v/>
          </cell>
          <cell r="AG2448" t="str">
            <v>12665429</v>
          </cell>
          <cell r="AH2448">
            <v>45028.939212962963</v>
          </cell>
          <cell r="AI2448" t="str">
            <v>N38</v>
          </cell>
          <cell r="AJ2448" t="str">
            <v>F</v>
          </cell>
          <cell r="AK2448" t="str">
            <v/>
          </cell>
        </row>
        <row r="2449">
          <cell r="A2449" t="str">
            <v>12665440820541</v>
          </cell>
          <cell r="B2449" t="e">
            <v>#N/A</v>
          </cell>
          <cell r="C2449" t="e">
            <v>#N/A</v>
          </cell>
          <cell r="D2449" t="str">
            <v>EK65</v>
          </cell>
          <cell r="E2449" t="str">
            <v>728485</v>
          </cell>
          <cell r="F2449" t="str">
            <v>E</v>
          </cell>
          <cell r="G2449" t="str">
            <v>12665440</v>
          </cell>
          <cell r="H2449" t="str">
            <v>Halter FBV</v>
          </cell>
          <cell r="I2449">
            <v>88</v>
          </cell>
          <cell r="J2449" t="str">
            <v>Stk</v>
          </cell>
          <cell r="K2449">
            <v>45111</v>
          </cell>
          <cell r="L2449" t="str">
            <v>820541</v>
          </cell>
          <cell r="M2449" t="str">
            <v/>
          </cell>
          <cell r="N2449" t="str">
            <v/>
          </cell>
          <cell r="O2449" t="str">
            <v/>
          </cell>
          <cell r="P2449" t="str">
            <v/>
          </cell>
          <cell r="Q2449" t="str">
            <v/>
          </cell>
          <cell r="R2449" t="str">
            <v/>
          </cell>
          <cell r="S2449" t="str">
            <v/>
          </cell>
          <cell r="T2449" t="str">
            <v/>
          </cell>
          <cell r="U2449" t="str">
            <v/>
          </cell>
          <cell r="V2449" t="str">
            <v>N52</v>
          </cell>
          <cell r="W2449" t="str">
            <v/>
          </cell>
          <cell r="X2449" t="str">
            <v/>
          </cell>
          <cell r="Y2449" t="str">
            <v/>
          </cell>
          <cell r="Z2449" t="str">
            <v/>
          </cell>
          <cell r="AA2449" t="str">
            <v/>
          </cell>
          <cell r="AB2449" t="str">
            <v>PA_5246288-TD.3048-3</v>
          </cell>
          <cell r="AC2449">
            <v>1</v>
          </cell>
          <cell r="AD2449" t="str">
            <v/>
          </cell>
          <cell r="AE2449">
            <v>0</v>
          </cell>
          <cell r="AF2449" t="str">
            <v/>
          </cell>
          <cell r="AG2449" t="str">
            <v>12665440</v>
          </cell>
          <cell r="AH2449">
            <v>45028.93922453704</v>
          </cell>
          <cell r="AI2449" t="str">
            <v>N52</v>
          </cell>
          <cell r="AJ2449" t="str">
            <v>F</v>
          </cell>
          <cell r="AK2449" t="str">
            <v/>
          </cell>
        </row>
        <row r="2450">
          <cell r="A2450" t="str">
            <v>12667724820541</v>
          </cell>
          <cell r="B2450" t="e">
            <v>#N/A</v>
          </cell>
          <cell r="C2450" t="e">
            <v>#N/A</v>
          </cell>
          <cell r="D2450" t="str">
            <v>EK65</v>
          </cell>
          <cell r="E2450" t="str">
            <v>728488</v>
          </cell>
          <cell r="F2450" t="str">
            <v>E</v>
          </cell>
          <cell r="G2450" t="str">
            <v>12667724</v>
          </cell>
          <cell r="H2450" t="str">
            <v>Schutzblech FBV</v>
          </cell>
          <cell r="I2450">
            <v>88</v>
          </cell>
          <cell r="J2450" t="str">
            <v>Stk</v>
          </cell>
          <cell r="K2450">
            <v>45111</v>
          </cell>
          <cell r="L2450" t="str">
            <v>820541</v>
          </cell>
          <cell r="M2450" t="str">
            <v/>
          </cell>
          <cell r="N2450" t="str">
            <v/>
          </cell>
          <cell r="O2450" t="str">
            <v/>
          </cell>
          <cell r="P2450" t="str">
            <v/>
          </cell>
          <cell r="Q2450" t="str">
            <v/>
          </cell>
          <cell r="R2450" t="str">
            <v/>
          </cell>
          <cell r="S2450" t="str">
            <v/>
          </cell>
          <cell r="T2450" t="str">
            <v/>
          </cell>
          <cell r="U2450" t="str">
            <v/>
          </cell>
          <cell r="V2450" t="str">
            <v>N52</v>
          </cell>
          <cell r="W2450" t="str">
            <v/>
          </cell>
          <cell r="X2450" t="str">
            <v/>
          </cell>
          <cell r="Y2450" t="str">
            <v/>
          </cell>
          <cell r="Z2450" t="str">
            <v/>
          </cell>
          <cell r="AA2450" t="str">
            <v/>
          </cell>
          <cell r="AB2450" t="str">
            <v>PA_5255543-TD.3048-4</v>
          </cell>
          <cell r="AC2450">
            <v>1</v>
          </cell>
          <cell r="AD2450" t="str">
            <v/>
          </cell>
          <cell r="AE2450">
            <v>0</v>
          </cell>
          <cell r="AF2450" t="str">
            <v/>
          </cell>
          <cell r="AG2450" t="str">
            <v>12667724</v>
          </cell>
          <cell r="AH2450">
            <v>45028.939259259256</v>
          </cell>
          <cell r="AI2450" t="str">
            <v>N52</v>
          </cell>
          <cell r="AJ2450" t="str">
            <v>F</v>
          </cell>
          <cell r="AK2450" t="str">
            <v/>
          </cell>
        </row>
        <row r="2451">
          <cell r="A2451" t="str">
            <v>12667770820541</v>
          </cell>
          <cell r="B2451" t="e">
            <v>#N/A</v>
          </cell>
          <cell r="C2451" t="e">
            <v>#N/A</v>
          </cell>
          <cell r="D2451" t="str">
            <v>EK65</v>
          </cell>
          <cell r="E2451" t="str">
            <v>728490</v>
          </cell>
          <cell r="F2451" t="str">
            <v>E</v>
          </cell>
          <cell r="G2451" t="str">
            <v>12667770</v>
          </cell>
          <cell r="H2451" t="str">
            <v>Blende Lautsprecher</v>
          </cell>
          <cell r="I2451">
            <v>176</v>
          </cell>
          <cell r="J2451" t="str">
            <v>Stk</v>
          </cell>
          <cell r="K2451">
            <v>45111</v>
          </cell>
          <cell r="L2451" t="str">
            <v>820541</v>
          </cell>
          <cell r="M2451" t="str">
            <v/>
          </cell>
          <cell r="N2451" t="str">
            <v/>
          </cell>
          <cell r="O2451" t="str">
            <v/>
          </cell>
          <cell r="P2451" t="str">
            <v/>
          </cell>
          <cell r="Q2451" t="str">
            <v/>
          </cell>
          <cell r="R2451" t="str">
            <v/>
          </cell>
          <cell r="S2451" t="str">
            <v/>
          </cell>
          <cell r="T2451" t="str">
            <v/>
          </cell>
          <cell r="U2451" t="str">
            <v/>
          </cell>
          <cell r="V2451" t="str">
            <v>N52</v>
          </cell>
          <cell r="W2451" t="str">
            <v/>
          </cell>
          <cell r="X2451" t="str">
            <v/>
          </cell>
          <cell r="Y2451" t="str">
            <v/>
          </cell>
          <cell r="Z2451" t="str">
            <v/>
          </cell>
          <cell r="AA2451" t="str">
            <v/>
          </cell>
          <cell r="AB2451" t="str">
            <v>PA_5255775-TD.3048-3</v>
          </cell>
          <cell r="AC2451">
            <v>1</v>
          </cell>
          <cell r="AD2451" t="str">
            <v/>
          </cell>
          <cell r="AE2451">
            <v>0</v>
          </cell>
          <cell r="AF2451" t="str">
            <v/>
          </cell>
          <cell r="AG2451" t="str">
            <v>12667770</v>
          </cell>
          <cell r="AH2451">
            <v>45028.939282407409</v>
          </cell>
          <cell r="AI2451" t="str">
            <v>N52</v>
          </cell>
          <cell r="AJ2451" t="str">
            <v>F</v>
          </cell>
          <cell r="AK2451" t="str">
            <v/>
          </cell>
        </row>
        <row r="2452">
          <cell r="A2452" t="str">
            <v>12669496820541</v>
          </cell>
          <cell r="B2452" t="e">
            <v>#N/A</v>
          </cell>
          <cell r="C2452" t="e">
            <v>#N/A</v>
          </cell>
          <cell r="D2452" t="str">
            <v>EK65</v>
          </cell>
          <cell r="E2452" t="str">
            <v>728491</v>
          </cell>
          <cell r="F2452" t="str">
            <v>E</v>
          </cell>
          <cell r="G2452" t="str">
            <v>12669496</v>
          </cell>
          <cell r="H2452" t="str">
            <v>Unterlage FBS 1mm</v>
          </cell>
          <cell r="I2452">
            <v>176</v>
          </cell>
          <cell r="J2452" t="str">
            <v>Stk</v>
          </cell>
          <cell r="K2452">
            <v>45111</v>
          </cell>
          <cell r="L2452" t="str">
            <v>820541</v>
          </cell>
          <cell r="M2452" t="str">
            <v/>
          </cell>
          <cell r="N2452" t="str">
            <v/>
          </cell>
          <cell r="O2452" t="str">
            <v/>
          </cell>
          <cell r="P2452" t="str">
            <v/>
          </cell>
          <cell r="Q2452" t="str">
            <v/>
          </cell>
          <cell r="R2452" t="str">
            <v/>
          </cell>
          <cell r="S2452" t="str">
            <v/>
          </cell>
          <cell r="T2452" t="str">
            <v/>
          </cell>
          <cell r="U2452" t="str">
            <v/>
          </cell>
          <cell r="V2452" t="str">
            <v>N52</v>
          </cell>
          <cell r="W2452" t="str">
            <v/>
          </cell>
          <cell r="X2452" t="str">
            <v/>
          </cell>
          <cell r="Y2452" t="str">
            <v/>
          </cell>
          <cell r="Z2452" t="str">
            <v/>
          </cell>
          <cell r="AA2452" t="str">
            <v/>
          </cell>
          <cell r="AB2452" t="str">
            <v>PA_5259242-TD.3048-4</v>
          </cell>
          <cell r="AC2452">
            <v>1</v>
          </cell>
          <cell r="AD2452" t="str">
            <v/>
          </cell>
          <cell r="AE2452">
            <v>0</v>
          </cell>
          <cell r="AF2452" t="str">
            <v/>
          </cell>
          <cell r="AG2452" t="str">
            <v>12669496</v>
          </cell>
          <cell r="AH2452">
            <v>45028.939293981479</v>
          </cell>
          <cell r="AI2452" t="str">
            <v>N52</v>
          </cell>
          <cell r="AJ2452" t="str">
            <v>F</v>
          </cell>
          <cell r="AK2452" t="str">
            <v/>
          </cell>
        </row>
        <row r="2453">
          <cell r="A2453" t="str">
            <v>12669751820541</v>
          </cell>
          <cell r="B2453" t="e">
            <v>#N/A</v>
          </cell>
          <cell r="C2453" t="e">
            <v>#N/A</v>
          </cell>
          <cell r="D2453" t="str">
            <v>EK65</v>
          </cell>
          <cell r="E2453" t="str">
            <v>728492</v>
          </cell>
          <cell r="F2453" t="str">
            <v>E</v>
          </cell>
          <cell r="G2453" t="str">
            <v>12669751</v>
          </cell>
          <cell r="H2453" t="str">
            <v>Unterlage FBS 2mm</v>
          </cell>
          <cell r="I2453">
            <v>176</v>
          </cell>
          <cell r="J2453" t="str">
            <v>Stk</v>
          </cell>
          <cell r="K2453">
            <v>45111</v>
          </cell>
          <cell r="L2453" t="str">
            <v>820541</v>
          </cell>
          <cell r="M2453" t="str">
            <v/>
          </cell>
          <cell r="N2453" t="str">
            <v/>
          </cell>
          <cell r="O2453" t="str">
            <v/>
          </cell>
          <cell r="P2453" t="str">
            <v/>
          </cell>
          <cell r="Q2453" t="str">
            <v/>
          </cell>
          <cell r="R2453" t="str">
            <v/>
          </cell>
          <cell r="S2453" t="str">
            <v/>
          </cell>
          <cell r="T2453" t="str">
            <v/>
          </cell>
          <cell r="U2453" t="str">
            <v/>
          </cell>
          <cell r="V2453" t="str">
            <v>N52</v>
          </cell>
          <cell r="W2453" t="str">
            <v/>
          </cell>
          <cell r="X2453" t="str">
            <v/>
          </cell>
          <cell r="Y2453" t="str">
            <v/>
          </cell>
          <cell r="Z2453" t="str">
            <v/>
          </cell>
          <cell r="AA2453" t="str">
            <v/>
          </cell>
          <cell r="AB2453" t="str">
            <v>PA_5260525-TD.3048-4</v>
          </cell>
          <cell r="AC2453">
            <v>1</v>
          </cell>
          <cell r="AD2453" t="str">
            <v/>
          </cell>
          <cell r="AE2453">
            <v>0</v>
          </cell>
          <cell r="AF2453" t="str">
            <v/>
          </cell>
          <cell r="AG2453" t="str">
            <v>12669751</v>
          </cell>
          <cell r="AH2453">
            <v>45028.939305555556</v>
          </cell>
          <cell r="AI2453" t="str">
            <v>N52</v>
          </cell>
          <cell r="AJ2453" t="str">
            <v>F</v>
          </cell>
          <cell r="AK2453" t="str">
            <v/>
          </cell>
        </row>
        <row r="2454">
          <cell r="A2454" t="str">
            <v>12669756820541</v>
          </cell>
          <cell r="B2454" t="e">
            <v>#N/A</v>
          </cell>
          <cell r="C2454" t="e">
            <v>#N/A</v>
          </cell>
          <cell r="D2454" t="str">
            <v>EK65</v>
          </cell>
          <cell r="E2454" t="str">
            <v>728493</v>
          </cell>
          <cell r="F2454" t="str">
            <v>E</v>
          </cell>
          <cell r="G2454" t="str">
            <v>12669756</v>
          </cell>
          <cell r="H2454" t="str">
            <v>Unterlage FBS 3mm</v>
          </cell>
          <cell r="I2454">
            <v>176</v>
          </cell>
          <cell r="J2454" t="str">
            <v>Stk</v>
          </cell>
          <cell r="K2454">
            <v>45111</v>
          </cell>
          <cell r="L2454" t="str">
            <v>820541</v>
          </cell>
          <cell r="M2454" t="str">
            <v/>
          </cell>
          <cell r="N2454" t="str">
            <v/>
          </cell>
          <cell r="O2454" t="str">
            <v/>
          </cell>
          <cell r="P2454" t="str">
            <v/>
          </cell>
          <cell r="Q2454" t="str">
            <v/>
          </cell>
          <cell r="R2454" t="str">
            <v/>
          </cell>
          <cell r="S2454" t="str">
            <v/>
          </cell>
          <cell r="T2454" t="str">
            <v/>
          </cell>
          <cell r="U2454" t="str">
            <v/>
          </cell>
          <cell r="V2454" t="str">
            <v>N52</v>
          </cell>
          <cell r="W2454" t="str">
            <v/>
          </cell>
          <cell r="X2454" t="str">
            <v/>
          </cell>
          <cell r="Y2454" t="str">
            <v/>
          </cell>
          <cell r="Z2454" t="str">
            <v/>
          </cell>
          <cell r="AA2454" t="str">
            <v/>
          </cell>
          <cell r="AB2454" t="str">
            <v>PA_5260531-TD.3048-4</v>
          </cell>
          <cell r="AC2454">
            <v>1</v>
          </cell>
          <cell r="AD2454" t="str">
            <v/>
          </cell>
          <cell r="AE2454">
            <v>0</v>
          </cell>
          <cell r="AF2454" t="str">
            <v/>
          </cell>
          <cell r="AG2454" t="str">
            <v>12669756</v>
          </cell>
          <cell r="AH2454">
            <v>45028.939328703702</v>
          </cell>
          <cell r="AI2454" t="str">
            <v>N52</v>
          </cell>
          <cell r="AJ2454" t="str">
            <v>F</v>
          </cell>
          <cell r="AK2454" t="str">
            <v/>
          </cell>
        </row>
        <row r="2455">
          <cell r="A2455" t="str">
            <v>1309711820541</v>
          </cell>
          <cell r="B2455" t="e">
            <v>#N/A</v>
          </cell>
          <cell r="C2455" t="e">
            <v>#N/A</v>
          </cell>
          <cell r="D2455" t="str">
            <v>EK65</v>
          </cell>
          <cell r="E2455" t="str">
            <v>728496</v>
          </cell>
          <cell r="F2455" t="str">
            <v>E</v>
          </cell>
          <cell r="G2455" t="str">
            <v>1309711</v>
          </cell>
          <cell r="H2455" t="str">
            <v>Dehnhuelse</v>
          </cell>
          <cell r="I2455">
            <v>352</v>
          </cell>
          <cell r="J2455" t="str">
            <v>Stk</v>
          </cell>
          <cell r="K2455">
            <v>45166</v>
          </cell>
          <cell r="L2455" t="str">
            <v>820541</v>
          </cell>
          <cell r="M2455" t="str">
            <v/>
          </cell>
          <cell r="N2455" t="str">
            <v/>
          </cell>
          <cell r="O2455" t="str">
            <v/>
          </cell>
          <cell r="P2455" t="str">
            <v/>
          </cell>
          <cell r="Q2455" t="str">
            <v/>
          </cell>
          <cell r="R2455" t="str">
            <v/>
          </cell>
          <cell r="S2455" t="str">
            <v/>
          </cell>
          <cell r="T2455" t="str">
            <v/>
          </cell>
          <cell r="U2455" t="str">
            <v/>
          </cell>
          <cell r="V2455" t="str">
            <v>K63</v>
          </cell>
          <cell r="W2455" t="str">
            <v/>
          </cell>
          <cell r="X2455" t="str">
            <v/>
          </cell>
          <cell r="Y2455" t="str">
            <v/>
          </cell>
          <cell r="Z2455" t="str">
            <v/>
          </cell>
          <cell r="AA2455" t="str">
            <v/>
          </cell>
          <cell r="AB2455" t="str">
            <v>BU_1863708</v>
          </cell>
          <cell r="AC2455">
            <v>1</v>
          </cell>
          <cell r="AD2455" t="str">
            <v/>
          </cell>
          <cell r="AE2455">
            <v>0</v>
          </cell>
          <cell r="AF2455" t="str">
            <v/>
          </cell>
          <cell r="AG2455" t="str">
            <v>1309711</v>
          </cell>
          <cell r="AH2455">
            <v>45028.939467592594</v>
          </cell>
          <cell r="AI2455" t="str">
            <v>K63</v>
          </cell>
          <cell r="AJ2455" t="str">
            <v>F</v>
          </cell>
          <cell r="AK2455" t="str">
            <v/>
          </cell>
        </row>
        <row r="2456">
          <cell r="A2456" t="str">
            <v>2584733820531</v>
          </cell>
          <cell r="B2456" t="e">
            <v>#N/A</v>
          </cell>
          <cell r="C2456" t="e">
            <v>#N/A</v>
          </cell>
          <cell r="D2456" t="str">
            <v>EK65</v>
          </cell>
          <cell r="E2456" t="str">
            <v>728505</v>
          </cell>
          <cell r="F2456" t="str">
            <v>E</v>
          </cell>
          <cell r="G2456" t="str">
            <v>2584733</v>
          </cell>
          <cell r="H2456" t="str">
            <v>Distanzhuelse M10</v>
          </cell>
          <cell r="I2456">
            <v>6</v>
          </cell>
          <cell r="J2456" t="str">
            <v>Stk</v>
          </cell>
          <cell r="K2456">
            <v>45210</v>
          </cell>
          <cell r="L2456" t="str">
            <v>820531</v>
          </cell>
          <cell r="M2456" t="str">
            <v/>
          </cell>
          <cell r="N2456" t="str">
            <v/>
          </cell>
          <cell r="O2456" t="str">
            <v/>
          </cell>
          <cell r="P2456" t="str">
            <v/>
          </cell>
          <cell r="Q2456" t="str">
            <v/>
          </cell>
          <cell r="R2456" t="str">
            <v/>
          </cell>
          <cell r="S2456" t="str">
            <v/>
          </cell>
          <cell r="T2456" t="str">
            <v/>
          </cell>
          <cell r="U2456" t="str">
            <v/>
          </cell>
          <cell r="V2456" t="str">
            <v>N52</v>
          </cell>
          <cell r="W2456" t="str">
            <v/>
          </cell>
          <cell r="X2456" t="str">
            <v/>
          </cell>
          <cell r="Y2456" t="str">
            <v/>
          </cell>
          <cell r="Z2456" t="str">
            <v/>
          </cell>
          <cell r="AA2456" t="str">
            <v/>
          </cell>
          <cell r="AB2456" t="str">
            <v>PA_2252362-QE.3044-4</v>
          </cell>
          <cell r="AC2456">
            <v>1</v>
          </cell>
          <cell r="AD2456" t="str">
            <v/>
          </cell>
          <cell r="AE2456">
            <v>0</v>
          </cell>
          <cell r="AF2456" t="str">
            <v/>
          </cell>
          <cell r="AG2456" t="str">
            <v>2584733</v>
          </cell>
          <cell r="AH2456">
            <v>45028.941527777781</v>
          </cell>
          <cell r="AI2456" t="str">
            <v>N52</v>
          </cell>
          <cell r="AJ2456" t="str">
            <v>F</v>
          </cell>
          <cell r="AK2456" t="str">
            <v/>
          </cell>
        </row>
        <row r="2457">
          <cell r="A2457" t="str">
            <v>0438834</v>
          </cell>
          <cell r="B2457" t="e">
            <v>#N/A</v>
          </cell>
          <cell r="C2457" t="e">
            <v>#N/A</v>
          </cell>
          <cell r="D2457" t="str">
            <v>EK65</v>
          </cell>
          <cell r="E2457" t="str">
            <v>728705</v>
          </cell>
          <cell r="F2457" t="str">
            <v>B</v>
          </cell>
          <cell r="G2457" t="str">
            <v>0438834</v>
          </cell>
          <cell r="H2457" t="str">
            <v>Unterlegscheibe</v>
          </cell>
          <cell r="I2457">
            <v>100</v>
          </cell>
          <cell r="J2457" t="str">
            <v>Stk</v>
          </cell>
          <cell r="K2457">
            <v>45031</v>
          </cell>
          <cell r="L2457" t="str">
            <v/>
          </cell>
          <cell r="M2457" t="str">
            <v/>
          </cell>
          <cell r="N2457" t="str">
            <v/>
          </cell>
          <cell r="O2457" t="str">
            <v/>
          </cell>
          <cell r="P2457" t="str">
            <v/>
          </cell>
          <cell r="Q2457" t="str">
            <v/>
          </cell>
          <cell r="R2457" t="str">
            <v/>
          </cell>
          <cell r="S2457" t="str">
            <v/>
          </cell>
          <cell r="T2457" t="str">
            <v/>
          </cell>
          <cell r="U2457" t="str">
            <v/>
          </cell>
          <cell r="V2457" t="str">
            <v>N52</v>
          </cell>
          <cell r="W2457" t="str">
            <v/>
          </cell>
          <cell r="X2457" t="str">
            <v/>
          </cell>
          <cell r="Y2457" t="str">
            <v/>
          </cell>
          <cell r="Z2457" t="str">
            <v/>
          </cell>
          <cell r="AA2457" t="str">
            <v/>
          </cell>
          <cell r="AB2457" t="str">
            <v>PA_2224762-CD.7500-4</v>
          </cell>
          <cell r="AC2457">
            <v>4</v>
          </cell>
          <cell r="AD2457" t="str">
            <v/>
          </cell>
          <cell r="AE2457">
            <v>0</v>
          </cell>
          <cell r="AF2457" t="str">
            <v/>
          </cell>
          <cell r="AG2457" t="str">
            <v>0438834</v>
          </cell>
          <cell r="AH2457">
            <v>45029.834062499998</v>
          </cell>
          <cell r="AI2457" t="str">
            <v>N52</v>
          </cell>
          <cell r="AJ2457" t="str">
            <v>F</v>
          </cell>
          <cell r="AK2457" t="str">
            <v/>
          </cell>
        </row>
        <row r="2458">
          <cell r="A2458" t="str">
            <v>0655160</v>
          </cell>
          <cell r="B2458" t="e">
            <v>#N/A</v>
          </cell>
          <cell r="C2458" t="e">
            <v>#N/A</v>
          </cell>
          <cell r="D2458" t="str">
            <v>EK65</v>
          </cell>
          <cell r="E2458" t="str">
            <v>728707</v>
          </cell>
          <cell r="F2458" t="str">
            <v>B</v>
          </cell>
          <cell r="G2458" t="str">
            <v>0655160</v>
          </cell>
          <cell r="H2458" t="str">
            <v>Gewindeplatte M8</v>
          </cell>
          <cell r="I2458">
            <v>4</v>
          </cell>
          <cell r="J2458" t="str">
            <v>Stk</v>
          </cell>
          <cell r="K2458">
            <v>45031</v>
          </cell>
          <cell r="L2458" t="str">
            <v/>
          </cell>
          <cell r="M2458" t="str">
            <v/>
          </cell>
          <cell r="N2458" t="str">
            <v/>
          </cell>
          <cell r="O2458" t="str">
            <v/>
          </cell>
          <cell r="P2458" t="str">
            <v/>
          </cell>
          <cell r="Q2458" t="str">
            <v/>
          </cell>
          <cell r="R2458" t="str">
            <v/>
          </cell>
          <cell r="S2458" t="str">
            <v/>
          </cell>
          <cell r="T2458" t="str">
            <v/>
          </cell>
          <cell r="U2458" t="str">
            <v/>
          </cell>
          <cell r="V2458" t="str">
            <v>N52</v>
          </cell>
          <cell r="W2458" t="str">
            <v/>
          </cell>
          <cell r="X2458" t="str">
            <v/>
          </cell>
          <cell r="Y2458" t="str">
            <v/>
          </cell>
          <cell r="Z2458" t="str">
            <v/>
          </cell>
          <cell r="AA2458" t="str">
            <v/>
          </cell>
          <cell r="AB2458" t="str">
            <v>PA_2197094-CE.7500-3</v>
          </cell>
          <cell r="AC2458">
            <v>4</v>
          </cell>
          <cell r="AD2458" t="str">
            <v/>
          </cell>
          <cell r="AE2458">
            <v>0</v>
          </cell>
          <cell r="AF2458" t="str">
            <v/>
          </cell>
          <cell r="AG2458" t="str">
            <v>0655160</v>
          </cell>
          <cell r="AH2458">
            <v>45029.834421296298</v>
          </cell>
          <cell r="AI2458" t="str">
            <v>N52</v>
          </cell>
          <cell r="AJ2458" t="str">
            <v>F</v>
          </cell>
          <cell r="AK2458" t="str">
            <v/>
          </cell>
        </row>
        <row r="2459">
          <cell r="A2459" t="str">
            <v>12496456</v>
          </cell>
          <cell r="B2459">
            <v>0</v>
          </cell>
          <cell r="C2459" t="e">
            <v>#N/A</v>
          </cell>
          <cell r="D2459" t="str">
            <v>EK65</v>
          </cell>
          <cell r="E2459" t="str">
            <v>728710</v>
          </cell>
          <cell r="F2459" t="str">
            <v>B</v>
          </cell>
          <cell r="G2459" t="str">
            <v>12496456</v>
          </cell>
          <cell r="H2459" t="str">
            <v>Blech</v>
          </cell>
          <cell r="I2459">
            <v>44</v>
          </cell>
          <cell r="J2459" t="str">
            <v>Stk</v>
          </cell>
          <cell r="K2459">
            <v>45031</v>
          </cell>
          <cell r="L2459" t="str">
            <v/>
          </cell>
          <cell r="M2459" t="str">
            <v/>
          </cell>
          <cell r="N2459" t="str">
            <v/>
          </cell>
          <cell r="O2459" t="str">
            <v/>
          </cell>
          <cell r="P2459" t="str">
            <v/>
          </cell>
          <cell r="Q2459" t="str">
            <v/>
          </cell>
          <cell r="R2459" t="str">
            <v/>
          </cell>
          <cell r="S2459" t="str">
            <v/>
          </cell>
          <cell r="T2459" t="str">
            <v/>
          </cell>
          <cell r="U2459" t="str">
            <v/>
          </cell>
          <cell r="V2459" t="str">
            <v>N52</v>
          </cell>
          <cell r="W2459" t="str">
            <v/>
          </cell>
          <cell r="X2459" t="str">
            <v/>
          </cell>
          <cell r="Y2459" t="str">
            <v/>
          </cell>
          <cell r="Z2459" t="str">
            <v/>
          </cell>
          <cell r="AA2459" t="str">
            <v/>
          </cell>
          <cell r="AB2459" t="str">
            <v>PA_4408706-LC.7005-3</v>
          </cell>
          <cell r="AC2459">
            <v>4</v>
          </cell>
          <cell r="AD2459" t="str">
            <v/>
          </cell>
          <cell r="AE2459">
            <v>0</v>
          </cell>
          <cell r="AF2459" t="str">
            <v/>
          </cell>
          <cell r="AG2459" t="str">
            <v>12496456</v>
          </cell>
          <cell r="AH2459">
            <v>45029.835162037038</v>
          </cell>
          <cell r="AI2459" t="str">
            <v>N52</v>
          </cell>
          <cell r="AJ2459" t="str">
            <v>F</v>
          </cell>
          <cell r="AK2459" t="str">
            <v/>
          </cell>
        </row>
        <row r="2460">
          <cell r="A2460" t="str">
            <v>5732724</v>
          </cell>
          <cell r="B2460" t="e">
            <v>#N/A</v>
          </cell>
          <cell r="C2460" t="e">
            <v>#N/A</v>
          </cell>
          <cell r="D2460" t="str">
            <v>EK65</v>
          </cell>
          <cell r="E2460" t="str">
            <v>728713</v>
          </cell>
          <cell r="F2460" t="str">
            <v>B</v>
          </cell>
          <cell r="G2460" t="str">
            <v>5732724</v>
          </cell>
          <cell r="H2460" t="str">
            <v>DISTANZHUELSE</v>
          </cell>
          <cell r="I2460">
            <v>120</v>
          </cell>
          <cell r="J2460" t="str">
            <v>Stk</v>
          </cell>
          <cell r="K2460">
            <v>45031</v>
          </cell>
          <cell r="L2460" t="str">
            <v/>
          </cell>
          <cell r="M2460" t="str">
            <v/>
          </cell>
          <cell r="N2460" t="str">
            <v/>
          </cell>
          <cell r="O2460" t="str">
            <v/>
          </cell>
          <cell r="P2460" t="str">
            <v/>
          </cell>
          <cell r="Q2460" t="str">
            <v/>
          </cell>
          <cell r="R2460" t="str">
            <v/>
          </cell>
          <cell r="S2460" t="str">
            <v/>
          </cell>
          <cell r="T2460" t="str">
            <v/>
          </cell>
          <cell r="U2460" t="str">
            <v/>
          </cell>
          <cell r="V2460" t="str">
            <v>N32</v>
          </cell>
          <cell r="W2460" t="str">
            <v/>
          </cell>
          <cell r="X2460" t="str">
            <v/>
          </cell>
          <cell r="Y2460" t="str">
            <v/>
          </cell>
          <cell r="Z2460" t="str">
            <v/>
          </cell>
          <cell r="AA2460" t="str">
            <v/>
          </cell>
          <cell r="AB2460" t="str">
            <v>PA_1491407-CA.3021-4</v>
          </cell>
          <cell r="AC2460">
            <v>4</v>
          </cell>
          <cell r="AD2460" t="str">
            <v/>
          </cell>
          <cell r="AE2460">
            <v>0</v>
          </cell>
          <cell r="AF2460" t="str">
            <v/>
          </cell>
          <cell r="AG2460" t="str">
            <v>5732724</v>
          </cell>
          <cell r="AH2460">
            <v>45029.83766203704</v>
          </cell>
          <cell r="AI2460" t="str">
            <v>N32</v>
          </cell>
          <cell r="AJ2460" t="str">
            <v>F</v>
          </cell>
          <cell r="AK2460" t="str">
            <v/>
          </cell>
        </row>
        <row r="2461">
          <cell r="A2461" t="str">
            <v>0209465820541</v>
          </cell>
          <cell r="B2461" t="e">
            <v>#N/A</v>
          </cell>
          <cell r="C2461" t="e">
            <v>#N/A</v>
          </cell>
          <cell r="D2461" t="str">
            <v>EK65</v>
          </cell>
          <cell r="E2461" t="str">
            <v>729095</v>
          </cell>
          <cell r="F2461" t="str">
            <v>E</v>
          </cell>
          <cell r="G2461" t="str">
            <v>0209465</v>
          </cell>
          <cell r="H2461" t="str">
            <v>SPEZIAL UNTERLEG- SCHEIBE D55X36,5X2</v>
          </cell>
          <cell r="I2461">
            <v>880</v>
          </cell>
          <cell r="J2461" t="str">
            <v>Stk</v>
          </cell>
          <cell r="K2461">
            <v>45166</v>
          </cell>
          <cell r="L2461" t="str">
            <v>820541</v>
          </cell>
          <cell r="M2461" t="str">
            <v/>
          </cell>
          <cell r="N2461" t="str">
            <v/>
          </cell>
          <cell r="O2461" t="str">
            <v/>
          </cell>
          <cell r="P2461" t="str">
            <v/>
          </cell>
          <cell r="Q2461" t="str">
            <v/>
          </cell>
          <cell r="R2461" t="str">
            <v/>
          </cell>
          <cell r="S2461" t="str">
            <v/>
          </cell>
          <cell r="T2461" t="str">
            <v/>
          </cell>
          <cell r="U2461" t="str">
            <v/>
          </cell>
          <cell r="V2461" t="str">
            <v>K30</v>
          </cell>
          <cell r="W2461" t="str">
            <v/>
          </cell>
          <cell r="X2461" t="str">
            <v/>
          </cell>
          <cell r="Y2461" t="str">
            <v/>
          </cell>
          <cell r="Z2461" t="str">
            <v/>
          </cell>
          <cell r="AA2461" t="str">
            <v/>
          </cell>
          <cell r="AB2461" t="str">
            <v>CHX1006075-QB.3000-4</v>
          </cell>
          <cell r="AC2461">
            <v>1</v>
          </cell>
          <cell r="AD2461" t="str">
            <v/>
          </cell>
          <cell r="AE2461">
            <v>0</v>
          </cell>
          <cell r="AF2461" t="str">
            <v/>
          </cell>
          <cell r="AG2461" t="str">
            <v>0209465</v>
          </cell>
          <cell r="AH2461">
            <v>45029.960219907407</v>
          </cell>
          <cell r="AI2461" t="str">
            <v>K30</v>
          </cell>
          <cell r="AJ2461" t="str">
            <v>F</v>
          </cell>
          <cell r="AK2461" t="str">
            <v>B</v>
          </cell>
        </row>
        <row r="2462">
          <cell r="A2462" t="str">
            <v>12673907820541</v>
          </cell>
          <cell r="B2462" t="e">
            <v>#N/A</v>
          </cell>
          <cell r="C2462" t="e">
            <v>#N/A</v>
          </cell>
          <cell r="D2462" t="str">
            <v>EK65</v>
          </cell>
          <cell r="E2462" t="str">
            <v>729129</v>
          </cell>
          <cell r="F2462" t="str">
            <v>E</v>
          </cell>
          <cell r="G2462" t="str">
            <v>12673907</v>
          </cell>
          <cell r="H2462" t="str">
            <v>Anschlusskasten vollst.</v>
          </cell>
          <cell r="I2462">
            <v>44</v>
          </cell>
          <cell r="J2462" t="str">
            <v>Stk</v>
          </cell>
          <cell r="K2462">
            <v>45173</v>
          </cell>
          <cell r="L2462" t="str">
            <v>820541</v>
          </cell>
          <cell r="M2462" t="str">
            <v/>
          </cell>
          <cell r="N2462" t="str">
            <v/>
          </cell>
          <cell r="O2462" t="str">
            <v/>
          </cell>
          <cell r="P2462" t="str">
            <v/>
          </cell>
          <cell r="Q2462" t="str">
            <v/>
          </cell>
          <cell r="R2462" t="str">
            <v/>
          </cell>
          <cell r="S2462" t="str">
            <v/>
          </cell>
          <cell r="T2462" t="str">
            <v/>
          </cell>
          <cell r="U2462" t="str">
            <v/>
          </cell>
          <cell r="V2462" t="str">
            <v>N34</v>
          </cell>
          <cell r="W2462" t="str">
            <v/>
          </cell>
          <cell r="X2462" t="str">
            <v/>
          </cell>
          <cell r="Y2462" t="str">
            <v/>
          </cell>
          <cell r="Z2462" t="str">
            <v/>
          </cell>
          <cell r="AA2462" t="str">
            <v/>
          </cell>
          <cell r="AB2462" t="str">
            <v>PA_5275676-DD.3048-2</v>
          </cell>
          <cell r="AC2462">
            <v>1</v>
          </cell>
          <cell r="AD2462" t="str">
            <v/>
          </cell>
          <cell r="AE2462">
            <v>0</v>
          </cell>
          <cell r="AF2462" t="str">
            <v/>
          </cell>
          <cell r="AG2462" t="str">
            <v>12673907</v>
          </cell>
          <cell r="AH2462">
            <v>45029.963437500002</v>
          </cell>
          <cell r="AI2462" t="str">
            <v>N34</v>
          </cell>
          <cell r="AJ2462" t="str">
            <v>F</v>
          </cell>
          <cell r="AK2462" t="str">
            <v/>
          </cell>
        </row>
        <row r="2463">
          <cell r="A2463" t="str">
            <v>70001975828521</v>
          </cell>
          <cell r="B2463">
            <v>0</v>
          </cell>
          <cell r="C2463" t="e">
            <v>#N/A</v>
          </cell>
          <cell r="D2463" t="str">
            <v>EK65</v>
          </cell>
          <cell r="E2463" t="str">
            <v>706897</v>
          </cell>
          <cell r="F2463" t="str">
            <v>E</v>
          </cell>
          <cell r="G2463" t="str">
            <v>70001975</v>
          </cell>
          <cell r="H2463" t="str">
            <v>SHIM 5MM</v>
          </cell>
          <cell r="I2463">
            <v>360</v>
          </cell>
          <cell r="J2463" t="str">
            <v>Stk</v>
          </cell>
          <cell r="K2463">
            <v>45117</v>
          </cell>
          <cell r="L2463" t="str">
            <v>828521</v>
          </cell>
          <cell r="M2463" t="str">
            <v/>
          </cell>
          <cell r="N2463" t="str">
            <v/>
          </cell>
          <cell r="O2463" t="str">
            <v/>
          </cell>
          <cell r="P2463" t="str">
            <v/>
          </cell>
          <cell r="Q2463" t="str">
            <v/>
          </cell>
          <cell r="R2463" t="str">
            <v/>
          </cell>
          <cell r="S2463" t="str">
            <v/>
          </cell>
          <cell r="T2463" t="str">
            <v/>
          </cell>
          <cell r="U2463" t="str">
            <v>BB20037210024</v>
          </cell>
          <cell r="V2463" t="str">
            <v>B00</v>
          </cell>
          <cell r="W2463" t="str">
            <v/>
          </cell>
          <cell r="X2463" t="str">
            <v/>
          </cell>
          <cell r="Y2463" t="str">
            <v/>
          </cell>
          <cell r="Z2463" t="str">
            <v/>
          </cell>
          <cell r="AA2463" t="str">
            <v/>
          </cell>
          <cell r="AB2463" t="str">
            <v>70001975</v>
          </cell>
          <cell r="AC2463">
            <v>1</v>
          </cell>
          <cell r="AD2463" t="str">
            <v/>
          </cell>
          <cell r="AE2463">
            <v>0</v>
          </cell>
          <cell r="AF2463" t="str">
            <v/>
          </cell>
          <cell r="AG2463" t="str">
            <v>70001975</v>
          </cell>
          <cell r="AH2463">
            <v>44961.012812499997</v>
          </cell>
          <cell r="AI2463" t="str">
            <v>B00</v>
          </cell>
          <cell r="AJ2463" t="str">
            <v>F</v>
          </cell>
          <cell r="AK2463" t="str">
            <v>--</v>
          </cell>
        </row>
        <row r="2464">
          <cell r="A2464" t="str">
            <v>70002042828521</v>
          </cell>
          <cell r="B2464">
            <v>0</v>
          </cell>
          <cell r="C2464" t="e">
            <v>#N/A</v>
          </cell>
          <cell r="D2464" t="str">
            <v>EK65</v>
          </cell>
          <cell r="E2464" t="str">
            <v>706905</v>
          </cell>
          <cell r="F2464" t="str">
            <v>E</v>
          </cell>
          <cell r="G2464" t="str">
            <v>70002042</v>
          </cell>
          <cell r="H2464" t="str">
            <v>PLATE</v>
          </cell>
          <cell r="I2464">
            <v>90</v>
          </cell>
          <cell r="J2464" t="str">
            <v>Stk</v>
          </cell>
          <cell r="K2464">
            <v>45118</v>
          </cell>
          <cell r="L2464" t="str">
            <v>828521</v>
          </cell>
          <cell r="M2464" t="str">
            <v/>
          </cell>
          <cell r="N2464" t="str">
            <v/>
          </cell>
          <cell r="O2464" t="str">
            <v/>
          </cell>
          <cell r="P2464" t="str">
            <v/>
          </cell>
          <cell r="Q2464" t="str">
            <v>X2CrNi18-9</v>
          </cell>
          <cell r="R2464" t="str">
            <v>EN 10088</v>
          </cell>
          <cell r="S2464" t="str">
            <v/>
          </cell>
          <cell r="T2464" t="str">
            <v/>
          </cell>
          <cell r="U2464" t="str">
            <v>BB20048810001</v>
          </cell>
          <cell r="V2464" t="str">
            <v>B00</v>
          </cell>
          <cell r="W2464" t="str">
            <v/>
          </cell>
          <cell r="X2464" t="str">
            <v/>
          </cell>
          <cell r="Y2464" t="str">
            <v/>
          </cell>
          <cell r="Z2464" t="str">
            <v/>
          </cell>
          <cell r="AA2464" t="str">
            <v/>
          </cell>
          <cell r="AB2464" t="str">
            <v>70002042</v>
          </cell>
          <cell r="AC2464">
            <v>1</v>
          </cell>
          <cell r="AD2464" t="str">
            <v/>
          </cell>
          <cell r="AE2464">
            <v>0</v>
          </cell>
          <cell r="AF2464" t="str">
            <v/>
          </cell>
          <cell r="AG2464" t="str">
            <v>70002042</v>
          </cell>
          <cell r="AH2464">
            <v>44961.013668981483</v>
          </cell>
          <cell r="AI2464" t="str">
            <v>B00</v>
          </cell>
          <cell r="AJ2464" t="str">
            <v>F</v>
          </cell>
          <cell r="AK2464" t="str">
            <v>--</v>
          </cell>
        </row>
        <row r="2465">
          <cell r="A2465" t="str">
            <v>70002467828521</v>
          </cell>
          <cell r="B2465" t="str">
            <v>VIS</v>
          </cell>
          <cell r="C2465" t="e">
            <v>#N/A</v>
          </cell>
          <cell r="D2465" t="str">
            <v>EK65</v>
          </cell>
          <cell r="E2465" t="str">
            <v>687028</v>
          </cell>
          <cell r="F2465" t="str">
            <v>E</v>
          </cell>
          <cell r="G2465" t="str">
            <v>70002467</v>
          </cell>
          <cell r="H2465" t="str">
            <v>PERFORATED TRAY</v>
          </cell>
          <cell r="I2465">
            <v>90</v>
          </cell>
          <cell r="J2465" t="str">
            <v>Stk</v>
          </cell>
          <cell r="K2465">
            <v>45643</v>
          </cell>
          <cell r="L2465" t="str">
            <v>828521</v>
          </cell>
          <cell r="M2465" t="str">
            <v/>
          </cell>
          <cell r="N2465" t="str">
            <v/>
          </cell>
          <cell r="O2465" t="str">
            <v/>
          </cell>
          <cell r="P2465" t="str">
            <v/>
          </cell>
          <cell r="Q2465" t="str">
            <v/>
          </cell>
          <cell r="R2465" t="str">
            <v/>
          </cell>
          <cell r="S2465" t="str">
            <v/>
          </cell>
          <cell r="T2465" t="str">
            <v/>
          </cell>
          <cell r="U2465" t="str">
            <v>BB20052510006</v>
          </cell>
          <cell r="V2465" t="str">
            <v>E19</v>
          </cell>
          <cell r="W2465" t="str">
            <v/>
          </cell>
          <cell r="X2465" t="str">
            <v/>
          </cell>
          <cell r="Y2465" t="str">
            <v/>
          </cell>
          <cell r="Z2465" t="str">
            <v/>
          </cell>
          <cell r="AA2465" t="str">
            <v/>
          </cell>
          <cell r="AB2465" t="str">
            <v>70002467</v>
          </cell>
          <cell r="AC2465">
            <v>1</v>
          </cell>
          <cell r="AD2465" t="str">
            <v/>
          </cell>
          <cell r="AE2465">
            <v>0</v>
          </cell>
          <cell r="AF2465" t="str">
            <v/>
          </cell>
          <cell r="AG2465" t="str">
            <v>70002467</v>
          </cell>
          <cell r="AH2465">
            <v>44916.136111111111</v>
          </cell>
          <cell r="AI2465" t="str">
            <v>E19</v>
          </cell>
          <cell r="AJ2465" t="str">
            <v>F</v>
          </cell>
          <cell r="AK2465" t="str">
            <v>--</v>
          </cell>
        </row>
        <row r="2466">
          <cell r="A2466" t="str">
            <v>0652934</v>
          </cell>
          <cell r="B2466" t="e">
            <v>#N/A</v>
          </cell>
          <cell r="C2466" t="e">
            <v>#N/A</v>
          </cell>
          <cell r="D2466" t="str">
            <v>EK65</v>
          </cell>
          <cell r="E2466" t="str">
            <v>730611</v>
          </cell>
          <cell r="F2466" t="str">
            <v>B</v>
          </cell>
          <cell r="G2466" t="str">
            <v>0652934</v>
          </cell>
          <cell r="H2466" t="str">
            <v>Beilage 2mm</v>
          </cell>
          <cell r="I2466">
            <v>15</v>
          </cell>
          <cell r="J2466" t="str">
            <v>Stk</v>
          </cell>
          <cell r="K2466">
            <v>45032</v>
          </cell>
          <cell r="L2466" t="str">
            <v/>
          </cell>
          <cell r="M2466" t="str">
            <v/>
          </cell>
          <cell r="N2466" t="str">
            <v/>
          </cell>
          <cell r="O2466" t="str">
            <v/>
          </cell>
          <cell r="P2466" t="str">
            <v/>
          </cell>
          <cell r="Q2466" t="str">
            <v/>
          </cell>
          <cell r="R2466" t="str">
            <v/>
          </cell>
          <cell r="S2466" t="str">
            <v/>
          </cell>
          <cell r="T2466" t="str">
            <v/>
          </cell>
          <cell r="U2466" t="str">
            <v/>
          </cell>
          <cell r="V2466" t="str">
            <v>N52</v>
          </cell>
          <cell r="W2466" t="str">
            <v/>
          </cell>
          <cell r="X2466" t="str">
            <v/>
          </cell>
          <cell r="Y2466" t="str">
            <v/>
          </cell>
          <cell r="Z2466" t="str">
            <v/>
          </cell>
          <cell r="AA2466" t="str">
            <v/>
          </cell>
          <cell r="AB2466" t="str">
            <v>PA_2195582-QE.7500-4</v>
          </cell>
          <cell r="AC2466">
            <v>4</v>
          </cell>
          <cell r="AD2466" t="str">
            <v/>
          </cell>
          <cell r="AE2466">
            <v>0</v>
          </cell>
          <cell r="AF2466" t="str">
            <v/>
          </cell>
          <cell r="AG2466" t="str">
            <v>0652934</v>
          </cell>
          <cell r="AH2466">
            <v>45030.834421296298</v>
          </cell>
          <cell r="AI2466" t="str">
            <v>N52</v>
          </cell>
          <cell r="AJ2466" t="str">
            <v>F</v>
          </cell>
          <cell r="AK2466" t="str">
            <v/>
          </cell>
        </row>
        <row r="2467">
          <cell r="A2467" t="str">
            <v>0655397</v>
          </cell>
          <cell r="B2467" t="e">
            <v>#N/A</v>
          </cell>
          <cell r="C2467" t="e">
            <v>#N/A</v>
          </cell>
          <cell r="D2467" t="str">
            <v>EK65</v>
          </cell>
          <cell r="E2467" t="str">
            <v>730613</v>
          </cell>
          <cell r="F2467" t="str">
            <v>B</v>
          </cell>
          <cell r="G2467" t="str">
            <v>0655397</v>
          </cell>
          <cell r="H2467" t="str">
            <v>Distanzbuchse</v>
          </cell>
          <cell r="I2467">
            <v>30</v>
          </cell>
          <cell r="J2467" t="str">
            <v>Stk</v>
          </cell>
          <cell r="K2467">
            <v>45034</v>
          </cell>
          <cell r="L2467" t="str">
            <v/>
          </cell>
          <cell r="M2467" t="str">
            <v/>
          </cell>
          <cell r="N2467" t="str">
            <v/>
          </cell>
          <cell r="O2467" t="str">
            <v/>
          </cell>
          <cell r="P2467" t="str">
            <v/>
          </cell>
          <cell r="Q2467" t="str">
            <v/>
          </cell>
          <cell r="R2467" t="str">
            <v/>
          </cell>
          <cell r="S2467" t="str">
            <v/>
          </cell>
          <cell r="T2467" t="str">
            <v/>
          </cell>
          <cell r="U2467" t="str">
            <v/>
          </cell>
          <cell r="V2467" t="str">
            <v>N52</v>
          </cell>
          <cell r="W2467" t="str">
            <v/>
          </cell>
          <cell r="X2467" t="str">
            <v/>
          </cell>
          <cell r="Y2467" t="str">
            <v/>
          </cell>
          <cell r="Z2467" t="str">
            <v/>
          </cell>
          <cell r="AA2467" t="str">
            <v/>
          </cell>
          <cell r="AB2467" t="str">
            <v>PA_2197917-QE.7500-4</v>
          </cell>
          <cell r="AC2467">
            <v>4</v>
          </cell>
          <cell r="AD2467" t="str">
            <v/>
          </cell>
          <cell r="AE2467">
            <v>0</v>
          </cell>
          <cell r="AF2467" t="str">
            <v/>
          </cell>
          <cell r="AG2467" t="str">
            <v>0655397</v>
          </cell>
          <cell r="AH2467">
            <v>45030.834432870368</v>
          </cell>
          <cell r="AI2467" t="str">
            <v>N52</v>
          </cell>
          <cell r="AJ2467" t="str">
            <v>F</v>
          </cell>
          <cell r="AK2467" t="str">
            <v/>
          </cell>
        </row>
        <row r="2468">
          <cell r="A2468" t="str">
            <v>0657495</v>
          </cell>
          <cell r="B2468" t="e">
            <v>#N/A</v>
          </cell>
          <cell r="C2468" t="e">
            <v>#N/A</v>
          </cell>
          <cell r="D2468" t="str">
            <v>EK65</v>
          </cell>
          <cell r="E2468" t="str">
            <v>730614</v>
          </cell>
          <cell r="F2468" t="str">
            <v>B</v>
          </cell>
          <cell r="G2468" t="str">
            <v>0657495</v>
          </cell>
          <cell r="H2468" t="str">
            <v>Distanzscheibe</v>
          </cell>
          <cell r="I2468">
            <v>40</v>
          </cell>
          <cell r="J2468" t="str">
            <v>Stk</v>
          </cell>
          <cell r="K2468">
            <v>45032</v>
          </cell>
          <cell r="L2468" t="str">
            <v/>
          </cell>
          <cell r="M2468" t="str">
            <v/>
          </cell>
          <cell r="N2468" t="str">
            <v/>
          </cell>
          <cell r="O2468" t="str">
            <v/>
          </cell>
          <cell r="P2468" t="str">
            <v/>
          </cell>
          <cell r="Q2468" t="str">
            <v/>
          </cell>
          <cell r="R2468" t="str">
            <v/>
          </cell>
          <cell r="S2468" t="str">
            <v/>
          </cell>
          <cell r="T2468" t="str">
            <v/>
          </cell>
          <cell r="U2468" t="str">
            <v/>
          </cell>
          <cell r="V2468" t="str">
            <v>N52</v>
          </cell>
          <cell r="W2468" t="str">
            <v/>
          </cell>
          <cell r="X2468" t="str">
            <v/>
          </cell>
          <cell r="Y2468" t="str">
            <v/>
          </cell>
          <cell r="Z2468" t="str">
            <v/>
          </cell>
          <cell r="AA2468" t="str">
            <v/>
          </cell>
          <cell r="AB2468" t="str">
            <v>PA_2193019-UA.7500-4</v>
          </cell>
          <cell r="AC2468">
            <v>4</v>
          </cell>
          <cell r="AD2468" t="str">
            <v/>
          </cell>
          <cell r="AE2468">
            <v>0</v>
          </cell>
          <cell r="AF2468" t="str">
            <v/>
          </cell>
          <cell r="AG2468" t="str">
            <v>0657495</v>
          </cell>
          <cell r="AH2468">
            <v>45030.834444444445</v>
          </cell>
          <cell r="AI2468" t="str">
            <v>N52</v>
          </cell>
          <cell r="AJ2468" t="str">
            <v>F</v>
          </cell>
          <cell r="AK2468" t="str">
            <v/>
          </cell>
        </row>
        <row r="2469">
          <cell r="A2469" t="str">
            <v>0628268831003</v>
          </cell>
          <cell r="B2469" t="e">
            <v>#N/A</v>
          </cell>
          <cell r="C2469" t="e">
            <v>#N/A</v>
          </cell>
          <cell r="D2469" t="str">
            <v>EK65</v>
          </cell>
          <cell r="E2469" t="str">
            <v>730644</v>
          </cell>
          <cell r="F2469" t="str">
            <v>E</v>
          </cell>
          <cell r="G2469" t="str">
            <v>0628268</v>
          </cell>
          <cell r="H2469" t="str">
            <v>Dehnhuelse ID17 AD45 L65</v>
          </cell>
          <cell r="I2469">
            <v>2</v>
          </cell>
          <cell r="J2469" t="str">
            <v>Stk</v>
          </cell>
          <cell r="K2469">
            <v>44998</v>
          </cell>
          <cell r="L2469" t="str">
            <v>831003</v>
          </cell>
          <cell r="M2469" t="str">
            <v/>
          </cell>
          <cell r="N2469" t="str">
            <v/>
          </cell>
          <cell r="O2469" t="str">
            <v/>
          </cell>
          <cell r="P2469" t="str">
            <v/>
          </cell>
          <cell r="Q2469" t="str">
            <v/>
          </cell>
          <cell r="R2469" t="str">
            <v/>
          </cell>
          <cell r="S2469" t="str">
            <v/>
          </cell>
          <cell r="T2469" t="str">
            <v/>
          </cell>
          <cell r="U2469" t="str">
            <v/>
          </cell>
          <cell r="V2469" t="str">
            <v>N52</v>
          </cell>
          <cell r="W2469" t="str">
            <v/>
          </cell>
          <cell r="X2469" t="str">
            <v/>
          </cell>
          <cell r="Y2469" t="str">
            <v/>
          </cell>
          <cell r="Z2469" t="str">
            <v/>
          </cell>
          <cell r="AA2469" t="str">
            <v/>
          </cell>
          <cell r="AB2469" t="str">
            <v>PA_2151994-TB.7500-4</v>
          </cell>
          <cell r="AC2469">
            <v>1</v>
          </cell>
          <cell r="AD2469" t="str">
            <v/>
          </cell>
          <cell r="AE2469">
            <v>0</v>
          </cell>
          <cell r="AF2469" t="str">
            <v/>
          </cell>
          <cell r="AG2469" t="str">
            <v>0628268</v>
          </cell>
          <cell r="AH2469">
            <v>45030.865300925929</v>
          </cell>
          <cell r="AI2469" t="str">
            <v>N52</v>
          </cell>
          <cell r="AJ2469" t="str">
            <v>F</v>
          </cell>
          <cell r="AK2469" t="str">
            <v/>
          </cell>
        </row>
        <row r="2470">
          <cell r="A2470" t="str">
            <v>12629353820541</v>
          </cell>
          <cell r="B2470" t="e">
            <v>#N/A</v>
          </cell>
          <cell r="C2470" t="e">
            <v>#N/A</v>
          </cell>
          <cell r="D2470" t="str">
            <v>EK65</v>
          </cell>
          <cell r="E2470" t="str">
            <v>730708</v>
          </cell>
          <cell r="F2470" t="str">
            <v>E</v>
          </cell>
          <cell r="G2470" t="str">
            <v>12629353</v>
          </cell>
          <cell r="H2470" t="str">
            <v>Kupferschiene</v>
          </cell>
          <cell r="I2470">
            <v>88</v>
          </cell>
          <cell r="J2470" t="str">
            <v>Stk</v>
          </cell>
          <cell r="K2470">
            <v>45169</v>
          </cell>
          <cell r="L2470" t="str">
            <v>820541</v>
          </cell>
          <cell r="M2470" t="str">
            <v/>
          </cell>
          <cell r="N2470" t="str">
            <v/>
          </cell>
          <cell r="O2470" t="str">
            <v/>
          </cell>
          <cell r="P2470" t="str">
            <v/>
          </cell>
          <cell r="Q2470" t="str">
            <v/>
          </cell>
          <cell r="R2470" t="str">
            <v/>
          </cell>
          <cell r="S2470" t="str">
            <v/>
          </cell>
          <cell r="T2470" t="str">
            <v/>
          </cell>
          <cell r="U2470" t="str">
            <v/>
          </cell>
          <cell r="V2470" t="str">
            <v>N52</v>
          </cell>
          <cell r="W2470" t="str">
            <v/>
          </cell>
          <cell r="X2470" t="str">
            <v/>
          </cell>
          <cell r="Y2470" t="str">
            <v/>
          </cell>
          <cell r="Z2470" t="str">
            <v/>
          </cell>
          <cell r="AA2470" t="str">
            <v/>
          </cell>
          <cell r="AB2470" t="str">
            <v>PA_5066554-TB.3048-3</v>
          </cell>
          <cell r="AC2470">
            <v>1</v>
          </cell>
          <cell r="AD2470" t="str">
            <v/>
          </cell>
          <cell r="AE2470">
            <v>0</v>
          </cell>
          <cell r="AF2470" t="str">
            <v/>
          </cell>
          <cell r="AG2470" t="str">
            <v>12629353</v>
          </cell>
          <cell r="AH2470">
            <v>45030.878298611111</v>
          </cell>
          <cell r="AI2470" t="str">
            <v>N52</v>
          </cell>
          <cell r="AJ2470" t="str">
            <v>F</v>
          </cell>
          <cell r="AK2470" t="str">
            <v/>
          </cell>
        </row>
        <row r="2471">
          <cell r="A2471" t="str">
            <v>12629360820541</v>
          </cell>
          <cell r="B2471" t="e">
            <v>#N/A</v>
          </cell>
          <cell r="C2471" t="e">
            <v>#N/A</v>
          </cell>
          <cell r="D2471" t="str">
            <v>EK65</v>
          </cell>
          <cell r="E2471" t="str">
            <v>730709</v>
          </cell>
          <cell r="F2471" t="str">
            <v>E</v>
          </cell>
          <cell r="G2471" t="str">
            <v>12629360</v>
          </cell>
          <cell r="H2471" t="str">
            <v>Kupferschiene 2</v>
          </cell>
          <cell r="I2471">
            <v>88</v>
          </cell>
          <cell r="J2471" t="str">
            <v>Stk</v>
          </cell>
          <cell r="K2471">
            <v>45169</v>
          </cell>
          <cell r="L2471" t="str">
            <v>820541</v>
          </cell>
          <cell r="M2471" t="str">
            <v/>
          </cell>
          <cell r="N2471" t="str">
            <v/>
          </cell>
          <cell r="O2471" t="str">
            <v/>
          </cell>
          <cell r="P2471" t="str">
            <v/>
          </cell>
          <cell r="Q2471" t="str">
            <v/>
          </cell>
          <cell r="R2471" t="str">
            <v/>
          </cell>
          <cell r="S2471" t="str">
            <v/>
          </cell>
          <cell r="T2471" t="str">
            <v/>
          </cell>
          <cell r="U2471" t="str">
            <v/>
          </cell>
          <cell r="V2471" t="str">
            <v>N52</v>
          </cell>
          <cell r="W2471" t="str">
            <v/>
          </cell>
          <cell r="X2471" t="str">
            <v/>
          </cell>
          <cell r="Y2471" t="str">
            <v/>
          </cell>
          <cell r="Z2471" t="str">
            <v/>
          </cell>
          <cell r="AA2471" t="str">
            <v/>
          </cell>
          <cell r="AB2471" t="str">
            <v>PA_5071216-TB.3048-3</v>
          </cell>
          <cell r="AC2471">
            <v>1</v>
          </cell>
          <cell r="AD2471" t="str">
            <v/>
          </cell>
          <cell r="AE2471">
            <v>0</v>
          </cell>
          <cell r="AF2471" t="str">
            <v/>
          </cell>
          <cell r="AG2471" t="str">
            <v>12629360</v>
          </cell>
          <cell r="AH2471">
            <v>45030.878298611111</v>
          </cell>
          <cell r="AI2471" t="str">
            <v>N52</v>
          </cell>
          <cell r="AJ2471" t="str">
            <v>F</v>
          </cell>
          <cell r="AK2471" t="str">
            <v/>
          </cell>
        </row>
        <row r="2472">
          <cell r="A2472" t="str">
            <v>12663761820541</v>
          </cell>
          <cell r="B2472" t="e">
            <v>#N/A</v>
          </cell>
          <cell r="C2472" t="e">
            <v>#N/A</v>
          </cell>
          <cell r="D2472" t="str">
            <v>EK65</v>
          </cell>
          <cell r="E2472" t="str">
            <v>730711</v>
          </cell>
          <cell r="F2472" t="str">
            <v>E</v>
          </cell>
          <cell r="G2472" t="str">
            <v>12663761</v>
          </cell>
          <cell r="H2472" t="str">
            <v>Hinterlage</v>
          </cell>
          <cell r="I2472">
            <v>44</v>
          </cell>
          <cell r="J2472" t="str">
            <v>Stk</v>
          </cell>
          <cell r="K2472">
            <v>45169</v>
          </cell>
          <cell r="L2472" t="str">
            <v>820541</v>
          </cell>
          <cell r="M2472" t="str">
            <v/>
          </cell>
          <cell r="N2472" t="str">
            <v/>
          </cell>
          <cell r="O2472" t="str">
            <v/>
          </cell>
          <cell r="P2472" t="str">
            <v/>
          </cell>
          <cell r="Q2472" t="str">
            <v/>
          </cell>
          <cell r="R2472" t="str">
            <v/>
          </cell>
          <cell r="S2472" t="str">
            <v/>
          </cell>
          <cell r="T2472" t="str">
            <v/>
          </cell>
          <cell r="U2472" t="str">
            <v/>
          </cell>
          <cell r="V2472" t="str">
            <v>N52</v>
          </cell>
          <cell r="W2472" t="str">
            <v/>
          </cell>
          <cell r="X2472" t="str">
            <v/>
          </cell>
          <cell r="Y2472" t="str">
            <v/>
          </cell>
          <cell r="Z2472" t="str">
            <v/>
          </cell>
          <cell r="AA2472" t="str">
            <v/>
          </cell>
          <cell r="AB2472" t="str">
            <v>PA_5131166-TB.3048-4</v>
          </cell>
          <cell r="AC2472">
            <v>1</v>
          </cell>
          <cell r="AD2472" t="str">
            <v/>
          </cell>
          <cell r="AE2472">
            <v>0</v>
          </cell>
          <cell r="AF2472" t="str">
            <v/>
          </cell>
          <cell r="AG2472" t="str">
            <v>12663761</v>
          </cell>
          <cell r="AH2472">
            <v>45030.878738425927</v>
          </cell>
          <cell r="AI2472" t="str">
            <v>N52</v>
          </cell>
          <cell r="AJ2472" t="str">
            <v>F</v>
          </cell>
          <cell r="AK2472" t="str">
            <v/>
          </cell>
        </row>
        <row r="2473">
          <cell r="A2473" t="str">
            <v>1900294827175</v>
          </cell>
          <cell r="B2473" t="e">
            <v>#N/A</v>
          </cell>
          <cell r="C2473" t="e">
            <v>#N/A</v>
          </cell>
          <cell r="D2473" t="str">
            <v>EK65</v>
          </cell>
          <cell r="E2473" t="str">
            <v>731871</v>
          </cell>
          <cell r="F2473" t="str">
            <v>E</v>
          </cell>
          <cell r="G2473" t="str">
            <v>1900294</v>
          </cell>
          <cell r="H2473" t="str">
            <v>BEILAGE</v>
          </cell>
          <cell r="I2473">
            <v>15</v>
          </cell>
          <cell r="J2473" t="str">
            <v>Stk</v>
          </cell>
          <cell r="K2473">
            <v>45110</v>
          </cell>
          <cell r="L2473" t="str">
            <v>827175</v>
          </cell>
          <cell r="M2473" t="str">
            <v/>
          </cell>
          <cell r="N2473" t="str">
            <v/>
          </cell>
          <cell r="O2473" t="str">
            <v/>
          </cell>
          <cell r="P2473" t="str">
            <v/>
          </cell>
          <cell r="Q2473" t="str">
            <v>EN    485-2</v>
          </cell>
          <cell r="R2473" t="str">
            <v>EN AW-5754 H111</v>
          </cell>
          <cell r="S2473" t="str">
            <v/>
          </cell>
          <cell r="T2473" t="str">
            <v/>
          </cell>
          <cell r="U2473" t="str">
            <v>BL2X50X104</v>
          </cell>
          <cell r="V2473" t="str">
            <v>N52</v>
          </cell>
          <cell r="W2473" t="str">
            <v/>
          </cell>
          <cell r="X2473" t="str">
            <v/>
          </cell>
          <cell r="Y2473" t="str">
            <v/>
          </cell>
          <cell r="Z2473" t="str">
            <v/>
          </cell>
          <cell r="AA2473" t="str">
            <v/>
          </cell>
          <cell r="AB2473" t="str">
            <v/>
          </cell>
          <cell r="AC2473">
            <v>1</v>
          </cell>
          <cell r="AD2473" t="str">
            <v/>
          </cell>
          <cell r="AE2473">
            <v>0</v>
          </cell>
          <cell r="AF2473" t="str">
            <v/>
          </cell>
          <cell r="AG2473" t="str">
            <v>1900294</v>
          </cell>
          <cell r="AH2473">
            <v>45030.90996527778</v>
          </cell>
          <cell r="AI2473" t="str">
            <v>N52</v>
          </cell>
          <cell r="AJ2473" t="str">
            <v/>
          </cell>
          <cell r="AK2473" t="str">
            <v/>
          </cell>
        </row>
        <row r="2474">
          <cell r="A2474" t="str">
            <v>12502469829052</v>
          </cell>
          <cell r="B2474" t="e">
            <v>#N/A</v>
          </cell>
          <cell r="C2474">
            <v>16</v>
          </cell>
          <cell r="D2474" t="str">
            <v>EK65</v>
          </cell>
          <cell r="E2474" t="str">
            <v>732025</v>
          </cell>
          <cell r="F2474" t="str">
            <v>E</v>
          </cell>
          <cell r="G2474" t="str">
            <v>12502469</v>
          </cell>
          <cell r="H2474" t="str">
            <v>Dehnhuelse</v>
          </cell>
          <cell r="I2474">
            <v>1272</v>
          </cell>
          <cell r="J2474" t="str">
            <v>Stk</v>
          </cell>
          <cell r="K2474">
            <v>45350</v>
          </cell>
          <cell r="L2474" t="str">
            <v>829052</v>
          </cell>
          <cell r="M2474" t="str">
            <v/>
          </cell>
          <cell r="N2474" t="str">
            <v/>
          </cell>
          <cell r="O2474" t="str">
            <v/>
          </cell>
          <cell r="P2474" t="str">
            <v/>
          </cell>
          <cell r="Q2474" t="str">
            <v/>
          </cell>
          <cell r="R2474" t="str">
            <v/>
          </cell>
          <cell r="S2474" t="str">
            <v/>
          </cell>
          <cell r="T2474" t="str">
            <v/>
          </cell>
          <cell r="U2474" t="str">
            <v/>
          </cell>
          <cell r="V2474" t="str">
            <v>N52</v>
          </cell>
          <cell r="W2474" t="str">
            <v/>
          </cell>
          <cell r="X2474" t="str">
            <v/>
          </cell>
          <cell r="Y2474" t="str">
            <v/>
          </cell>
          <cell r="Z2474" t="str">
            <v/>
          </cell>
          <cell r="AA2474" t="str">
            <v/>
          </cell>
          <cell r="AB2474" t="str">
            <v>PA_4358347-DB.7005-4</v>
          </cell>
          <cell r="AC2474">
            <v>1</v>
          </cell>
          <cell r="AD2474" t="str">
            <v/>
          </cell>
          <cell r="AE2474">
            <v>0</v>
          </cell>
          <cell r="AF2474" t="str">
            <v/>
          </cell>
          <cell r="AG2474" t="str">
            <v>12502469</v>
          </cell>
          <cell r="AH2474">
            <v>45033.600902777776</v>
          </cell>
          <cell r="AI2474" t="str">
            <v>N52</v>
          </cell>
          <cell r="AJ2474" t="str">
            <v>F</v>
          </cell>
          <cell r="AK2474" t="str">
            <v/>
          </cell>
        </row>
        <row r="2475">
          <cell r="A2475" t="str">
            <v>0418116</v>
          </cell>
          <cell r="B2475" t="e">
            <v>#N/A</v>
          </cell>
          <cell r="C2475" t="e">
            <v>#N/A</v>
          </cell>
          <cell r="D2475" t="str">
            <v>EK65</v>
          </cell>
          <cell r="E2475" t="str">
            <v>732036</v>
          </cell>
          <cell r="F2475" t="str">
            <v>B</v>
          </cell>
          <cell r="G2475" t="str">
            <v>0418116</v>
          </cell>
          <cell r="H2475" t="str">
            <v>Ausgleichsplatte</v>
          </cell>
          <cell r="I2475">
            <v>10</v>
          </cell>
          <cell r="J2475" t="str">
            <v>Stk</v>
          </cell>
          <cell r="K2475">
            <v>45035</v>
          </cell>
          <cell r="L2475" t="str">
            <v/>
          </cell>
          <cell r="M2475" t="str">
            <v/>
          </cell>
          <cell r="N2475" t="str">
            <v/>
          </cell>
          <cell r="O2475" t="str">
            <v/>
          </cell>
          <cell r="P2475" t="str">
            <v/>
          </cell>
          <cell r="Q2475" t="str">
            <v/>
          </cell>
          <cell r="R2475" t="str">
            <v/>
          </cell>
          <cell r="S2475" t="str">
            <v/>
          </cell>
          <cell r="T2475" t="str">
            <v/>
          </cell>
          <cell r="U2475" t="str">
            <v/>
          </cell>
          <cell r="V2475" t="str">
            <v>N32</v>
          </cell>
          <cell r="W2475" t="str">
            <v/>
          </cell>
          <cell r="X2475" t="str">
            <v/>
          </cell>
          <cell r="Y2475" t="str">
            <v/>
          </cell>
          <cell r="Z2475" t="str">
            <v/>
          </cell>
          <cell r="AA2475" t="str">
            <v/>
          </cell>
          <cell r="AB2475" t="str">
            <v>PA_2186430-BG.7500-3P.4</v>
          </cell>
          <cell r="AC2475">
            <v>4</v>
          </cell>
          <cell r="AD2475" t="str">
            <v/>
          </cell>
          <cell r="AE2475">
            <v>0</v>
          </cell>
          <cell r="AF2475" t="str">
            <v/>
          </cell>
          <cell r="AG2475" t="str">
            <v>0418116</v>
          </cell>
          <cell r="AH2475">
            <v>45033.834027777775</v>
          </cell>
          <cell r="AI2475" t="str">
            <v>N32</v>
          </cell>
          <cell r="AJ2475" t="str">
            <v>F</v>
          </cell>
          <cell r="AK2475" t="str">
            <v>B</v>
          </cell>
        </row>
        <row r="2476">
          <cell r="A2476" t="str">
            <v>0418138</v>
          </cell>
          <cell r="B2476" t="str">
            <v>BL20230412-1</v>
          </cell>
          <cell r="C2476" t="e">
            <v>#N/A</v>
          </cell>
          <cell r="D2476" t="str">
            <v>EK65</v>
          </cell>
          <cell r="E2476" t="str">
            <v>732037</v>
          </cell>
          <cell r="F2476" t="str">
            <v>B</v>
          </cell>
          <cell r="G2476" t="str">
            <v>0418138</v>
          </cell>
          <cell r="H2476" t="str">
            <v>Ausgleichsplatte</v>
          </cell>
          <cell r="I2476">
            <v>15</v>
          </cell>
          <cell r="J2476" t="str">
            <v>Stk</v>
          </cell>
          <cell r="K2476">
            <v>45035</v>
          </cell>
          <cell r="L2476" t="str">
            <v/>
          </cell>
          <cell r="M2476" t="str">
            <v/>
          </cell>
          <cell r="N2476" t="str">
            <v/>
          </cell>
          <cell r="O2476" t="str">
            <v/>
          </cell>
          <cell r="P2476" t="str">
            <v/>
          </cell>
          <cell r="Q2476" t="str">
            <v/>
          </cell>
          <cell r="R2476" t="str">
            <v/>
          </cell>
          <cell r="S2476" t="str">
            <v/>
          </cell>
          <cell r="T2476" t="str">
            <v/>
          </cell>
          <cell r="U2476" t="str">
            <v/>
          </cell>
          <cell r="V2476" t="str">
            <v>N32</v>
          </cell>
          <cell r="W2476" t="str">
            <v/>
          </cell>
          <cell r="X2476" t="str">
            <v/>
          </cell>
          <cell r="Y2476" t="str">
            <v/>
          </cell>
          <cell r="Z2476" t="str">
            <v/>
          </cell>
          <cell r="AA2476" t="str">
            <v/>
          </cell>
          <cell r="AB2476" t="str">
            <v>PA_2186430-BG.7500-3P.5</v>
          </cell>
          <cell r="AC2476">
            <v>4</v>
          </cell>
          <cell r="AD2476" t="str">
            <v/>
          </cell>
          <cell r="AE2476">
            <v>0</v>
          </cell>
          <cell r="AF2476" t="str">
            <v/>
          </cell>
          <cell r="AG2476" t="str">
            <v>0418138</v>
          </cell>
          <cell r="AH2476">
            <v>45033.834027777775</v>
          </cell>
          <cell r="AI2476" t="str">
            <v>N32</v>
          </cell>
          <cell r="AJ2476" t="str">
            <v>F</v>
          </cell>
          <cell r="AK2476" t="str">
            <v>B</v>
          </cell>
        </row>
        <row r="2477">
          <cell r="A2477" t="str">
            <v>1029557</v>
          </cell>
          <cell r="B2477" t="e">
            <v>#N/A</v>
          </cell>
          <cell r="C2477" t="e">
            <v>#N/A</v>
          </cell>
          <cell r="D2477" t="str">
            <v>EK65</v>
          </cell>
          <cell r="E2477" t="str">
            <v>732038</v>
          </cell>
          <cell r="F2477" t="str">
            <v>B</v>
          </cell>
          <cell r="G2477" t="str">
            <v>1029557</v>
          </cell>
          <cell r="H2477" t="str">
            <v>Halter</v>
          </cell>
          <cell r="I2477">
            <v>31</v>
          </cell>
          <cell r="J2477" t="str">
            <v>Stk</v>
          </cell>
          <cell r="K2477">
            <v>45035</v>
          </cell>
          <cell r="L2477" t="str">
            <v/>
          </cell>
          <cell r="M2477" t="str">
            <v/>
          </cell>
          <cell r="N2477" t="str">
            <v/>
          </cell>
          <cell r="O2477" t="str">
            <v/>
          </cell>
          <cell r="P2477" t="str">
            <v/>
          </cell>
          <cell r="Q2477" t="str">
            <v/>
          </cell>
          <cell r="R2477" t="str">
            <v/>
          </cell>
          <cell r="S2477" t="str">
            <v/>
          </cell>
          <cell r="T2477" t="str">
            <v/>
          </cell>
          <cell r="U2477" t="str">
            <v/>
          </cell>
          <cell r="V2477" t="str">
            <v>N52</v>
          </cell>
          <cell r="W2477" t="str">
            <v/>
          </cell>
          <cell r="X2477" t="str">
            <v/>
          </cell>
          <cell r="Y2477" t="str">
            <v/>
          </cell>
          <cell r="Z2477" t="str">
            <v/>
          </cell>
          <cell r="AA2477" t="str">
            <v/>
          </cell>
          <cell r="AB2477" t="str">
            <v>PA_2241330-TA.7501-2</v>
          </cell>
          <cell r="AC2477">
            <v>4</v>
          </cell>
          <cell r="AD2477" t="str">
            <v/>
          </cell>
          <cell r="AE2477">
            <v>0</v>
          </cell>
          <cell r="AF2477" t="str">
            <v/>
          </cell>
          <cell r="AG2477" t="str">
            <v>1029557</v>
          </cell>
          <cell r="AH2477">
            <v>45033.834837962961</v>
          </cell>
          <cell r="AI2477" t="str">
            <v>N52</v>
          </cell>
          <cell r="AJ2477" t="str">
            <v>F</v>
          </cell>
          <cell r="AK2477" t="str">
            <v/>
          </cell>
        </row>
        <row r="2478">
          <cell r="A2478" t="str">
            <v>1207008820531</v>
          </cell>
          <cell r="B2478" t="e">
            <v>#N/A</v>
          </cell>
          <cell r="C2478" t="e">
            <v>#N/A</v>
          </cell>
          <cell r="D2478" t="str">
            <v>EK65</v>
          </cell>
          <cell r="E2478" t="str">
            <v>732333</v>
          </cell>
          <cell r="F2478" t="str">
            <v>E</v>
          </cell>
          <cell r="G2478" t="str">
            <v>1207008</v>
          </cell>
          <cell r="H2478" t="str">
            <v>Klemmkasten rechts</v>
          </cell>
          <cell r="I2478">
            <v>1</v>
          </cell>
          <cell r="J2478" t="str">
            <v>Stk</v>
          </cell>
          <cell r="K2478">
            <v>45181</v>
          </cell>
          <cell r="L2478" t="str">
            <v>820531</v>
          </cell>
          <cell r="M2478" t="str">
            <v/>
          </cell>
          <cell r="N2478" t="str">
            <v/>
          </cell>
          <cell r="O2478" t="str">
            <v/>
          </cell>
          <cell r="P2478" t="str">
            <v/>
          </cell>
          <cell r="Q2478" t="str">
            <v/>
          </cell>
          <cell r="R2478" t="str">
            <v/>
          </cell>
          <cell r="S2478" t="str">
            <v/>
          </cell>
          <cell r="T2478" t="str">
            <v/>
          </cell>
          <cell r="U2478" t="str">
            <v/>
          </cell>
          <cell r="V2478" t="str">
            <v>I24</v>
          </cell>
          <cell r="W2478" t="str">
            <v/>
          </cell>
          <cell r="X2478" t="str">
            <v/>
          </cell>
          <cell r="Y2478" t="str">
            <v/>
          </cell>
          <cell r="Z2478" t="str">
            <v/>
          </cell>
          <cell r="AA2478" t="str">
            <v/>
          </cell>
          <cell r="AB2478" t="str">
            <v>PA_2301059-NB.3046-3</v>
          </cell>
          <cell r="AC2478">
            <v>1</v>
          </cell>
          <cell r="AD2478" t="str">
            <v/>
          </cell>
          <cell r="AE2478">
            <v>0</v>
          </cell>
          <cell r="AF2478" t="str">
            <v/>
          </cell>
          <cell r="AG2478" t="str">
            <v>1207008</v>
          </cell>
          <cell r="AH2478">
            <v>45033.903263888889</v>
          </cell>
          <cell r="AI2478" t="str">
            <v>I24</v>
          </cell>
          <cell r="AJ2478" t="str">
            <v>F</v>
          </cell>
          <cell r="AK2478" t="str">
            <v/>
          </cell>
        </row>
        <row r="2479">
          <cell r="A2479" t="str">
            <v>12674406829053</v>
          </cell>
          <cell r="B2479" t="e">
            <v>#N/A</v>
          </cell>
          <cell r="C2479" t="e">
            <v>#N/A</v>
          </cell>
          <cell r="D2479" t="str">
            <v>EK65</v>
          </cell>
          <cell r="E2479" t="str">
            <v>732340</v>
          </cell>
          <cell r="F2479" t="str">
            <v>E</v>
          </cell>
          <cell r="G2479" t="str">
            <v>12674406</v>
          </cell>
          <cell r="H2479" t="str">
            <v>Tuelle</v>
          </cell>
          <cell r="I2479">
            <v>106</v>
          </cell>
          <cell r="J2479" t="str">
            <v>Stk</v>
          </cell>
          <cell r="K2479">
            <v>44599</v>
          </cell>
          <cell r="L2479" t="str">
            <v>829053</v>
          </cell>
          <cell r="M2479" t="str">
            <v/>
          </cell>
          <cell r="N2479" t="str">
            <v/>
          </cell>
          <cell r="O2479" t="str">
            <v/>
          </cell>
          <cell r="P2479" t="str">
            <v/>
          </cell>
          <cell r="Q2479" t="str">
            <v/>
          </cell>
          <cell r="R2479" t="str">
            <v/>
          </cell>
          <cell r="S2479" t="str">
            <v/>
          </cell>
          <cell r="T2479" t="str">
            <v/>
          </cell>
          <cell r="U2479" t="str">
            <v/>
          </cell>
          <cell r="V2479" t="str">
            <v>N52</v>
          </cell>
          <cell r="W2479" t="str">
            <v/>
          </cell>
          <cell r="X2479" t="str">
            <v/>
          </cell>
          <cell r="Y2479" t="str">
            <v/>
          </cell>
          <cell r="Z2479" t="str">
            <v/>
          </cell>
          <cell r="AA2479" t="str">
            <v/>
          </cell>
          <cell r="AB2479" t="str">
            <v>PA_5269656-JG.7005-4</v>
          </cell>
          <cell r="AC2479">
            <v>1</v>
          </cell>
          <cell r="AD2479" t="str">
            <v/>
          </cell>
          <cell r="AE2479">
            <v>0</v>
          </cell>
          <cell r="AF2479" t="str">
            <v/>
          </cell>
          <cell r="AG2479" t="str">
            <v>12674406</v>
          </cell>
          <cell r="AH2479">
            <v>45033.907129629632</v>
          </cell>
          <cell r="AI2479" t="str">
            <v>N52</v>
          </cell>
          <cell r="AJ2479" t="str">
            <v>F</v>
          </cell>
          <cell r="AK2479" t="str">
            <v/>
          </cell>
        </row>
        <row r="2480">
          <cell r="A2480" t="str">
            <v>12674406829051</v>
          </cell>
          <cell r="B2480" t="e">
            <v>#N/A</v>
          </cell>
          <cell r="C2480" t="e">
            <v>#N/A</v>
          </cell>
          <cell r="D2480" t="str">
            <v>EK65</v>
          </cell>
          <cell r="E2480" t="str">
            <v>732341</v>
          </cell>
          <cell r="F2480" t="str">
            <v>E</v>
          </cell>
          <cell r="G2480" t="str">
            <v>12674406</v>
          </cell>
          <cell r="H2480" t="str">
            <v>Tuelle</v>
          </cell>
          <cell r="I2480">
            <v>85</v>
          </cell>
          <cell r="J2480" t="str">
            <v>Stk</v>
          </cell>
          <cell r="K2480">
            <v>44706</v>
          </cell>
          <cell r="L2480" t="str">
            <v>829051</v>
          </cell>
          <cell r="M2480" t="str">
            <v/>
          </cell>
          <cell r="N2480" t="str">
            <v/>
          </cell>
          <cell r="O2480" t="str">
            <v/>
          </cell>
          <cell r="P2480" t="str">
            <v/>
          </cell>
          <cell r="Q2480" t="str">
            <v/>
          </cell>
          <cell r="R2480" t="str">
            <v/>
          </cell>
          <cell r="S2480" t="str">
            <v/>
          </cell>
          <cell r="T2480" t="str">
            <v/>
          </cell>
          <cell r="U2480" t="str">
            <v/>
          </cell>
          <cell r="V2480" t="str">
            <v>N52</v>
          </cell>
          <cell r="W2480" t="str">
            <v/>
          </cell>
          <cell r="X2480" t="str">
            <v/>
          </cell>
          <cell r="Y2480" t="str">
            <v/>
          </cell>
          <cell r="Z2480" t="str">
            <v/>
          </cell>
          <cell r="AA2480" t="str">
            <v/>
          </cell>
          <cell r="AB2480" t="str">
            <v>PA_5269656-JG.7005-4</v>
          </cell>
          <cell r="AC2480">
            <v>1</v>
          </cell>
          <cell r="AD2480" t="str">
            <v/>
          </cell>
          <cell r="AE2480">
            <v>0</v>
          </cell>
          <cell r="AF2480" t="str">
            <v/>
          </cell>
          <cell r="AG2480" t="str">
            <v>12674406</v>
          </cell>
          <cell r="AH2480">
            <v>45033.907129629632</v>
          </cell>
          <cell r="AI2480" t="str">
            <v>N52</v>
          </cell>
          <cell r="AJ2480" t="str">
            <v>F</v>
          </cell>
          <cell r="AK2480" t="str">
            <v/>
          </cell>
        </row>
        <row r="2481">
          <cell r="A2481" t="str">
            <v>0663847</v>
          </cell>
          <cell r="B2481" t="e">
            <v>#N/A</v>
          </cell>
          <cell r="C2481" t="e">
            <v>#N/A</v>
          </cell>
          <cell r="D2481" t="str">
            <v>EK65</v>
          </cell>
          <cell r="E2481" t="str">
            <v>732451</v>
          </cell>
          <cell r="F2481" t="str">
            <v>B</v>
          </cell>
          <cell r="G2481" t="str">
            <v>0663847</v>
          </cell>
          <cell r="H2481" t="str">
            <v>Einsetzstueck</v>
          </cell>
          <cell r="I2481">
            <v>50</v>
          </cell>
          <cell r="J2481" t="str">
            <v>Stk</v>
          </cell>
          <cell r="K2481">
            <v>45036</v>
          </cell>
          <cell r="L2481" t="str">
            <v/>
          </cell>
          <cell r="M2481" t="str">
            <v/>
          </cell>
          <cell r="N2481" t="str">
            <v/>
          </cell>
          <cell r="O2481" t="str">
            <v/>
          </cell>
          <cell r="P2481" t="str">
            <v/>
          </cell>
          <cell r="Q2481" t="str">
            <v/>
          </cell>
          <cell r="R2481" t="str">
            <v/>
          </cell>
          <cell r="S2481" t="str">
            <v/>
          </cell>
          <cell r="T2481" t="str">
            <v/>
          </cell>
          <cell r="U2481" t="str">
            <v/>
          </cell>
          <cell r="V2481" t="str">
            <v>N52</v>
          </cell>
          <cell r="W2481" t="str">
            <v/>
          </cell>
          <cell r="X2481" t="str">
            <v/>
          </cell>
          <cell r="Y2481" t="str">
            <v/>
          </cell>
          <cell r="Z2481" t="str">
            <v/>
          </cell>
          <cell r="AA2481" t="str">
            <v/>
          </cell>
          <cell r="AB2481" t="str">
            <v>PA_2200516-TA.7500-4</v>
          </cell>
          <cell r="AC2481">
            <v>4</v>
          </cell>
          <cell r="AD2481" t="str">
            <v/>
          </cell>
          <cell r="AE2481">
            <v>0</v>
          </cell>
          <cell r="AF2481" t="str">
            <v/>
          </cell>
          <cell r="AG2481" t="str">
            <v>0663847</v>
          </cell>
          <cell r="AH2481">
            <v>45034.834444444445</v>
          </cell>
          <cell r="AI2481" t="str">
            <v>N52</v>
          </cell>
          <cell r="AJ2481" t="str">
            <v>F</v>
          </cell>
          <cell r="AK2481" t="str">
            <v>A</v>
          </cell>
        </row>
        <row r="2482">
          <cell r="A2482" t="str">
            <v>1077170820541</v>
          </cell>
          <cell r="B2482" t="e">
            <v>#N/A</v>
          </cell>
          <cell r="C2482" t="e">
            <v>#N/A</v>
          </cell>
          <cell r="D2482" t="str">
            <v>EK65</v>
          </cell>
          <cell r="E2482" t="str">
            <v>732500</v>
          </cell>
          <cell r="F2482" t="str">
            <v>E</v>
          </cell>
          <cell r="G2482" t="str">
            <v>1077170</v>
          </cell>
          <cell r="H2482" t="str">
            <v>Halter</v>
          </cell>
          <cell r="I2482">
            <v>10</v>
          </cell>
          <cell r="J2482" t="str">
            <v>Stk</v>
          </cell>
          <cell r="K2482">
            <v>45166</v>
          </cell>
          <cell r="L2482" t="str">
            <v>820541</v>
          </cell>
          <cell r="M2482" t="str">
            <v/>
          </cell>
          <cell r="N2482" t="str">
            <v/>
          </cell>
          <cell r="O2482" t="str">
            <v/>
          </cell>
          <cell r="P2482" t="str">
            <v/>
          </cell>
          <cell r="Q2482" t="str">
            <v/>
          </cell>
          <cell r="R2482" t="str">
            <v/>
          </cell>
          <cell r="S2482" t="str">
            <v/>
          </cell>
          <cell r="T2482" t="str">
            <v/>
          </cell>
          <cell r="U2482" t="str">
            <v/>
          </cell>
          <cell r="V2482" t="str">
            <v>N52</v>
          </cell>
          <cell r="W2482" t="str">
            <v/>
          </cell>
          <cell r="X2482" t="str">
            <v/>
          </cell>
          <cell r="Y2482" t="str">
            <v/>
          </cell>
          <cell r="Z2482" t="str">
            <v/>
          </cell>
          <cell r="AA2482" t="str">
            <v/>
          </cell>
          <cell r="AB2482" t="str">
            <v>PA_2262629-CD.3044-3</v>
          </cell>
          <cell r="AC2482">
            <v>1</v>
          </cell>
          <cell r="AD2482" t="str">
            <v/>
          </cell>
          <cell r="AE2482">
            <v>0</v>
          </cell>
          <cell r="AF2482" t="str">
            <v/>
          </cell>
          <cell r="AG2482" t="str">
            <v>1077170</v>
          </cell>
          <cell r="AH2482">
            <v>45034.864664351851</v>
          </cell>
          <cell r="AI2482" t="str">
            <v>N52</v>
          </cell>
          <cell r="AJ2482" t="str">
            <v>F</v>
          </cell>
          <cell r="AK2482" t="str">
            <v/>
          </cell>
        </row>
        <row r="2483">
          <cell r="A2483" t="str">
            <v>1077181820541</v>
          </cell>
          <cell r="B2483" t="e">
            <v>#N/A</v>
          </cell>
          <cell r="C2483" t="e">
            <v>#N/A</v>
          </cell>
          <cell r="D2483" t="str">
            <v>EK65</v>
          </cell>
          <cell r="E2483" t="str">
            <v>732501</v>
          </cell>
          <cell r="F2483" t="str">
            <v>E</v>
          </cell>
          <cell r="G2483" t="str">
            <v>1077181</v>
          </cell>
          <cell r="H2483" t="str">
            <v>Niethalter</v>
          </cell>
          <cell r="I2483">
            <v>40</v>
          </cell>
          <cell r="J2483" t="str">
            <v>Stk</v>
          </cell>
          <cell r="K2483">
            <v>45166</v>
          </cell>
          <cell r="L2483" t="str">
            <v>820541</v>
          </cell>
          <cell r="M2483" t="str">
            <v/>
          </cell>
          <cell r="N2483" t="str">
            <v/>
          </cell>
          <cell r="O2483" t="str">
            <v/>
          </cell>
          <cell r="P2483" t="str">
            <v/>
          </cell>
          <cell r="Q2483" t="str">
            <v/>
          </cell>
          <cell r="R2483" t="str">
            <v/>
          </cell>
          <cell r="S2483" t="str">
            <v/>
          </cell>
          <cell r="T2483" t="str">
            <v/>
          </cell>
          <cell r="U2483" t="str">
            <v/>
          </cell>
          <cell r="V2483" t="str">
            <v>N52</v>
          </cell>
          <cell r="W2483" t="str">
            <v/>
          </cell>
          <cell r="X2483" t="str">
            <v/>
          </cell>
          <cell r="Y2483" t="str">
            <v/>
          </cell>
          <cell r="Z2483" t="str">
            <v/>
          </cell>
          <cell r="AA2483" t="str">
            <v/>
          </cell>
          <cell r="AB2483" t="str">
            <v>PA_2252046-UB.3044-3</v>
          </cell>
          <cell r="AC2483">
            <v>1</v>
          </cell>
          <cell r="AD2483" t="str">
            <v/>
          </cell>
          <cell r="AE2483">
            <v>0</v>
          </cell>
          <cell r="AF2483" t="str">
            <v/>
          </cell>
          <cell r="AG2483" t="str">
            <v>1077181</v>
          </cell>
          <cell r="AH2483">
            <v>45034.864664351851</v>
          </cell>
          <cell r="AI2483" t="str">
            <v>N52</v>
          </cell>
          <cell r="AJ2483" t="str">
            <v>F</v>
          </cell>
          <cell r="AK2483" t="str">
            <v/>
          </cell>
        </row>
        <row r="2484">
          <cell r="A2484" t="str">
            <v>12497179</v>
          </cell>
          <cell r="B2484" t="e">
            <v>#N/A</v>
          </cell>
          <cell r="C2484" t="e">
            <v>#N/A</v>
          </cell>
          <cell r="D2484" t="str">
            <v>EK65</v>
          </cell>
          <cell r="E2484" t="str">
            <v>732512</v>
          </cell>
          <cell r="F2484" t="str">
            <v>B</v>
          </cell>
          <cell r="G2484" t="str">
            <v>12497179</v>
          </cell>
          <cell r="H2484" t="str">
            <v>Scheibe</v>
          </cell>
          <cell r="I2484">
            <v>100</v>
          </cell>
          <cell r="J2484" t="str">
            <v>Stk</v>
          </cell>
          <cell r="K2484">
            <v>45035</v>
          </cell>
          <cell r="L2484" t="str">
            <v/>
          </cell>
          <cell r="M2484" t="str">
            <v/>
          </cell>
          <cell r="N2484" t="str">
            <v/>
          </cell>
          <cell r="O2484" t="str">
            <v/>
          </cell>
          <cell r="P2484" t="str">
            <v/>
          </cell>
          <cell r="Q2484" t="str">
            <v/>
          </cell>
          <cell r="R2484" t="str">
            <v/>
          </cell>
          <cell r="S2484" t="str">
            <v/>
          </cell>
          <cell r="T2484" t="str">
            <v/>
          </cell>
          <cell r="U2484" t="str">
            <v/>
          </cell>
          <cell r="V2484" t="str">
            <v>N52</v>
          </cell>
          <cell r="W2484" t="str">
            <v/>
          </cell>
          <cell r="X2484" t="str">
            <v/>
          </cell>
          <cell r="Y2484" t="str">
            <v/>
          </cell>
          <cell r="Z2484" t="str">
            <v/>
          </cell>
          <cell r="AA2484" t="str">
            <v/>
          </cell>
          <cell r="AB2484" t="str">
            <v>PA_4392510-CD.7005-4</v>
          </cell>
          <cell r="AC2484">
            <v>1</v>
          </cell>
          <cell r="AD2484" t="str">
            <v/>
          </cell>
          <cell r="AE2484">
            <v>0</v>
          </cell>
          <cell r="AF2484" t="str">
            <v/>
          </cell>
          <cell r="AG2484" t="str">
            <v>12497179</v>
          </cell>
          <cell r="AH2484">
            <v>45034.868564814817</v>
          </cell>
          <cell r="AI2484" t="str">
            <v>N52</v>
          </cell>
          <cell r="AJ2484" t="str">
            <v>F</v>
          </cell>
          <cell r="AK2484" t="str">
            <v/>
          </cell>
        </row>
        <row r="2485">
          <cell r="A2485" t="str">
            <v>12658195820541</v>
          </cell>
          <cell r="B2485" t="e">
            <v>#N/A</v>
          </cell>
          <cell r="C2485" t="e">
            <v>#N/A</v>
          </cell>
          <cell r="D2485" t="str">
            <v>EK65</v>
          </cell>
          <cell r="E2485" t="str">
            <v>732554</v>
          </cell>
          <cell r="F2485" t="str">
            <v>E</v>
          </cell>
          <cell r="G2485" t="str">
            <v>12658195</v>
          </cell>
          <cell r="H2485" t="str">
            <v>Halter</v>
          </cell>
          <cell r="I2485">
            <v>10</v>
          </cell>
          <cell r="J2485" t="str">
            <v>Stk</v>
          </cell>
          <cell r="K2485">
            <v>45166</v>
          </cell>
          <cell r="L2485" t="str">
            <v>820541</v>
          </cell>
          <cell r="M2485" t="str">
            <v/>
          </cell>
          <cell r="N2485" t="str">
            <v/>
          </cell>
          <cell r="O2485" t="str">
            <v/>
          </cell>
          <cell r="P2485" t="str">
            <v/>
          </cell>
          <cell r="Q2485" t="str">
            <v/>
          </cell>
          <cell r="R2485" t="str">
            <v/>
          </cell>
          <cell r="S2485" t="str">
            <v/>
          </cell>
          <cell r="T2485" t="str">
            <v/>
          </cell>
          <cell r="U2485" t="str">
            <v/>
          </cell>
          <cell r="V2485" t="str">
            <v>N52</v>
          </cell>
          <cell r="W2485" t="str">
            <v/>
          </cell>
          <cell r="X2485" t="str">
            <v/>
          </cell>
          <cell r="Y2485" t="str">
            <v/>
          </cell>
          <cell r="Z2485" t="str">
            <v/>
          </cell>
          <cell r="AA2485" t="str">
            <v/>
          </cell>
          <cell r="AB2485" t="str">
            <v>PA_5129754-UA.3048-2</v>
          </cell>
          <cell r="AC2485">
            <v>1</v>
          </cell>
          <cell r="AD2485" t="str">
            <v/>
          </cell>
          <cell r="AE2485">
            <v>0</v>
          </cell>
          <cell r="AF2485" t="str">
            <v/>
          </cell>
          <cell r="AG2485" t="str">
            <v>12658195</v>
          </cell>
          <cell r="AH2485">
            <v>45034.878055555557</v>
          </cell>
          <cell r="AI2485" t="str">
            <v>N52</v>
          </cell>
          <cell r="AJ2485" t="str">
            <v>F</v>
          </cell>
          <cell r="AK2485" t="str">
            <v/>
          </cell>
        </row>
        <row r="2486">
          <cell r="A2486" t="str">
            <v>12658262820541</v>
          </cell>
          <cell r="B2486" t="e">
            <v>#N/A</v>
          </cell>
          <cell r="C2486" t="e">
            <v>#N/A</v>
          </cell>
          <cell r="D2486" t="str">
            <v>EK65</v>
          </cell>
          <cell r="E2486" t="str">
            <v>732556</v>
          </cell>
          <cell r="F2486" t="str">
            <v>E</v>
          </cell>
          <cell r="G2486" t="str">
            <v>12658262</v>
          </cell>
          <cell r="H2486" t="str">
            <v>Halter</v>
          </cell>
          <cell r="I2486">
            <v>60</v>
          </cell>
          <cell r="J2486" t="str">
            <v>Stk</v>
          </cell>
          <cell r="K2486">
            <v>45166</v>
          </cell>
          <cell r="L2486" t="str">
            <v>820541</v>
          </cell>
          <cell r="M2486" t="str">
            <v/>
          </cell>
          <cell r="N2486" t="str">
            <v/>
          </cell>
          <cell r="O2486" t="str">
            <v/>
          </cell>
          <cell r="P2486" t="str">
            <v/>
          </cell>
          <cell r="Q2486" t="str">
            <v/>
          </cell>
          <cell r="R2486" t="str">
            <v/>
          </cell>
          <cell r="S2486" t="str">
            <v/>
          </cell>
          <cell r="T2486" t="str">
            <v/>
          </cell>
          <cell r="U2486" t="str">
            <v/>
          </cell>
          <cell r="V2486" t="str">
            <v>N52</v>
          </cell>
          <cell r="W2486" t="str">
            <v/>
          </cell>
          <cell r="X2486" t="str">
            <v/>
          </cell>
          <cell r="Y2486" t="str">
            <v/>
          </cell>
          <cell r="Z2486" t="str">
            <v/>
          </cell>
          <cell r="AA2486" t="str">
            <v/>
          </cell>
          <cell r="AB2486" t="str">
            <v>PA_5135569-UA.3048-3</v>
          </cell>
          <cell r="AC2486">
            <v>1</v>
          </cell>
          <cell r="AD2486" t="str">
            <v/>
          </cell>
          <cell r="AE2486">
            <v>0</v>
          </cell>
          <cell r="AF2486" t="str">
            <v/>
          </cell>
          <cell r="AG2486" t="str">
            <v>12658262</v>
          </cell>
          <cell r="AH2486">
            <v>45034.878067129626</v>
          </cell>
          <cell r="AI2486" t="str">
            <v>N52</v>
          </cell>
          <cell r="AJ2486" t="str">
            <v>F</v>
          </cell>
          <cell r="AK2486" t="str">
            <v/>
          </cell>
        </row>
        <row r="2487">
          <cell r="A2487" t="str">
            <v>12658265820541</v>
          </cell>
          <cell r="B2487" t="e">
            <v>#N/A</v>
          </cell>
          <cell r="C2487" t="e">
            <v>#N/A</v>
          </cell>
          <cell r="D2487" t="str">
            <v>EK65</v>
          </cell>
          <cell r="E2487" t="str">
            <v>732557</v>
          </cell>
          <cell r="F2487" t="str">
            <v>E</v>
          </cell>
          <cell r="G2487" t="str">
            <v>12658265</v>
          </cell>
          <cell r="H2487" t="str">
            <v>Halter</v>
          </cell>
          <cell r="I2487">
            <v>80</v>
          </cell>
          <cell r="J2487" t="str">
            <v>Stk</v>
          </cell>
          <cell r="K2487">
            <v>45166</v>
          </cell>
          <cell r="L2487" t="str">
            <v>820541</v>
          </cell>
          <cell r="M2487" t="str">
            <v/>
          </cell>
          <cell r="N2487" t="str">
            <v/>
          </cell>
          <cell r="O2487" t="str">
            <v/>
          </cell>
          <cell r="P2487" t="str">
            <v/>
          </cell>
          <cell r="Q2487" t="str">
            <v/>
          </cell>
          <cell r="R2487" t="str">
            <v/>
          </cell>
          <cell r="S2487" t="str">
            <v/>
          </cell>
          <cell r="T2487" t="str">
            <v/>
          </cell>
          <cell r="U2487" t="str">
            <v/>
          </cell>
          <cell r="V2487" t="str">
            <v>N52</v>
          </cell>
          <cell r="W2487" t="str">
            <v/>
          </cell>
          <cell r="X2487" t="str">
            <v/>
          </cell>
          <cell r="Y2487" t="str">
            <v/>
          </cell>
          <cell r="Z2487" t="str">
            <v/>
          </cell>
          <cell r="AA2487" t="str">
            <v/>
          </cell>
          <cell r="AB2487" t="str">
            <v>PA_5184249-UA.3048-3</v>
          </cell>
          <cell r="AC2487">
            <v>1</v>
          </cell>
          <cell r="AD2487" t="str">
            <v/>
          </cell>
          <cell r="AE2487">
            <v>0</v>
          </cell>
          <cell r="AF2487" t="str">
            <v/>
          </cell>
          <cell r="AG2487" t="str">
            <v>12658265</v>
          </cell>
          <cell r="AH2487">
            <v>45034.878067129626</v>
          </cell>
          <cell r="AI2487" t="str">
            <v>N52</v>
          </cell>
          <cell r="AJ2487" t="str">
            <v>F</v>
          </cell>
          <cell r="AK2487" t="str">
            <v/>
          </cell>
        </row>
        <row r="2488">
          <cell r="A2488" t="str">
            <v>12658840820541</v>
          </cell>
          <cell r="B2488" t="e">
            <v>#N/A</v>
          </cell>
          <cell r="C2488" t="e">
            <v>#N/A</v>
          </cell>
          <cell r="D2488" t="str">
            <v>EK65</v>
          </cell>
          <cell r="E2488" t="str">
            <v>732558</v>
          </cell>
          <cell r="F2488" t="str">
            <v>E</v>
          </cell>
          <cell r="G2488" t="str">
            <v>12658840</v>
          </cell>
          <cell r="H2488" t="str">
            <v>Halter</v>
          </cell>
          <cell r="I2488">
            <v>20</v>
          </cell>
          <cell r="J2488" t="str">
            <v>Stk</v>
          </cell>
          <cell r="K2488">
            <v>45166</v>
          </cell>
          <cell r="L2488" t="str">
            <v>820541</v>
          </cell>
          <cell r="M2488" t="str">
            <v/>
          </cell>
          <cell r="N2488" t="str">
            <v/>
          </cell>
          <cell r="O2488" t="str">
            <v/>
          </cell>
          <cell r="P2488" t="str">
            <v/>
          </cell>
          <cell r="Q2488" t="str">
            <v/>
          </cell>
          <cell r="R2488" t="str">
            <v/>
          </cell>
          <cell r="S2488" t="str">
            <v/>
          </cell>
          <cell r="T2488" t="str">
            <v/>
          </cell>
          <cell r="U2488" t="str">
            <v/>
          </cell>
          <cell r="V2488" t="str">
            <v>N52</v>
          </cell>
          <cell r="W2488" t="str">
            <v/>
          </cell>
          <cell r="X2488" t="str">
            <v/>
          </cell>
          <cell r="Y2488" t="str">
            <v/>
          </cell>
          <cell r="Z2488" t="str">
            <v/>
          </cell>
          <cell r="AA2488" t="str">
            <v/>
          </cell>
          <cell r="AB2488" t="str">
            <v>PA_5218522-UA.3048-3</v>
          </cell>
          <cell r="AC2488">
            <v>1</v>
          </cell>
          <cell r="AD2488" t="str">
            <v/>
          </cell>
          <cell r="AE2488">
            <v>0</v>
          </cell>
          <cell r="AF2488" t="str">
            <v/>
          </cell>
          <cell r="AG2488" t="str">
            <v>12658840</v>
          </cell>
          <cell r="AH2488">
            <v>45034.878078703703</v>
          </cell>
          <cell r="AI2488" t="str">
            <v>N52</v>
          </cell>
          <cell r="AJ2488" t="str">
            <v>F</v>
          </cell>
          <cell r="AK2488" t="str">
            <v/>
          </cell>
        </row>
        <row r="2489">
          <cell r="A2489" t="str">
            <v>12665174820541</v>
          </cell>
          <cell r="B2489" t="e">
            <v>#N/A</v>
          </cell>
          <cell r="C2489" t="e">
            <v>#N/A</v>
          </cell>
          <cell r="D2489" t="str">
            <v>EK65</v>
          </cell>
          <cell r="E2489" t="str">
            <v>732559</v>
          </cell>
          <cell r="F2489" t="str">
            <v>E</v>
          </cell>
          <cell r="G2489" t="str">
            <v>12665174</v>
          </cell>
          <cell r="H2489" t="str">
            <v>Halter</v>
          </cell>
          <cell r="I2489">
            <v>10</v>
          </cell>
          <cell r="J2489" t="str">
            <v>Stk</v>
          </cell>
          <cell r="K2489">
            <v>45166</v>
          </cell>
          <cell r="L2489" t="str">
            <v>820541</v>
          </cell>
          <cell r="M2489" t="str">
            <v/>
          </cell>
          <cell r="N2489" t="str">
            <v/>
          </cell>
          <cell r="O2489" t="str">
            <v/>
          </cell>
          <cell r="P2489" t="str">
            <v/>
          </cell>
          <cell r="Q2489" t="str">
            <v/>
          </cell>
          <cell r="R2489" t="str">
            <v/>
          </cell>
          <cell r="S2489" t="str">
            <v/>
          </cell>
          <cell r="T2489" t="str">
            <v/>
          </cell>
          <cell r="U2489" t="str">
            <v/>
          </cell>
          <cell r="V2489" t="str">
            <v>N52</v>
          </cell>
          <cell r="W2489" t="str">
            <v/>
          </cell>
          <cell r="X2489" t="str">
            <v/>
          </cell>
          <cell r="Y2489" t="str">
            <v/>
          </cell>
          <cell r="Z2489" t="str">
            <v/>
          </cell>
          <cell r="AA2489" t="str">
            <v/>
          </cell>
          <cell r="AB2489" t="str">
            <v>PA_5158392-TC.3048-2</v>
          </cell>
          <cell r="AC2489">
            <v>1</v>
          </cell>
          <cell r="AD2489" t="str">
            <v/>
          </cell>
          <cell r="AE2489">
            <v>0</v>
          </cell>
          <cell r="AF2489" t="str">
            <v/>
          </cell>
          <cell r="AG2489" t="str">
            <v>12665174</v>
          </cell>
          <cell r="AH2489">
            <v>45034.878078703703</v>
          </cell>
          <cell r="AI2489" t="str">
            <v>N52</v>
          </cell>
          <cell r="AJ2489" t="str">
            <v>F</v>
          </cell>
          <cell r="AK2489" t="str">
            <v/>
          </cell>
        </row>
        <row r="2490">
          <cell r="A2490" t="str">
            <v>12675598829051</v>
          </cell>
          <cell r="B2490" t="e">
            <v>#N/A</v>
          </cell>
          <cell r="C2490" t="e">
            <v>#N/A</v>
          </cell>
          <cell r="D2490" t="str">
            <v>EK65</v>
          </cell>
          <cell r="E2490" t="str">
            <v>732560</v>
          </cell>
          <cell r="F2490" t="str">
            <v>E</v>
          </cell>
          <cell r="G2490" t="str">
            <v>12675598</v>
          </cell>
          <cell r="H2490" t="str">
            <v>Halter</v>
          </cell>
          <cell r="I2490">
            <v>512</v>
          </cell>
          <cell r="J2490" t="str">
            <v>Stk</v>
          </cell>
          <cell r="K2490">
            <v>45077</v>
          </cell>
          <cell r="L2490" t="str">
            <v>829051</v>
          </cell>
          <cell r="M2490" t="str">
            <v/>
          </cell>
          <cell r="N2490" t="str">
            <v/>
          </cell>
          <cell r="O2490" t="str">
            <v/>
          </cell>
          <cell r="P2490" t="str">
            <v/>
          </cell>
          <cell r="Q2490" t="str">
            <v/>
          </cell>
          <cell r="R2490" t="str">
            <v/>
          </cell>
          <cell r="S2490" t="str">
            <v/>
          </cell>
          <cell r="T2490" t="str">
            <v/>
          </cell>
          <cell r="U2490" t="str">
            <v/>
          </cell>
          <cell r="V2490" t="str">
            <v>N52</v>
          </cell>
          <cell r="W2490" t="str">
            <v/>
          </cell>
          <cell r="X2490" t="str">
            <v/>
          </cell>
          <cell r="Y2490" t="str">
            <v/>
          </cell>
          <cell r="Z2490" t="str">
            <v/>
          </cell>
          <cell r="AA2490" t="str">
            <v/>
          </cell>
          <cell r="AB2490" t="str">
            <v>PA_5112635-CD.7004-2</v>
          </cell>
          <cell r="AC2490">
            <v>1</v>
          </cell>
          <cell r="AD2490" t="str">
            <v/>
          </cell>
          <cell r="AE2490">
            <v>0</v>
          </cell>
          <cell r="AF2490" t="str">
            <v/>
          </cell>
          <cell r="AG2490" t="str">
            <v>12675598</v>
          </cell>
          <cell r="AH2490">
            <v>45034.87809027778</v>
          </cell>
          <cell r="AI2490" t="str">
            <v>N52</v>
          </cell>
          <cell r="AJ2490" t="str">
            <v>F</v>
          </cell>
          <cell r="AK2490" t="str">
            <v/>
          </cell>
        </row>
        <row r="2491">
          <cell r="A2491" t="str">
            <v>1367084820541</v>
          </cell>
          <cell r="B2491" t="e">
            <v>#N/A</v>
          </cell>
          <cell r="C2491" t="e">
            <v>#N/A</v>
          </cell>
          <cell r="D2491" t="str">
            <v>EK65</v>
          </cell>
          <cell r="E2491" t="str">
            <v>732565</v>
          </cell>
          <cell r="F2491" t="str">
            <v>E</v>
          </cell>
          <cell r="G2491" t="str">
            <v>1367084</v>
          </cell>
          <cell r="H2491" t="str">
            <v>Halter 130</v>
          </cell>
          <cell r="I2491">
            <v>40</v>
          </cell>
          <cell r="J2491" t="str">
            <v>Stk</v>
          </cell>
          <cell r="K2491">
            <v>45166</v>
          </cell>
          <cell r="L2491" t="str">
            <v>820541</v>
          </cell>
          <cell r="M2491" t="str">
            <v/>
          </cell>
          <cell r="N2491" t="str">
            <v/>
          </cell>
          <cell r="O2491" t="str">
            <v/>
          </cell>
          <cell r="P2491" t="str">
            <v/>
          </cell>
          <cell r="Q2491" t="str">
            <v/>
          </cell>
          <cell r="R2491" t="str">
            <v/>
          </cell>
          <cell r="S2491" t="str">
            <v/>
          </cell>
          <cell r="T2491" t="str">
            <v/>
          </cell>
          <cell r="U2491" t="str">
            <v/>
          </cell>
          <cell r="V2491" t="str">
            <v>N38</v>
          </cell>
          <cell r="W2491" t="str">
            <v/>
          </cell>
          <cell r="X2491" t="str">
            <v/>
          </cell>
          <cell r="Y2491" t="str">
            <v/>
          </cell>
          <cell r="Z2491" t="str">
            <v/>
          </cell>
          <cell r="AA2491" t="str">
            <v/>
          </cell>
          <cell r="AB2491" t="str">
            <v>PA_2260970-UA.3044-3</v>
          </cell>
          <cell r="AC2491">
            <v>1</v>
          </cell>
          <cell r="AD2491" t="str">
            <v/>
          </cell>
          <cell r="AE2491">
            <v>0</v>
          </cell>
          <cell r="AF2491" t="str">
            <v/>
          </cell>
          <cell r="AG2491" t="str">
            <v>1367084</v>
          </cell>
          <cell r="AH2491">
            <v>45034.878587962965</v>
          </cell>
          <cell r="AI2491" t="str">
            <v>N38</v>
          </cell>
          <cell r="AJ2491" t="str">
            <v>F</v>
          </cell>
          <cell r="AK2491" t="str">
            <v/>
          </cell>
        </row>
        <row r="2492">
          <cell r="A2492" t="str">
            <v>1367095820541</v>
          </cell>
          <cell r="B2492" t="e">
            <v>#N/A</v>
          </cell>
          <cell r="C2492" t="e">
            <v>#N/A</v>
          </cell>
          <cell r="D2492" t="str">
            <v>EK65</v>
          </cell>
          <cell r="E2492" t="str">
            <v>732566</v>
          </cell>
          <cell r="F2492" t="str">
            <v>E</v>
          </cell>
          <cell r="G2492" t="str">
            <v>1367095</v>
          </cell>
          <cell r="H2492" t="str">
            <v>Halter</v>
          </cell>
          <cell r="I2492">
            <v>130</v>
          </cell>
          <cell r="J2492" t="str">
            <v>Stk</v>
          </cell>
          <cell r="K2492">
            <v>45166</v>
          </cell>
          <cell r="L2492" t="str">
            <v>820541</v>
          </cell>
          <cell r="M2492" t="str">
            <v/>
          </cell>
          <cell r="N2492" t="str">
            <v/>
          </cell>
          <cell r="O2492" t="str">
            <v/>
          </cell>
          <cell r="P2492" t="str">
            <v/>
          </cell>
          <cell r="Q2492" t="str">
            <v/>
          </cell>
          <cell r="R2492" t="str">
            <v/>
          </cell>
          <cell r="S2492" t="str">
            <v/>
          </cell>
          <cell r="T2492" t="str">
            <v/>
          </cell>
          <cell r="U2492" t="str">
            <v/>
          </cell>
          <cell r="V2492" t="str">
            <v>N38</v>
          </cell>
          <cell r="W2492" t="str">
            <v/>
          </cell>
          <cell r="X2492" t="str">
            <v/>
          </cell>
          <cell r="Y2492" t="str">
            <v/>
          </cell>
          <cell r="Z2492" t="str">
            <v/>
          </cell>
          <cell r="AA2492" t="str">
            <v/>
          </cell>
          <cell r="AB2492" t="str">
            <v>PA_2260924-UA.3044-3</v>
          </cell>
          <cell r="AC2492">
            <v>1</v>
          </cell>
          <cell r="AD2492" t="str">
            <v/>
          </cell>
          <cell r="AE2492">
            <v>0</v>
          </cell>
          <cell r="AF2492" t="str">
            <v/>
          </cell>
          <cell r="AG2492" t="str">
            <v>1367095</v>
          </cell>
          <cell r="AH2492">
            <v>45034.878599537034</v>
          </cell>
          <cell r="AI2492" t="str">
            <v>N38</v>
          </cell>
          <cell r="AJ2492" t="str">
            <v>F</v>
          </cell>
          <cell r="AK2492" t="str">
            <v/>
          </cell>
        </row>
        <row r="2493">
          <cell r="A2493" t="str">
            <v>1367108820541</v>
          </cell>
          <cell r="B2493" t="e">
            <v>#N/A</v>
          </cell>
          <cell r="C2493" t="e">
            <v>#N/A</v>
          </cell>
          <cell r="D2493" t="str">
            <v>EK65</v>
          </cell>
          <cell r="E2493" t="str">
            <v>732567</v>
          </cell>
          <cell r="F2493" t="str">
            <v>E</v>
          </cell>
          <cell r="G2493" t="str">
            <v>1367108</v>
          </cell>
          <cell r="H2493" t="str">
            <v>Halter</v>
          </cell>
          <cell r="I2493">
            <v>530</v>
          </cell>
          <cell r="J2493" t="str">
            <v>Stk</v>
          </cell>
          <cell r="K2493">
            <v>45166</v>
          </cell>
          <cell r="L2493" t="str">
            <v>820541</v>
          </cell>
          <cell r="M2493" t="str">
            <v/>
          </cell>
          <cell r="N2493" t="str">
            <v/>
          </cell>
          <cell r="O2493" t="str">
            <v/>
          </cell>
          <cell r="P2493" t="str">
            <v/>
          </cell>
          <cell r="Q2493" t="str">
            <v/>
          </cell>
          <cell r="R2493" t="str">
            <v/>
          </cell>
          <cell r="S2493" t="str">
            <v/>
          </cell>
          <cell r="T2493" t="str">
            <v/>
          </cell>
          <cell r="U2493" t="str">
            <v/>
          </cell>
          <cell r="V2493" t="str">
            <v>N38</v>
          </cell>
          <cell r="W2493" t="str">
            <v/>
          </cell>
          <cell r="X2493" t="str">
            <v/>
          </cell>
          <cell r="Y2493" t="str">
            <v/>
          </cell>
          <cell r="Z2493" t="str">
            <v/>
          </cell>
          <cell r="AA2493" t="str">
            <v/>
          </cell>
          <cell r="AB2493" t="str">
            <v>PA_2260803-UA.3044-3</v>
          </cell>
          <cell r="AC2493">
            <v>1</v>
          </cell>
          <cell r="AD2493" t="str">
            <v/>
          </cell>
          <cell r="AE2493">
            <v>0</v>
          </cell>
          <cell r="AF2493" t="str">
            <v/>
          </cell>
          <cell r="AG2493" t="str">
            <v>1367108</v>
          </cell>
          <cell r="AH2493">
            <v>45034.878599537034</v>
          </cell>
          <cell r="AI2493" t="str">
            <v>N38</v>
          </cell>
          <cell r="AJ2493" t="str">
            <v>F</v>
          </cell>
          <cell r="AK2493" t="str">
            <v/>
          </cell>
        </row>
        <row r="2494">
          <cell r="A2494" t="str">
            <v>1401979820531</v>
          </cell>
          <cell r="B2494" t="e">
            <v>#N/A</v>
          </cell>
          <cell r="C2494" t="e">
            <v>#N/A</v>
          </cell>
          <cell r="D2494" t="str">
            <v>EK65</v>
          </cell>
          <cell r="E2494" t="str">
            <v>732570</v>
          </cell>
          <cell r="F2494" t="str">
            <v>E</v>
          </cell>
          <cell r="G2494" t="str">
            <v>1401979</v>
          </cell>
          <cell r="H2494" t="str">
            <v>Hoehenausgleich</v>
          </cell>
          <cell r="I2494">
            <v>2</v>
          </cell>
          <cell r="J2494" t="str">
            <v>Stk</v>
          </cell>
          <cell r="K2494">
            <v>45218</v>
          </cell>
          <cell r="L2494" t="str">
            <v>820531</v>
          </cell>
          <cell r="M2494" t="str">
            <v/>
          </cell>
          <cell r="N2494" t="str">
            <v/>
          </cell>
          <cell r="O2494" t="str">
            <v/>
          </cell>
          <cell r="P2494" t="str">
            <v/>
          </cell>
          <cell r="Q2494" t="str">
            <v/>
          </cell>
          <cell r="R2494" t="str">
            <v/>
          </cell>
          <cell r="S2494" t="str">
            <v/>
          </cell>
          <cell r="T2494" t="str">
            <v/>
          </cell>
          <cell r="U2494" t="str">
            <v/>
          </cell>
          <cell r="V2494" t="str">
            <v>N38</v>
          </cell>
          <cell r="W2494" t="str">
            <v/>
          </cell>
          <cell r="X2494" t="str">
            <v/>
          </cell>
          <cell r="Y2494" t="str">
            <v/>
          </cell>
          <cell r="Z2494" t="str">
            <v/>
          </cell>
          <cell r="AA2494" t="str">
            <v/>
          </cell>
          <cell r="AB2494" t="str">
            <v>PA_2327884-HE.3046-3</v>
          </cell>
          <cell r="AC2494">
            <v>1</v>
          </cell>
          <cell r="AD2494" t="str">
            <v/>
          </cell>
          <cell r="AE2494">
            <v>0</v>
          </cell>
          <cell r="AF2494" t="str">
            <v/>
          </cell>
          <cell r="AG2494" t="str">
            <v>1401979</v>
          </cell>
          <cell r="AH2494">
            <v>45034.879513888889</v>
          </cell>
          <cell r="AI2494" t="str">
            <v>N38</v>
          </cell>
          <cell r="AJ2494" t="str">
            <v>F</v>
          </cell>
          <cell r="AK2494" t="str">
            <v>A</v>
          </cell>
        </row>
        <row r="2495">
          <cell r="A2495" t="str">
            <v>1401980820531</v>
          </cell>
          <cell r="B2495" t="e">
            <v>#N/A</v>
          </cell>
          <cell r="C2495" t="e">
            <v>#N/A</v>
          </cell>
          <cell r="D2495" t="str">
            <v>EK65</v>
          </cell>
          <cell r="E2495" t="str">
            <v>732571</v>
          </cell>
          <cell r="F2495" t="str">
            <v>E</v>
          </cell>
          <cell r="G2495" t="str">
            <v>1401980</v>
          </cell>
          <cell r="H2495" t="str">
            <v>Halteblech vollst.</v>
          </cell>
          <cell r="I2495">
            <v>2</v>
          </cell>
          <cell r="J2495" t="str">
            <v>Stk</v>
          </cell>
          <cell r="K2495">
            <v>45218</v>
          </cell>
          <cell r="L2495" t="str">
            <v>820531</v>
          </cell>
          <cell r="M2495" t="str">
            <v/>
          </cell>
          <cell r="N2495" t="str">
            <v/>
          </cell>
          <cell r="O2495" t="str">
            <v/>
          </cell>
          <cell r="P2495" t="str">
            <v/>
          </cell>
          <cell r="Q2495" t="str">
            <v/>
          </cell>
          <cell r="R2495" t="str">
            <v/>
          </cell>
          <cell r="S2495" t="str">
            <v/>
          </cell>
          <cell r="T2495" t="str">
            <v/>
          </cell>
          <cell r="U2495" t="str">
            <v/>
          </cell>
          <cell r="V2495" t="str">
            <v>N38</v>
          </cell>
          <cell r="W2495" t="str">
            <v/>
          </cell>
          <cell r="X2495" t="str">
            <v/>
          </cell>
          <cell r="Y2495" t="str">
            <v/>
          </cell>
          <cell r="Z2495" t="str">
            <v/>
          </cell>
          <cell r="AA2495" t="str">
            <v/>
          </cell>
          <cell r="AB2495" t="str">
            <v>PA_2343576-HE.3046-3</v>
          </cell>
          <cell r="AC2495">
            <v>1</v>
          </cell>
          <cell r="AD2495" t="str">
            <v/>
          </cell>
          <cell r="AE2495">
            <v>0</v>
          </cell>
          <cell r="AF2495" t="str">
            <v/>
          </cell>
          <cell r="AG2495" t="str">
            <v>1401980</v>
          </cell>
          <cell r="AH2495">
            <v>45034.879525462966</v>
          </cell>
          <cell r="AI2495" t="str">
            <v>N38</v>
          </cell>
          <cell r="AJ2495" t="str">
            <v>F</v>
          </cell>
          <cell r="AK2495" t="str">
            <v/>
          </cell>
        </row>
        <row r="2496">
          <cell r="A2496" t="str">
            <v>1833750820541</v>
          </cell>
          <cell r="B2496" t="e">
            <v>#N/A</v>
          </cell>
          <cell r="C2496" t="e">
            <v>#N/A</v>
          </cell>
          <cell r="D2496" t="str">
            <v>EK65</v>
          </cell>
          <cell r="E2496" t="str">
            <v>732576</v>
          </cell>
          <cell r="F2496" t="str">
            <v>E</v>
          </cell>
          <cell r="G2496" t="str">
            <v>1833750</v>
          </cell>
          <cell r="H2496" t="str">
            <v>Klemmbuchse</v>
          </cell>
          <cell r="I2496">
            <v>176</v>
          </cell>
          <cell r="J2496" t="str">
            <v>Stk</v>
          </cell>
          <cell r="K2496">
            <v>45177</v>
          </cell>
          <cell r="L2496" t="str">
            <v>820541</v>
          </cell>
          <cell r="M2496" t="str">
            <v/>
          </cell>
          <cell r="N2496" t="str">
            <v/>
          </cell>
          <cell r="O2496" t="str">
            <v/>
          </cell>
          <cell r="P2496" t="str">
            <v/>
          </cell>
          <cell r="Q2496" t="str">
            <v/>
          </cell>
          <cell r="R2496" t="str">
            <v/>
          </cell>
          <cell r="S2496" t="str">
            <v/>
          </cell>
          <cell r="T2496" t="str">
            <v/>
          </cell>
          <cell r="U2496" t="str">
            <v/>
          </cell>
          <cell r="V2496" t="str">
            <v>N38</v>
          </cell>
          <cell r="W2496" t="str">
            <v/>
          </cell>
          <cell r="X2496" t="str">
            <v/>
          </cell>
          <cell r="Y2496" t="str">
            <v/>
          </cell>
          <cell r="Z2496" t="str">
            <v/>
          </cell>
          <cell r="AA2496" t="str">
            <v/>
          </cell>
          <cell r="AB2496" t="str">
            <v>PA_2313158-CD.3044-3</v>
          </cell>
          <cell r="AC2496">
            <v>1</v>
          </cell>
          <cell r="AD2496" t="str">
            <v/>
          </cell>
          <cell r="AE2496">
            <v>0</v>
          </cell>
          <cell r="AF2496" t="str">
            <v/>
          </cell>
          <cell r="AG2496" t="str">
            <v>1833750</v>
          </cell>
          <cell r="AH2496">
            <v>45034.880706018521</v>
          </cell>
          <cell r="AI2496" t="str">
            <v>N38</v>
          </cell>
          <cell r="AJ2496" t="str">
            <v>F</v>
          </cell>
          <cell r="AK2496" t="str">
            <v/>
          </cell>
        </row>
        <row r="2497">
          <cell r="A2497" t="str">
            <v>2472712831003</v>
          </cell>
          <cell r="B2497" t="e">
            <v>#N/A</v>
          </cell>
          <cell r="C2497" t="e">
            <v>#N/A</v>
          </cell>
          <cell r="D2497" t="str">
            <v>EK65</v>
          </cell>
          <cell r="E2497" t="str">
            <v>732579</v>
          </cell>
          <cell r="F2497" t="str">
            <v>E</v>
          </cell>
          <cell r="G2497" t="str">
            <v>2472712</v>
          </cell>
          <cell r="H2497" t="str">
            <v>Gewindeplatte M8</v>
          </cell>
          <cell r="I2497">
            <v>99</v>
          </cell>
          <cell r="J2497" t="str">
            <v>Stk</v>
          </cell>
          <cell r="K2497">
            <v>44998</v>
          </cell>
          <cell r="L2497" t="str">
            <v>831003</v>
          </cell>
          <cell r="M2497" t="str">
            <v/>
          </cell>
          <cell r="N2497" t="str">
            <v/>
          </cell>
          <cell r="O2497" t="str">
            <v/>
          </cell>
          <cell r="P2497" t="str">
            <v/>
          </cell>
          <cell r="Q2497" t="str">
            <v/>
          </cell>
          <cell r="R2497" t="str">
            <v/>
          </cell>
          <cell r="S2497" t="str">
            <v/>
          </cell>
          <cell r="T2497" t="str">
            <v/>
          </cell>
          <cell r="U2497" t="str">
            <v/>
          </cell>
          <cell r="V2497" t="str">
            <v>N52</v>
          </cell>
          <cell r="W2497" t="str">
            <v/>
          </cell>
          <cell r="X2497" t="str">
            <v/>
          </cell>
          <cell r="Y2497" t="str">
            <v/>
          </cell>
          <cell r="Z2497" t="str">
            <v/>
          </cell>
          <cell r="AA2497" t="str">
            <v/>
          </cell>
          <cell r="AB2497" t="str">
            <v>PA_2195220-LA.7500-3</v>
          </cell>
          <cell r="AC2497">
            <v>1</v>
          </cell>
          <cell r="AD2497" t="str">
            <v/>
          </cell>
          <cell r="AE2497">
            <v>0</v>
          </cell>
          <cell r="AF2497" t="str">
            <v/>
          </cell>
          <cell r="AG2497" t="str">
            <v>2472712</v>
          </cell>
          <cell r="AH2497">
            <v>45034.883125</v>
          </cell>
          <cell r="AI2497" t="str">
            <v>N52</v>
          </cell>
          <cell r="AJ2497" t="str">
            <v>F</v>
          </cell>
          <cell r="AK2497" t="str">
            <v/>
          </cell>
        </row>
        <row r="2498">
          <cell r="A2498" t="str">
            <v>5525400831003</v>
          </cell>
          <cell r="B2498" t="e">
            <v>#N/A</v>
          </cell>
          <cell r="C2498" t="e">
            <v>#N/A</v>
          </cell>
          <cell r="D2498" t="str">
            <v>EK65</v>
          </cell>
          <cell r="E2498" t="str">
            <v>732584</v>
          </cell>
          <cell r="F2498" t="str">
            <v>E</v>
          </cell>
          <cell r="G2498" t="str">
            <v>5525400</v>
          </cell>
          <cell r="H2498" t="str">
            <v>BEILAGE</v>
          </cell>
          <cell r="I2498">
            <v>2</v>
          </cell>
          <cell r="J2498" t="str">
            <v>Stk</v>
          </cell>
          <cell r="K2498">
            <v>45015</v>
          </cell>
          <cell r="L2498" t="str">
            <v>831003</v>
          </cell>
          <cell r="M2498" t="str">
            <v/>
          </cell>
          <cell r="N2498" t="str">
            <v/>
          </cell>
          <cell r="O2498" t="str">
            <v/>
          </cell>
          <cell r="P2498" t="str">
            <v/>
          </cell>
          <cell r="Q2498" t="str">
            <v/>
          </cell>
          <cell r="R2498" t="str">
            <v/>
          </cell>
          <cell r="S2498" t="str">
            <v/>
          </cell>
          <cell r="T2498" t="str">
            <v/>
          </cell>
          <cell r="U2498" t="str">
            <v/>
          </cell>
          <cell r="V2498" t="str">
            <v>N52</v>
          </cell>
          <cell r="W2498" t="str">
            <v/>
          </cell>
          <cell r="X2498" t="str">
            <v/>
          </cell>
          <cell r="Y2498" t="str">
            <v/>
          </cell>
          <cell r="Z2498" t="str">
            <v/>
          </cell>
          <cell r="AA2498" t="str">
            <v/>
          </cell>
          <cell r="AB2498" t="str">
            <v>PA_1276911-CD.4011-3</v>
          </cell>
          <cell r="AC2498">
            <v>1</v>
          </cell>
          <cell r="AD2498" t="str">
            <v/>
          </cell>
          <cell r="AE2498">
            <v>0</v>
          </cell>
          <cell r="AF2498" t="str">
            <v/>
          </cell>
          <cell r="AG2498" t="str">
            <v>5525400</v>
          </cell>
          <cell r="AH2498">
            <v>45034.887685185182</v>
          </cell>
          <cell r="AI2498" t="str">
            <v>N52</v>
          </cell>
          <cell r="AJ2498" t="str">
            <v>F</v>
          </cell>
          <cell r="AK2498" t="str">
            <v/>
          </cell>
        </row>
        <row r="2499">
          <cell r="A2499" t="str">
            <v>12647550829051</v>
          </cell>
          <cell r="B2499" t="e">
            <v>#N/A</v>
          </cell>
          <cell r="C2499" t="e">
            <v>#N/A</v>
          </cell>
          <cell r="D2499" t="str">
            <v>EK65</v>
          </cell>
          <cell r="E2499" t="str">
            <v>732806</v>
          </cell>
          <cell r="F2499" t="str">
            <v>E</v>
          </cell>
          <cell r="G2499" t="str">
            <v>12647550</v>
          </cell>
          <cell r="H2499" t="str">
            <v>Halteblech vollst.</v>
          </cell>
          <cell r="I2499">
            <v>170</v>
          </cell>
          <cell r="J2499" t="str">
            <v>Stk</v>
          </cell>
          <cell r="K2499">
            <v>44706</v>
          </cell>
          <cell r="L2499" t="str">
            <v>829051</v>
          </cell>
          <cell r="M2499" t="str">
            <v/>
          </cell>
          <cell r="N2499" t="str">
            <v/>
          </cell>
          <cell r="O2499" t="str">
            <v/>
          </cell>
          <cell r="P2499" t="str">
            <v/>
          </cell>
          <cell r="Q2499" t="str">
            <v/>
          </cell>
          <cell r="R2499" t="str">
            <v/>
          </cell>
          <cell r="S2499" t="str">
            <v/>
          </cell>
          <cell r="T2499" t="str">
            <v/>
          </cell>
          <cell r="U2499" t="str">
            <v/>
          </cell>
          <cell r="V2499" t="str">
            <v>N38</v>
          </cell>
          <cell r="W2499" t="str">
            <v/>
          </cell>
          <cell r="X2499" t="str">
            <v/>
          </cell>
          <cell r="Y2499" t="str">
            <v/>
          </cell>
          <cell r="Z2499" t="str">
            <v/>
          </cell>
          <cell r="AA2499" t="str">
            <v/>
          </cell>
          <cell r="AB2499" t="str">
            <v>PA_5173237-UA.7004-4</v>
          </cell>
          <cell r="AC2499">
            <v>1</v>
          </cell>
          <cell r="AD2499" t="str">
            <v/>
          </cell>
          <cell r="AE2499">
            <v>0</v>
          </cell>
          <cell r="AF2499" t="str">
            <v/>
          </cell>
          <cell r="AG2499" t="str">
            <v>12647550</v>
          </cell>
          <cell r="AH2499">
            <v>45034.905844907407</v>
          </cell>
          <cell r="AI2499" t="str">
            <v>N38</v>
          </cell>
          <cell r="AJ2499" t="str">
            <v>F</v>
          </cell>
          <cell r="AK2499" t="str">
            <v/>
          </cell>
        </row>
        <row r="2500">
          <cell r="A2500" t="str">
            <v>12657388829051</v>
          </cell>
          <cell r="B2500" t="e">
            <v>#N/A</v>
          </cell>
          <cell r="C2500" t="e">
            <v>#N/A</v>
          </cell>
          <cell r="D2500" t="str">
            <v>EK65</v>
          </cell>
          <cell r="E2500" t="str">
            <v>732811</v>
          </cell>
          <cell r="F2500" t="str">
            <v>E</v>
          </cell>
          <cell r="G2500" t="str">
            <v>12657388</v>
          </cell>
          <cell r="H2500" t="str">
            <v>Halter vollst.</v>
          </cell>
          <cell r="I2500">
            <v>170</v>
          </cell>
          <cell r="J2500" t="str">
            <v>Stk</v>
          </cell>
          <cell r="K2500">
            <v>44706</v>
          </cell>
          <cell r="L2500" t="str">
            <v>829051</v>
          </cell>
          <cell r="M2500" t="str">
            <v/>
          </cell>
          <cell r="N2500" t="str">
            <v/>
          </cell>
          <cell r="O2500" t="str">
            <v/>
          </cell>
          <cell r="P2500" t="str">
            <v/>
          </cell>
          <cell r="Q2500" t="str">
            <v/>
          </cell>
          <cell r="R2500" t="str">
            <v/>
          </cell>
          <cell r="S2500" t="str">
            <v/>
          </cell>
          <cell r="T2500" t="str">
            <v/>
          </cell>
          <cell r="U2500" t="str">
            <v/>
          </cell>
          <cell r="V2500" t="str">
            <v>N38</v>
          </cell>
          <cell r="W2500" t="str">
            <v/>
          </cell>
          <cell r="X2500" t="str">
            <v/>
          </cell>
          <cell r="Y2500" t="str">
            <v/>
          </cell>
          <cell r="Z2500" t="str">
            <v/>
          </cell>
          <cell r="AA2500" t="str">
            <v/>
          </cell>
          <cell r="AB2500" t="str">
            <v>PA_5214816-UA.7004-4</v>
          </cell>
          <cell r="AC2500">
            <v>1</v>
          </cell>
          <cell r="AD2500" t="str">
            <v/>
          </cell>
          <cell r="AE2500">
            <v>0</v>
          </cell>
          <cell r="AF2500" t="str">
            <v/>
          </cell>
          <cell r="AG2500" t="str">
            <v>12657388</v>
          </cell>
          <cell r="AH2500">
            <v>45034.905914351853</v>
          </cell>
          <cell r="AI2500" t="str">
            <v>N38</v>
          </cell>
          <cell r="AJ2500" t="str">
            <v>F</v>
          </cell>
          <cell r="AK2500" t="str">
            <v/>
          </cell>
        </row>
        <row r="2501">
          <cell r="A2501" t="str">
            <v>12672960820541</v>
          </cell>
          <cell r="B2501" t="e">
            <v>#N/A</v>
          </cell>
          <cell r="C2501" t="e">
            <v>#N/A</v>
          </cell>
          <cell r="D2501" t="str">
            <v>EK65</v>
          </cell>
          <cell r="E2501" t="str">
            <v>732847</v>
          </cell>
          <cell r="F2501" t="str">
            <v>E</v>
          </cell>
          <cell r="G2501" t="str">
            <v>12672960</v>
          </cell>
          <cell r="H2501" t="str">
            <v>Beilage</v>
          </cell>
          <cell r="I2501">
            <v>88</v>
          </cell>
          <cell r="J2501" t="str">
            <v>Stk</v>
          </cell>
          <cell r="K2501">
            <v>45175</v>
          </cell>
          <cell r="L2501" t="str">
            <v>820541</v>
          </cell>
          <cell r="M2501" t="str">
            <v/>
          </cell>
          <cell r="N2501" t="str">
            <v/>
          </cell>
          <cell r="O2501" t="str">
            <v/>
          </cell>
          <cell r="P2501" t="str">
            <v/>
          </cell>
          <cell r="Q2501" t="str">
            <v/>
          </cell>
          <cell r="R2501" t="str">
            <v/>
          </cell>
          <cell r="S2501" t="str">
            <v/>
          </cell>
          <cell r="T2501" t="str">
            <v/>
          </cell>
          <cell r="U2501" t="str">
            <v/>
          </cell>
          <cell r="V2501" t="str">
            <v>N52</v>
          </cell>
          <cell r="W2501" t="str">
            <v/>
          </cell>
          <cell r="X2501" t="str">
            <v/>
          </cell>
          <cell r="Y2501" t="str">
            <v/>
          </cell>
          <cell r="Z2501" t="str">
            <v/>
          </cell>
          <cell r="AA2501" t="str">
            <v/>
          </cell>
          <cell r="AB2501" t="str">
            <v>PA_5003991-FA.3048-4</v>
          </cell>
          <cell r="AC2501">
            <v>1</v>
          </cell>
          <cell r="AD2501" t="str">
            <v/>
          </cell>
          <cell r="AE2501">
            <v>0</v>
          </cell>
          <cell r="AF2501" t="str">
            <v/>
          </cell>
          <cell r="AG2501" t="str">
            <v>12672960</v>
          </cell>
          <cell r="AH2501">
            <v>45034.906226851854</v>
          </cell>
          <cell r="AI2501" t="str">
            <v>N52</v>
          </cell>
          <cell r="AJ2501" t="str">
            <v>F</v>
          </cell>
          <cell r="AK2501" t="str">
            <v/>
          </cell>
        </row>
        <row r="2502">
          <cell r="A2502" t="str">
            <v>12672965820541</v>
          </cell>
          <cell r="B2502" t="e">
            <v>#N/A</v>
          </cell>
          <cell r="C2502" t="e">
            <v>#N/A</v>
          </cell>
          <cell r="D2502" t="str">
            <v>EK65</v>
          </cell>
          <cell r="E2502" t="str">
            <v>732848</v>
          </cell>
          <cell r="F2502" t="str">
            <v>E</v>
          </cell>
          <cell r="G2502" t="str">
            <v>12672965</v>
          </cell>
          <cell r="H2502" t="str">
            <v>Spezial Unterlegsscheibe ID45.5 AD64 H2</v>
          </cell>
          <cell r="I2502">
            <v>176</v>
          </cell>
          <cell r="J2502" t="str">
            <v>Stk</v>
          </cell>
          <cell r="K2502">
            <v>45175</v>
          </cell>
          <cell r="L2502" t="str">
            <v>820541</v>
          </cell>
          <cell r="M2502" t="str">
            <v/>
          </cell>
          <cell r="N2502" t="str">
            <v/>
          </cell>
          <cell r="O2502" t="str">
            <v/>
          </cell>
          <cell r="P2502" t="str">
            <v/>
          </cell>
          <cell r="Q2502" t="str">
            <v/>
          </cell>
          <cell r="R2502" t="str">
            <v/>
          </cell>
          <cell r="S2502" t="str">
            <v/>
          </cell>
          <cell r="T2502" t="str">
            <v/>
          </cell>
          <cell r="U2502" t="str">
            <v/>
          </cell>
          <cell r="V2502" t="str">
            <v>N52</v>
          </cell>
          <cell r="W2502" t="str">
            <v/>
          </cell>
          <cell r="X2502" t="str">
            <v/>
          </cell>
          <cell r="Y2502" t="str">
            <v/>
          </cell>
          <cell r="Z2502" t="str">
            <v/>
          </cell>
          <cell r="AA2502" t="str">
            <v/>
          </cell>
          <cell r="AB2502" t="str">
            <v>PA_5011932-FA.3048-4</v>
          </cell>
          <cell r="AC2502">
            <v>1</v>
          </cell>
          <cell r="AD2502" t="str">
            <v/>
          </cell>
          <cell r="AE2502">
            <v>0</v>
          </cell>
          <cell r="AF2502" t="str">
            <v/>
          </cell>
          <cell r="AG2502" t="str">
            <v>12672965</v>
          </cell>
          <cell r="AH2502">
            <v>45034.906226851854</v>
          </cell>
          <cell r="AI2502" t="str">
            <v>N52</v>
          </cell>
          <cell r="AJ2502" t="str">
            <v>F</v>
          </cell>
          <cell r="AK2502" t="str">
            <v/>
          </cell>
        </row>
        <row r="2503">
          <cell r="A2503" t="str">
            <v>12675299820541</v>
          </cell>
          <cell r="B2503" t="e">
            <v>#N/A</v>
          </cell>
          <cell r="C2503" t="e">
            <v>#N/A</v>
          </cell>
          <cell r="D2503" t="str">
            <v>EK65</v>
          </cell>
          <cell r="E2503" t="str">
            <v>732849</v>
          </cell>
          <cell r="F2503" t="str">
            <v>E</v>
          </cell>
          <cell r="G2503" t="str">
            <v>12675299</v>
          </cell>
          <cell r="H2503" t="str">
            <v>Schellenhalter 6</v>
          </cell>
          <cell r="I2503">
            <v>44</v>
          </cell>
          <cell r="J2503" t="str">
            <v>Stk</v>
          </cell>
          <cell r="K2503">
            <v>45175</v>
          </cell>
          <cell r="L2503" t="str">
            <v>820541</v>
          </cell>
          <cell r="M2503" t="str">
            <v/>
          </cell>
          <cell r="N2503" t="str">
            <v/>
          </cell>
          <cell r="O2503" t="str">
            <v/>
          </cell>
          <cell r="P2503" t="str">
            <v/>
          </cell>
          <cell r="Q2503" t="str">
            <v/>
          </cell>
          <cell r="R2503" t="str">
            <v/>
          </cell>
          <cell r="S2503" t="str">
            <v/>
          </cell>
          <cell r="T2503" t="str">
            <v/>
          </cell>
          <cell r="U2503" t="str">
            <v/>
          </cell>
          <cell r="V2503" t="str">
            <v>N52</v>
          </cell>
          <cell r="W2503" t="str">
            <v/>
          </cell>
          <cell r="X2503" t="str">
            <v/>
          </cell>
          <cell r="Y2503" t="str">
            <v/>
          </cell>
          <cell r="Z2503" t="str">
            <v/>
          </cell>
          <cell r="AA2503" t="str">
            <v/>
          </cell>
          <cell r="AB2503" t="str">
            <v>PA_5289810-QE.3048-3</v>
          </cell>
          <cell r="AC2503">
            <v>1</v>
          </cell>
          <cell r="AD2503" t="str">
            <v/>
          </cell>
          <cell r="AE2503">
            <v>0</v>
          </cell>
          <cell r="AF2503" t="str">
            <v/>
          </cell>
          <cell r="AG2503" t="str">
            <v>12675299</v>
          </cell>
          <cell r="AH2503">
            <v>45034.906284722223</v>
          </cell>
          <cell r="AI2503" t="str">
            <v>N52</v>
          </cell>
          <cell r="AJ2503" t="str">
            <v>F</v>
          </cell>
          <cell r="AK2503" t="str">
            <v/>
          </cell>
        </row>
        <row r="2504">
          <cell r="A2504" t="str">
            <v>5752464820531</v>
          </cell>
          <cell r="B2504" t="str">
            <v>BL20230413-2</v>
          </cell>
          <cell r="C2504" t="e">
            <v>#N/A</v>
          </cell>
          <cell r="D2504" t="str">
            <v>EK65</v>
          </cell>
          <cell r="E2504" t="str">
            <v>732934</v>
          </cell>
          <cell r="F2504" t="str">
            <v>E</v>
          </cell>
          <cell r="G2504" t="str">
            <v>5752464</v>
          </cell>
          <cell r="H2504" t="str">
            <v>KLEMMBUCHSE</v>
          </cell>
          <cell r="I2504">
            <v>19</v>
          </cell>
          <cell r="J2504" t="str">
            <v>Stk</v>
          </cell>
          <cell r="K2504">
            <v>45211</v>
          </cell>
          <cell r="L2504" t="str">
            <v>820531</v>
          </cell>
          <cell r="M2504" t="str">
            <v/>
          </cell>
          <cell r="N2504" t="str">
            <v/>
          </cell>
          <cell r="O2504" t="str">
            <v/>
          </cell>
          <cell r="P2504" t="str">
            <v/>
          </cell>
          <cell r="Q2504" t="str">
            <v/>
          </cell>
          <cell r="R2504" t="str">
            <v/>
          </cell>
          <cell r="S2504" t="str">
            <v/>
          </cell>
          <cell r="T2504" t="str">
            <v/>
          </cell>
          <cell r="U2504" t="str">
            <v/>
          </cell>
          <cell r="V2504" t="str">
            <v>N38</v>
          </cell>
          <cell r="W2504" t="str">
            <v/>
          </cell>
          <cell r="X2504" t="str">
            <v/>
          </cell>
          <cell r="Y2504" t="str">
            <v/>
          </cell>
          <cell r="Z2504" t="str">
            <v/>
          </cell>
          <cell r="AA2504" t="str">
            <v/>
          </cell>
          <cell r="AB2504" t="str">
            <v>PA_1993250-UA.6001-4</v>
          </cell>
          <cell r="AC2504">
            <v>1</v>
          </cell>
          <cell r="AD2504" t="str">
            <v/>
          </cell>
          <cell r="AE2504">
            <v>0</v>
          </cell>
          <cell r="AF2504" t="str">
            <v/>
          </cell>
          <cell r="AG2504" t="str">
            <v>5752464</v>
          </cell>
          <cell r="AH2504">
            <v>45035.437777777777</v>
          </cell>
          <cell r="AI2504" t="str">
            <v>N38</v>
          </cell>
          <cell r="AJ2504" t="str">
            <v>F</v>
          </cell>
          <cell r="AK2504" t="str">
            <v/>
          </cell>
        </row>
        <row r="2505">
          <cell r="A2505" t="str">
            <v>0418116</v>
          </cell>
          <cell r="B2505" t="e">
            <v>#N/A</v>
          </cell>
          <cell r="C2505" t="e">
            <v>#N/A</v>
          </cell>
          <cell r="D2505" t="str">
            <v>EK65</v>
          </cell>
          <cell r="E2505" t="str">
            <v>732945</v>
          </cell>
          <cell r="F2505" t="str">
            <v>B</v>
          </cell>
          <cell r="G2505" t="str">
            <v>0418116</v>
          </cell>
          <cell r="H2505" t="str">
            <v>Ausgleichsplatte</v>
          </cell>
          <cell r="I2505">
            <v>10</v>
          </cell>
          <cell r="J2505" t="str">
            <v>Stk</v>
          </cell>
          <cell r="K2505">
            <v>45037</v>
          </cell>
          <cell r="L2505" t="str">
            <v/>
          </cell>
          <cell r="M2505" t="str">
            <v/>
          </cell>
          <cell r="N2505" t="str">
            <v/>
          </cell>
          <cell r="O2505" t="str">
            <v/>
          </cell>
          <cell r="P2505" t="str">
            <v/>
          </cell>
          <cell r="Q2505" t="str">
            <v/>
          </cell>
          <cell r="R2505" t="str">
            <v/>
          </cell>
          <cell r="S2505" t="str">
            <v/>
          </cell>
          <cell r="T2505" t="str">
            <v/>
          </cell>
          <cell r="U2505" t="str">
            <v/>
          </cell>
          <cell r="V2505" t="str">
            <v>N32</v>
          </cell>
          <cell r="W2505" t="str">
            <v/>
          </cell>
          <cell r="X2505" t="str">
            <v/>
          </cell>
          <cell r="Y2505" t="str">
            <v/>
          </cell>
          <cell r="Z2505" t="str">
            <v/>
          </cell>
          <cell r="AA2505" t="str">
            <v/>
          </cell>
          <cell r="AB2505" t="str">
            <v>PA_2186430-BG.7500-3P.4</v>
          </cell>
          <cell r="AC2505">
            <v>4</v>
          </cell>
          <cell r="AD2505" t="str">
            <v/>
          </cell>
          <cell r="AE2505">
            <v>0</v>
          </cell>
          <cell r="AF2505" t="str">
            <v/>
          </cell>
          <cell r="AG2505" t="str">
            <v>0418116</v>
          </cell>
          <cell r="AH2505">
            <v>45035.834050925929</v>
          </cell>
          <cell r="AI2505" t="str">
            <v>N32</v>
          </cell>
          <cell r="AJ2505" t="str">
            <v>F</v>
          </cell>
          <cell r="AK2505" t="str">
            <v>B</v>
          </cell>
        </row>
        <row r="2506">
          <cell r="A2506" t="str">
            <v>0711713</v>
          </cell>
          <cell r="B2506" t="e">
            <v>#N/A</v>
          </cell>
          <cell r="C2506" t="e">
            <v>#N/A</v>
          </cell>
          <cell r="D2506" t="str">
            <v>EK65</v>
          </cell>
          <cell r="E2506" t="str">
            <v>732946</v>
          </cell>
          <cell r="F2506" t="str">
            <v>B</v>
          </cell>
          <cell r="G2506" t="str">
            <v>0711713</v>
          </cell>
          <cell r="H2506" t="str">
            <v>Winkelhalter</v>
          </cell>
          <cell r="I2506">
            <v>15</v>
          </cell>
          <cell r="J2506" t="str">
            <v>Stk</v>
          </cell>
          <cell r="K2506">
            <v>45037</v>
          </cell>
          <cell r="L2506" t="str">
            <v/>
          </cell>
          <cell r="M2506" t="str">
            <v/>
          </cell>
          <cell r="N2506" t="str">
            <v/>
          </cell>
          <cell r="O2506" t="str">
            <v/>
          </cell>
          <cell r="P2506" t="str">
            <v/>
          </cell>
          <cell r="Q2506" t="str">
            <v/>
          </cell>
          <cell r="R2506" t="str">
            <v/>
          </cell>
          <cell r="S2506" t="str">
            <v/>
          </cell>
          <cell r="T2506" t="str">
            <v/>
          </cell>
          <cell r="U2506" t="str">
            <v/>
          </cell>
          <cell r="V2506" t="str">
            <v>N52</v>
          </cell>
          <cell r="W2506" t="str">
            <v/>
          </cell>
          <cell r="X2506" t="str">
            <v/>
          </cell>
          <cell r="Y2506" t="str">
            <v/>
          </cell>
          <cell r="Z2506" t="str">
            <v/>
          </cell>
          <cell r="AA2506" t="str">
            <v/>
          </cell>
          <cell r="AB2506" t="str">
            <v>PA_2142658-CD.7500-4</v>
          </cell>
          <cell r="AC2506">
            <v>4</v>
          </cell>
          <cell r="AD2506" t="str">
            <v/>
          </cell>
          <cell r="AE2506">
            <v>0</v>
          </cell>
          <cell r="AF2506" t="str">
            <v/>
          </cell>
          <cell r="AG2506" t="str">
            <v>0711713</v>
          </cell>
          <cell r="AH2506">
            <v>45035.834502314814</v>
          </cell>
          <cell r="AI2506" t="str">
            <v>N52</v>
          </cell>
          <cell r="AJ2506" t="str">
            <v>F</v>
          </cell>
          <cell r="AK2506" t="str">
            <v>A</v>
          </cell>
        </row>
        <row r="2507">
          <cell r="A2507" t="str">
            <v>0736049</v>
          </cell>
          <cell r="B2507">
            <v>0</v>
          </cell>
          <cell r="C2507" t="e">
            <v>#N/A</v>
          </cell>
          <cell r="D2507" t="str">
            <v>EK65</v>
          </cell>
          <cell r="E2507" t="str">
            <v>732947</v>
          </cell>
          <cell r="F2507" t="str">
            <v>B</v>
          </cell>
          <cell r="G2507" t="str">
            <v>0736049</v>
          </cell>
          <cell r="H2507" t="str">
            <v>Dehnhuelse 20mm M12</v>
          </cell>
          <cell r="I2507">
            <v>21</v>
          </cell>
          <cell r="J2507" t="str">
            <v>Stk</v>
          </cell>
          <cell r="K2507">
            <v>45037</v>
          </cell>
          <cell r="L2507" t="str">
            <v/>
          </cell>
          <cell r="M2507" t="str">
            <v/>
          </cell>
          <cell r="N2507" t="str">
            <v/>
          </cell>
          <cell r="O2507" t="str">
            <v/>
          </cell>
          <cell r="P2507" t="str">
            <v/>
          </cell>
          <cell r="Q2507" t="str">
            <v/>
          </cell>
          <cell r="R2507" t="str">
            <v/>
          </cell>
          <cell r="S2507" t="str">
            <v/>
          </cell>
          <cell r="T2507" t="str">
            <v/>
          </cell>
          <cell r="U2507" t="str">
            <v/>
          </cell>
          <cell r="V2507" t="str">
            <v>N52</v>
          </cell>
          <cell r="W2507" t="str">
            <v/>
          </cell>
          <cell r="X2507" t="str">
            <v/>
          </cell>
          <cell r="Y2507" t="str">
            <v/>
          </cell>
          <cell r="Z2507" t="str">
            <v/>
          </cell>
          <cell r="AA2507" t="str">
            <v/>
          </cell>
          <cell r="AB2507" t="str">
            <v>PA_2177795-TB.7500-4</v>
          </cell>
          <cell r="AC2507">
            <v>4</v>
          </cell>
          <cell r="AD2507" t="str">
            <v/>
          </cell>
          <cell r="AE2507">
            <v>0</v>
          </cell>
          <cell r="AF2507" t="str">
            <v/>
          </cell>
          <cell r="AG2507" t="str">
            <v>0736049</v>
          </cell>
          <cell r="AH2507">
            <v>45035.834537037037</v>
          </cell>
          <cell r="AI2507" t="str">
            <v>N52</v>
          </cell>
          <cell r="AJ2507" t="str">
            <v>F</v>
          </cell>
          <cell r="AK2507" t="str">
            <v/>
          </cell>
        </row>
        <row r="2508">
          <cell r="A2508" t="str">
            <v>1029535831008</v>
          </cell>
          <cell r="B2508" t="e">
            <v>#N/A</v>
          </cell>
          <cell r="C2508" t="e">
            <v>#N/A</v>
          </cell>
          <cell r="D2508" t="str">
            <v>EK65</v>
          </cell>
          <cell r="E2508" t="str">
            <v>732968</v>
          </cell>
          <cell r="F2508" t="str">
            <v>E</v>
          </cell>
          <cell r="G2508" t="str">
            <v>1029535</v>
          </cell>
          <cell r="H2508" t="str">
            <v>Stuetzwinkel</v>
          </cell>
          <cell r="I2508">
            <v>1</v>
          </cell>
          <cell r="J2508" t="str">
            <v>Stk</v>
          </cell>
          <cell r="K2508">
            <v>44973</v>
          </cell>
          <cell r="L2508" t="str">
            <v>831008</v>
          </cell>
          <cell r="M2508" t="str">
            <v/>
          </cell>
          <cell r="N2508" t="str">
            <v/>
          </cell>
          <cell r="O2508" t="str">
            <v/>
          </cell>
          <cell r="P2508" t="str">
            <v/>
          </cell>
          <cell r="Q2508" t="str">
            <v/>
          </cell>
          <cell r="R2508" t="str">
            <v/>
          </cell>
          <cell r="S2508" t="str">
            <v/>
          </cell>
          <cell r="T2508" t="str">
            <v/>
          </cell>
          <cell r="U2508" t="str">
            <v/>
          </cell>
          <cell r="V2508" t="str">
            <v>N34</v>
          </cell>
          <cell r="W2508" t="str">
            <v>2.1</v>
          </cell>
          <cell r="X2508" t="str">
            <v/>
          </cell>
          <cell r="Y2508" t="str">
            <v/>
          </cell>
          <cell r="Z2508" t="str">
            <v/>
          </cell>
          <cell r="AA2508" t="str">
            <v/>
          </cell>
          <cell r="AB2508" t="str">
            <v>PA_2248625-QE.7501-4</v>
          </cell>
          <cell r="AC2508">
            <v>1</v>
          </cell>
          <cell r="AD2508" t="str">
            <v/>
          </cell>
          <cell r="AE2508">
            <v>0</v>
          </cell>
          <cell r="AF2508" t="str">
            <v/>
          </cell>
          <cell r="AG2508" t="str">
            <v>1029535</v>
          </cell>
          <cell r="AH2508">
            <v>45035.862175925926</v>
          </cell>
          <cell r="AI2508" t="str">
            <v>N34</v>
          </cell>
          <cell r="AJ2508" t="str">
            <v>F</v>
          </cell>
          <cell r="AK2508" t="str">
            <v/>
          </cell>
        </row>
        <row r="2509">
          <cell r="A2509" t="str">
            <v>1367120820541</v>
          </cell>
          <cell r="B2509" t="e">
            <v>#N/A</v>
          </cell>
          <cell r="C2509" t="e">
            <v>#N/A</v>
          </cell>
          <cell r="D2509" t="str">
            <v>EK65</v>
          </cell>
          <cell r="E2509" t="str">
            <v>732985</v>
          </cell>
          <cell r="F2509" t="str">
            <v>E</v>
          </cell>
          <cell r="G2509" t="str">
            <v>1367120</v>
          </cell>
          <cell r="H2509" t="str">
            <v>Schottblech 2</v>
          </cell>
          <cell r="I2509">
            <v>88</v>
          </cell>
          <cell r="J2509" t="str">
            <v>Stk</v>
          </cell>
          <cell r="K2509">
            <v>45169</v>
          </cell>
          <cell r="L2509" t="str">
            <v>820541</v>
          </cell>
          <cell r="M2509" t="str">
            <v/>
          </cell>
          <cell r="N2509" t="str">
            <v/>
          </cell>
          <cell r="O2509" t="str">
            <v/>
          </cell>
          <cell r="P2509" t="str">
            <v/>
          </cell>
          <cell r="Q2509" t="str">
            <v/>
          </cell>
          <cell r="R2509" t="str">
            <v/>
          </cell>
          <cell r="S2509" t="str">
            <v/>
          </cell>
          <cell r="T2509" t="str">
            <v/>
          </cell>
          <cell r="U2509" t="str">
            <v/>
          </cell>
          <cell r="V2509" t="str">
            <v>N38</v>
          </cell>
          <cell r="W2509" t="str">
            <v/>
          </cell>
          <cell r="X2509" t="str">
            <v/>
          </cell>
          <cell r="Y2509" t="str">
            <v/>
          </cell>
          <cell r="Z2509" t="str">
            <v/>
          </cell>
          <cell r="AA2509" t="str">
            <v/>
          </cell>
          <cell r="AB2509" t="str">
            <v>PA_2261287-UA.3044-2</v>
          </cell>
          <cell r="AC2509">
            <v>1</v>
          </cell>
          <cell r="AD2509" t="str">
            <v/>
          </cell>
          <cell r="AE2509">
            <v>0</v>
          </cell>
          <cell r="AF2509" t="str">
            <v/>
          </cell>
          <cell r="AG2509" t="str">
            <v>1367120</v>
          </cell>
          <cell r="AH2509">
            <v>45035.881203703706</v>
          </cell>
          <cell r="AI2509" t="str">
            <v>N38</v>
          </cell>
          <cell r="AJ2509" t="str">
            <v>F</v>
          </cell>
          <cell r="AK2509" t="str">
            <v/>
          </cell>
        </row>
        <row r="2510">
          <cell r="A2510" t="str">
            <v>2484866820463</v>
          </cell>
          <cell r="B2510" t="e">
            <v>#N/A</v>
          </cell>
          <cell r="C2510" t="e">
            <v>#N/A</v>
          </cell>
          <cell r="D2510" t="str">
            <v>EK65</v>
          </cell>
          <cell r="E2510" t="str">
            <v>732991</v>
          </cell>
          <cell r="F2510" t="str">
            <v>E</v>
          </cell>
          <cell r="G2510" t="str">
            <v>2484866</v>
          </cell>
          <cell r="H2510" t="str">
            <v>Befestigungsplatte</v>
          </cell>
          <cell r="I2510">
            <v>1</v>
          </cell>
          <cell r="J2510" t="str">
            <v>Stk</v>
          </cell>
          <cell r="K2510">
            <v>44743</v>
          </cell>
          <cell r="L2510" t="str">
            <v>820463</v>
          </cell>
          <cell r="M2510" t="str">
            <v/>
          </cell>
          <cell r="N2510" t="str">
            <v/>
          </cell>
          <cell r="O2510" t="str">
            <v/>
          </cell>
          <cell r="P2510" t="str">
            <v/>
          </cell>
          <cell r="Q2510" t="str">
            <v/>
          </cell>
          <cell r="R2510" t="str">
            <v/>
          </cell>
          <cell r="S2510" t="str">
            <v/>
          </cell>
          <cell r="T2510" t="str">
            <v/>
          </cell>
          <cell r="U2510" t="str">
            <v/>
          </cell>
          <cell r="V2510" t="str">
            <v>N52</v>
          </cell>
          <cell r="W2510" t="str">
            <v>2.1</v>
          </cell>
          <cell r="X2510" t="str">
            <v/>
          </cell>
          <cell r="Y2510" t="str">
            <v/>
          </cell>
          <cell r="Z2510" t="str">
            <v/>
          </cell>
          <cell r="AA2510" t="str">
            <v/>
          </cell>
          <cell r="AB2510" t="str">
            <v>PR_2162093-CD.3038-3</v>
          </cell>
          <cell r="AC2510">
            <v>1</v>
          </cell>
          <cell r="AD2510" t="str">
            <v/>
          </cell>
          <cell r="AE2510">
            <v>0</v>
          </cell>
          <cell r="AF2510" t="str">
            <v/>
          </cell>
          <cell r="AG2510" t="str">
            <v>2484866</v>
          </cell>
          <cell r="AH2510">
            <v>45035.885451388887</v>
          </cell>
          <cell r="AI2510" t="str">
            <v>N52</v>
          </cell>
          <cell r="AJ2510" t="str">
            <v>F</v>
          </cell>
          <cell r="AK2510" t="str">
            <v/>
          </cell>
        </row>
      </sheetData>
      <sheetData sheetId="2" refreshError="1"/>
      <sheetData sheetId="3"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33"/>
  <sheetViews>
    <sheetView tabSelected="1" topLeftCell="H2" zoomScaleNormal="100" workbookViewId="0">
      <selection activeCell="Q22" sqref="Q22"/>
    </sheetView>
  </sheetViews>
  <sheetFormatPr defaultColWidth="9.1796875" defaultRowHeight="14.5" x14ac:dyDescent="0.35"/>
  <cols>
    <col min="1" max="1" width="19" customWidth="1"/>
    <col min="2" max="2" width="19" style="7" customWidth="1"/>
    <col min="3" max="3" width="9.26953125" style="7" bestFit="1" customWidth="1"/>
    <col min="4" max="4" width="16.54296875" style="5" customWidth="1"/>
    <col min="5" max="5" width="28.1796875" customWidth="1"/>
    <col min="6" max="6" width="19.453125" style="6" customWidth="1"/>
    <col min="7" max="7" width="22.81640625" style="7" customWidth="1"/>
    <col min="8" max="10" width="9.26953125" style="7" customWidth="1"/>
    <col min="11" max="11" width="15.1796875" style="7" customWidth="1"/>
    <col min="12" max="12" width="12.1796875" style="7" bestFit="1" customWidth="1"/>
    <col min="13" max="13" width="12.1796875" bestFit="1" customWidth="1"/>
    <col min="14" max="14" width="9.26953125" style="7" bestFit="1" customWidth="1"/>
    <col min="15" max="15" width="19.453125" style="10" customWidth="1"/>
    <col min="16" max="16" width="12.26953125" customWidth="1"/>
    <col min="17" max="17" width="13" style="7" customWidth="1"/>
    <col min="18" max="18" width="9.26953125" customWidth="1"/>
    <col min="19" max="19" width="17.54296875" style="3" customWidth="1"/>
    <col min="20" max="20" width="26.7265625" style="3" customWidth="1"/>
    <col min="21" max="21" width="16.81640625" style="3" customWidth="1"/>
    <col min="22" max="22" width="17.81640625" style="3" customWidth="1"/>
    <col min="23" max="23" width="17.26953125" style="3" customWidth="1"/>
    <col min="24" max="24" width="24.7265625" style="3" customWidth="1"/>
    <col min="25" max="25" width="12.26953125" style="3" customWidth="1"/>
    <col min="26" max="26" width="16.26953125" style="3" customWidth="1"/>
    <col min="27" max="27" width="15.54296875" style="3" customWidth="1"/>
    <col min="28" max="28" width="14" style="3" customWidth="1"/>
    <col min="29" max="29" width="19.26953125" style="3" customWidth="1"/>
    <col min="30" max="31" width="17.54296875" style="3" customWidth="1"/>
    <col min="32" max="32" width="25.453125" style="3" customWidth="1"/>
  </cols>
  <sheetData>
    <row r="1" spans="1:32" ht="28.5" customHeight="1" x14ac:dyDescent="0.45">
      <c r="A1" s="4"/>
      <c r="B1" s="9"/>
      <c r="C1" s="17"/>
      <c r="E1" s="4"/>
      <c r="R1" s="4"/>
      <c r="S1" s="4"/>
      <c r="T1" s="4"/>
      <c r="U1" s="4"/>
      <c r="V1" s="4"/>
      <c r="W1" s="4"/>
      <c r="X1" s="4"/>
      <c r="Y1" s="4"/>
      <c r="Z1" s="4"/>
      <c r="AA1" s="8" t="str">
        <f>IF(AE1="Deutsch","Währung:","Currency:")</f>
        <v>Währung:</v>
      </c>
      <c r="AB1" s="9" t="s">
        <v>8</v>
      </c>
      <c r="AC1" s="11"/>
      <c r="AD1" s="8" t="str">
        <f>IF(AE1="Deutsch","Sprache:","Language:")</f>
        <v>Sprache:</v>
      </c>
      <c r="AE1" s="4" t="s">
        <v>10</v>
      </c>
      <c r="AF1"/>
    </row>
    <row r="2" spans="1:32" s="7" customFormat="1" ht="121" x14ac:dyDescent="0.35">
      <c r="A2" s="12" t="str">
        <f>IF(AE1="Deutsch","Anfragenr.","Request nr.")</f>
        <v>Anfragenr.</v>
      </c>
      <c r="B2" s="12" t="str">
        <f>IF(AE1="Deutsch","Schlüssel","Key")</f>
        <v>Schlüssel</v>
      </c>
      <c r="C2" s="12" t="str">
        <f>IF(AE1="Deutsch","Lfd. Nr.","Pos.")</f>
        <v>Lfd. Nr.</v>
      </c>
      <c r="D2" s="5" t="str">
        <f>VLOOKUP(B2,[1]Masterliste!$A:$AJ,7,)</f>
        <v>MNR</v>
      </c>
      <c r="E2" t="str">
        <f>VLOOKUP(B2,[1]Masterliste!$A:$AJ,8,)</f>
        <v>Benennung</v>
      </c>
      <c r="F2" s="7" t="str">
        <f>VLOOKUP(B2,[1]Masterliste!$A:$AJ,28,)</f>
        <v>Zeichnungsnr</v>
      </c>
      <c r="G2" s="7" t="str">
        <f>VLOOKUP(B2,[1]Masterliste!$A:$AK,37,)</f>
        <v>Zeichnungsindex</v>
      </c>
      <c r="H2" s="7" t="str">
        <f>VLOOKUP(B2,[1]Masterliste!$A:$AJ,23,)</f>
        <v>Zeugnis</v>
      </c>
      <c r="I2" s="7" t="str">
        <f>VLOOKUP(B2,[1]Masterliste!$A:$AJ,25,)</f>
        <v>Schweissprüfung</v>
      </c>
      <c r="J2" s="7" t="str">
        <f>VLOOKUP(B2,[1]Masterliste!$A:$AJ,24,)</f>
        <v>Klebevorschrift</v>
      </c>
      <c r="K2" s="7" t="str">
        <f>VLOOKUP(B2,[1]Masterliste!$A:$AJ,26,)</f>
        <v>Brandschutz DIN</v>
      </c>
      <c r="L2" s="7" t="str">
        <f>VLOOKUP(B2,[1]Masterliste!$A:$AJ,9,)</f>
        <v>Menge</v>
      </c>
      <c r="M2" s="12" t="str">
        <f>IF(AE1="Deutsch","Bestellmenge projektbezogen","Order quantity")</f>
        <v>Bestellmenge projektbezogen</v>
      </c>
      <c r="N2" s="7" t="str">
        <f>VLOOKUP(B2,[1]Masterliste!$A:$AJ,10,)</f>
        <v>ME</v>
      </c>
      <c r="O2" s="10" t="str">
        <f>VLOOKUP(B2,[1]Masterliste!$A:$AJ,11,)</f>
        <v>Termin</v>
      </c>
      <c r="P2" s="12" t="str">
        <f>IF(AE1="Deutsch","bis Bedarfstermin","End of Demand")</f>
        <v>bis Bedarfstermin</v>
      </c>
      <c r="Q2" s="7" t="str">
        <f>VLOOKUP(B2,[1]Masterliste!$A:$AJ,12,)</f>
        <v>Kommission</v>
      </c>
      <c r="R2" s="12" t="str">
        <f>IF(AE1="Deutsch","Lieferant","Supplier")</f>
        <v>Lieferant</v>
      </c>
      <c r="S2" s="13" t="str">
        <f>IF(AE1="Deutsch","Materialkosten","Material costs")</f>
        <v>Materialkosten</v>
      </c>
      <c r="T2" s="13" t="str">
        <f>IF(AE1="Deutsch","Anmerkung Fertigung","Comment of production")</f>
        <v>Anmerkung Fertigung</v>
      </c>
      <c r="U2" s="14" t="str">
        <f>IF(AE1="Deutsch","Optimale LZ in Wochen","Optimal delivery time")</f>
        <v>Optimale LZ in Wochen</v>
      </c>
      <c r="V2" s="13" t="str">
        <f>IF(AE1="Deutsch","Zusatzkosten","Extra cost")</f>
        <v>Zusatzkosten</v>
      </c>
      <c r="W2" s="14" t="str">
        <f>IF(AE1="Deutsch","Fertigungslosgröße","Production lot size")</f>
        <v>Fertigungslosgröße</v>
      </c>
      <c r="X2" s="14" t="str">
        <f>IF(AE1="Deutsch","Einzelpreis","Unit costs")</f>
        <v>Einzelpreis</v>
      </c>
      <c r="Y2" s="14" t="str">
        <f>IF(AE1="Deutsch","Gesamtpreis","Total costs")</f>
        <v>Gesamtpreis</v>
      </c>
      <c r="Z2" s="14" t="str">
        <f>IF(AE1="Deutsch","Lieferbedingung","Delivery condition")</f>
        <v>Lieferbedingung</v>
      </c>
      <c r="AA2" s="15" t="str">
        <f>IF(AE1="Deutsch","Beschreibung Zusatzkosten","Description extra cost")</f>
        <v>Beschreibung Zusatzkosten</v>
      </c>
      <c r="AB2" s="14" t="str">
        <f>IF(AE1="Deutsch","Zahlungsbedingungen","Terms of payment")</f>
        <v>Zahlungsbedingungen</v>
      </c>
      <c r="AC2" s="14" t="str">
        <f>IF(AE1="Deutsch","Angebotsnummer","Offer number")</f>
        <v>Angebotsnummer</v>
      </c>
      <c r="AD2" s="14" t="str">
        <f>IF(AE1="Deutsch","Angebotsdatum","Date of offer")</f>
        <v>Angebotsdatum</v>
      </c>
      <c r="AE2" s="16" t="str">
        <f>IF(AE1="Deutsch","Gültigkeit Angebot","Validity of  offer")</f>
        <v>Gültigkeit Angebot</v>
      </c>
    </row>
    <row r="3" spans="1:32" x14ac:dyDescent="0.35">
      <c r="A3" t="s">
        <v>47</v>
      </c>
      <c r="B3" s="7" t="s">
        <v>16</v>
      </c>
      <c r="C3" s="7">
        <v>1</v>
      </c>
      <c r="D3" s="7" t="str">
        <f>VLOOKUP(B3,[1]Masterliste!$A:$AJ,7,)</f>
        <v>70000082</v>
      </c>
      <c r="E3" s="7" t="str">
        <f>VLOOKUP(B3,[1]Masterliste!$A:$AJ,8,)</f>
        <v>SHIM 1MM</v>
      </c>
      <c r="F3" s="7" t="str">
        <f>VLOOKUP(B3,[1]Masterliste!$A:$AJ,28,)</f>
        <v>70000082</v>
      </c>
      <c r="G3" s="7" t="str">
        <f>VLOOKUP(B3,[1]Masterliste!$A:$AK,37,)</f>
        <v>--</v>
      </c>
      <c r="H3" s="7" t="str">
        <f>VLOOKUP(B3,[1]Masterliste!$A:$AJ,23,)</f>
        <v/>
      </c>
      <c r="I3" s="7" t="str">
        <f>VLOOKUP(B3,[1]Masterliste!$A:$AJ,25,)</f>
        <v/>
      </c>
      <c r="J3" s="7" t="str">
        <f>VLOOKUP(B3,[1]Masterliste!$A:$AJ,24,)</f>
        <v/>
      </c>
      <c r="K3" s="7" t="str">
        <f>VLOOKUP(B3,[1]Masterliste!$A:$AJ,26,)</f>
        <v/>
      </c>
      <c r="L3" s="7">
        <f>VLOOKUP(B3,[1]Masterliste!$A:$AJ,9,)</f>
        <v>1440</v>
      </c>
      <c r="M3" s="7"/>
      <c r="N3" s="7" t="str">
        <f>VLOOKUP(B3,[1]Masterliste!$A:$AJ,10,)</f>
        <v>Stk</v>
      </c>
      <c r="O3" s="10">
        <v>45082</v>
      </c>
      <c r="P3" s="18">
        <v>46022</v>
      </c>
      <c r="Q3" s="7" t="str">
        <f>VLOOKUP(B3,[1]Masterliste!$A:$AJ,12,)</f>
        <v>828521</v>
      </c>
      <c r="W3" s="3">
        <v>144</v>
      </c>
      <c r="X3" s="3">
        <v>0.4</v>
      </c>
      <c r="Y3" s="3">
        <f>X3*L3</f>
        <v>576</v>
      </c>
      <c r="AB3" s="3" t="s">
        <v>49</v>
      </c>
      <c r="AC3" s="3" t="s">
        <v>48</v>
      </c>
      <c r="AD3" s="19">
        <v>45061</v>
      </c>
      <c r="AE3" s="19">
        <v>45068</v>
      </c>
    </row>
    <row r="4" spans="1:32" x14ac:dyDescent="0.35">
      <c r="A4" t="s">
        <v>47</v>
      </c>
      <c r="B4" s="7" t="s">
        <v>17</v>
      </c>
      <c r="C4" s="7">
        <v>2</v>
      </c>
      <c r="D4" s="7" t="str">
        <f>VLOOKUP(B4,[1]Masterliste!$A:$AJ,7,)</f>
        <v>70000083</v>
      </c>
      <c r="E4" s="7" t="str">
        <f>VLOOKUP(B4,[1]Masterliste!$A:$AJ,8,)</f>
        <v>SHIM 0.5MM</v>
      </c>
      <c r="F4" s="7" t="str">
        <f>VLOOKUP(B4,[1]Masterliste!$A:$AJ,28,)</f>
        <v>70000083</v>
      </c>
      <c r="G4" s="7" t="s">
        <v>11</v>
      </c>
      <c r="H4" s="7" t="s">
        <v>12</v>
      </c>
      <c r="I4" s="7" t="s">
        <v>12</v>
      </c>
      <c r="J4" s="7" t="s">
        <v>12</v>
      </c>
      <c r="K4" s="7" t="s">
        <v>12</v>
      </c>
      <c r="L4" s="7">
        <f>VLOOKUP(B4,[1]Masterliste!$A:$AJ,9,)</f>
        <v>720</v>
      </c>
      <c r="N4" s="7" t="s">
        <v>13</v>
      </c>
      <c r="O4" s="10">
        <v>45082</v>
      </c>
      <c r="P4" s="18">
        <v>46022</v>
      </c>
      <c r="Q4" s="7" t="s">
        <v>14</v>
      </c>
      <c r="W4" s="3">
        <v>72</v>
      </c>
      <c r="X4" s="3">
        <v>0.41</v>
      </c>
      <c r="Y4" s="3">
        <f t="shared" ref="Y4:Y33" si="0">X4*L4</f>
        <v>295.2</v>
      </c>
      <c r="AB4" s="3" t="s">
        <v>49</v>
      </c>
      <c r="AC4" s="3" t="s">
        <v>48</v>
      </c>
      <c r="AD4" s="19">
        <v>45061</v>
      </c>
    </row>
    <row r="5" spans="1:32" x14ac:dyDescent="0.35">
      <c r="A5" t="s">
        <v>47</v>
      </c>
      <c r="B5" s="7" t="s">
        <v>18</v>
      </c>
      <c r="C5" s="7">
        <v>3</v>
      </c>
      <c r="D5" s="7" t="str">
        <f>VLOOKUP(B5,[1]Masterliste!$A:$AJ,7,)</f>
        <v>70000084</v>
      </c>
      <c r="E5" s="7" t="str">
        <f>VLOOKUP(B5,[1]Masterliste!$A:$AJ,8,)</f>
        <v>SHIM 1MM</v>
      </c>
      <c r="F5" s="7" t="str">
        <f>VLOOKUP(B5,[1]Masterliste!$A:$AJ,28,)</f>
        <v>70000084</v>
      </c>
      <c r="G5" s="7" t="s">
        <v>11</v>
      </c>
      <c r="H5" s="7" t="s">
        <v>12</v>
      </c>
      <c r="I5" s="7" t="s">
        <v>12</v>
      </c>
      <c r="J5" s="7" t="s">
        <v>12</v>
      </c>
      <c r="K5" s="7" t="s">
        <v>12</v>
      </c>
      <c r="L5" s="7">
        <f>VLOOKUP(B5,[1]Masterliste!$A:$AJ,9,)</f>
        <v>180</v>
      </c>
      <c r="N5" s="7" t="s">
        <v>13</v>
      </c>
      <c r="O5" s="10">
        <v>45082</v>
      </c>
      <c r="P5" s="18">
        <v>46022</v>
      </c>
      <c r="Q5" s="7" t="s">
        <v>14</v>
      </c>
      <c r="W5" s="3">
        <v>18</v>
      </c>
      <c r="X5" s="3">
        <v>1.04</v>
      </c>
      <c r="Y5" s="3">
        <f t="shared" si="0"/>
        <v>187.20000000000002</v>
      </c>
      <c r="AB5" s="3" t="s">
        <v>49</v>
      </c>
      <c r="AC5" s="3" t="s">
        <v>48</v>
      </c>
      <c r="AD5" s="19">
        <v>45061</v>
      </c>
    </row>
    <row r="6" spans="1:32" x14ac:dyDescent="0.35">
      <c r="A6" t="s">
        <v>47</v>
      </c>
      <c r="B6" s="7" t="s">
        <v>19</v>
      </c>
      <c r="C6" s="7">
        <v>4</v>
      </c>
      <c r="D6" s="7" t="str">
        <f>VLOOKUP(B6,[1]Masterliste!$A:$AJ,7,)</f>
        <v>70000085</v>
      </c>
      <c r="E6" s="7" t="str">
        <f>VLOOKUP(B6,[1]Masterliste!$A:$AJ,8,)</f>
        <v>SHIM 0.5MM</v>
      </c>
      <c r="F6" s="7" t="str">
        <f>VLOOKUP(B6,[1]Masterliste!$A:$AJ,28,)</f>
        <v>70000085</v>
      </c>
      <c r="G6" s="7" t="s">
        <v>11</v>
      </c>
      <c r="H6" s="7" t="s">
        <v>12</v>
      </c>
      <c r="I6" s="7" t="s">
        <v>12</v>
      </c>
      <c r="J6" s="7" t="s">
        <v>12</v>
      </c>
      <c r="K6" s="7" t="s">
        <v>12</v>
      </c>
      <c r="L6" s="7">
        <f>VLOOKUP(B6,[1]Masterliste!$A:$AJ,9,)</f>
        <v>90</v>
      </c>
      <c r="N6" s="7" t="s">
        <v>13</v>
      </c>
      <c r="O6" s="10">
        <v>45082</v>
      </c>
      <c r="P6" s="18">
        <v>46022</v>
      </c>
      <c r="Q6" s="7" t="s">
        <v>14</v>
      </c>
      <c r="W6" s="3">
        <v>9</v>
      </c>
      <c r="X6" s="3">
        <v>1.77</v>
      </c>
      <c r="Y6" s="3">
        <f t="shared" si="0"/>
        <v>159.30000000000001</v>
      </c>
      <c r="AB6" s="3" t="s">
        <v>49</v>
      </c>
      <c r="AC6" s="3" t="s">
        <v>48</v>
      </c>
      <c r="AD6" s="19">
        <v>45061</v>
      </c>
    </row>
    <row r="7" spans="1:32" x14ac:dyDescent="0.35">
      <c r="A7" t="s">
        <v>47</v>
      </c>
      <c r="B7" s="7" t="s">
        <v>20</v>
      </c>
      <c r="C7" s="7">
        <v>5</v>
      </c>
      <c r="D7" s="7" t="str">
        <f>VLOOKUP(B7,[1]Masterliste!$A:$AJ,7,)</f>
        <v>70000086</v>
      </c>
      <c r="E7" s="7" t="str">
        <f>VLOOKUP(B7,[1]Masterliste!$A:$AJ,8,)</f>
        <v>SHIM 1MM</v>
      </c>
      <c r="F7" s="7" t="str">
        <f>VLOOKUP(B7,[1]Masterliste!$A:$AJ,28,)</f>
        <v>70000086</v>
      </c>
      <c r="G7" s="7" t="s">
        <v>11</v>
      </c>
      <c r="H7" s="7" t="s">
        <v>12</v>
      </c>
      <c r="I7" s="7" t="s">
        <v>12</v>
      </c>
      <c r="J7" s="7" t="s">
        <v>12</v>
      </c>
      <c r="K7" s="7" t="s">
        <v>12</v>
      </c>
      <c r="L7" s="7">
        <f>VLOOKUP(B7,[1]Masterliste!$A:$AJ,9,)</f>
        <v>1080</v>
      </c>
      <c r="N7" s="7" t="s">
        <v>13</v>
      </c>
      <c r="O7" s="10">
        <v>45082</v>
      </c>
      <c r="P7" s="18">
        <v>46022</v>
      </c>
      <c r="Q7" s="7" t="s">
        <v>14</v>
      </c>
      <c r="W7" s="3">
        <v>108</v>
      </c>
      <c r="X7" s="3">
        <v>0.54</v>
      </c>
      <c r="Y7" s="3">
        <f t="shared" si="0"/>
        <v>583.20000000000005</v>
      </c>
      <c r="AB7" s="3" t="s">
        <v>49</v>
      </c>
      <c r="AC7" s="3" t="s">
        <v>48</v>
      </c>
      <c r="AD7" s="19">
        <v>45061</v>
      </c>
    </row>
    <row r="8" spans="1:32" x14ac:dyDescent="0.35">
      <c r="A8" t="s">
        <v>47</v>
      </c>
      <c r="B8" s="7" t="s">
        <v>21</v>
      </c>
      <c r="C8" s="7">
        <v>6</v>
      </c>
      <c r="D8" s="7" t="str">
        <f>VLOOKUP(B8,[1]Masterliste!$A:$AJ,7,)</f>
        <v>70000087</v>
      </c>
      <c r="E8" s="7" t="str">
        <f>VLOOKUP(B8,[1]Masterliste!$A:$AJ,8,)</f>
        <v>SHIM 0.5MM</v>
      </c>
      <c r="F8" s="7" t="str">
        <f>VLOOKUP(B8,[1]Masterliste!$A:$AJ,28,)</f>
        <v>70000087</v>
      </c>
      <c r="G8" s="7" t="s">
        <v>11</v>
      </c>
      <c r="H8" s="7" t="s">
        <v>12</v>
      </c>
      <c r="I8" s="7" t="s">
        <v>12</v>
      </c>
      <c r="J8" s="7" t="s">
        <v>12</v>
      </c>
      <c r="K8" s="7" t="s">
        <v>12</v>
      </c>
      <c r="L8" s="7">
        <f>VLOOKUP(B8,[1]Masterliste!$A:$AJ,9,)</f>
        <v>540</v>
      </c>
      <c r="N8" s="7" t="s">
        <v>13</v>
      </c>
      <c r="O8" s="10">
        <v>45082</v>
      </c>
      <c r="P8" s="18">
        <v>46022</v>
      </c>
      <c r="Q8" s="7" t="s">
        <v>14</v>
      </c>
      <c r="W8" s="3">
        <v>54</v>
      </c>
      <c r="X8" s="3">
        <v>0.54</v>
      </c>
      <c r="Y8" s="3">
        <f t="shared" si="0"/>
        <v>291.60000000000002</v>
      </c>
      <c r="AB8" s="3" t="s">
        <v>49</v>
      </c>
      <c r="AC8" s="3" t="s">
        <v>48</v>
      </c>
      <c r="AD8" s="19">
        <v>45061</v>
      </c>
    </row>
    <row r="9" spans="1:32" x14ac:dyDescent="0.35">
      <c r="A9" t="s">
        <v>47</v>
      </c>
      <c r="B9" s="7" t="s">
        <v>22</v>
      </c>
      <c r="C9" s="7">
        <v>7</v>
      </c>
      <c r="D9" s="7" t="str">
        <f>VLOOKUP(B9,[1]Masterliste!$A:$AJ,7,)</f>
        <v>70000088</v>
      </c>
      <c r="E9" s="7" t="str">
        <f>VLOOKUP(B9,[1]Masterliste!$A:$AJ,8,)</f>
        <v>SHIM 1MM</v>
      </c>
      <c r="F9" s="7" t="str">
        <f>VLOOKUP(B9,[1]Masterliste!$A:$AJ,28,)</f>
        <v>70000088</v>
      </c>
      <c r="G9" s="7" t="s">
        <v>15</v>
      </c>
      <c r="H9" s="7" t="s">
        <v>12</v>
      </c>
      <c r="I9" s="7" t="s">
        <v>12</v>
      </c>
      <c r="J9" s="7" t="s">
        <v>12</v>
      </c>
      <c r="K9" s="7" t="s">
        <v>12</v>
      </c>
      <c r="L9" s="7">
        <f>VLOOKUP(B9,[1]Masterliste!$A:$AJ,9,)</f>
        <v>360</v>
      </c>
      <c r="N9" s="7" t="s">
        <v>13</v>
      </c>
      <c r="O9" s="10">
        <v>45082</v>
      </c>
      <c r="P9" s="18">
        <v>46022</v>
      </c>
      <c r="Q9" s="7" t="s">
        <v>14</v>
      </c>
      <c r="W9" s="3">
        <v>36</v>
      </c>
      <c r="X9" s="3">
        <v>0.67</v>
      </c>
      <c r="Y9" s="3">
        <f t="shared" si="0"/>
        <v>241.20000000000002</v>
      </c>
      <c r="AB9" s="3" t="s">
        <v>49</v>
      </c>
      <c r="AC9" s="3" t="s">
        <v>48</v>
      </c>
      <c r="AD9" s="19">
        <v>45061</v>
      </c>
    </row>
    <row r="10" spans="1:32" x14ac:dyDescent="0.35">
      <c r="A10" t="s">
        <v>47</v>
      </c>
      <c r="B10" s="7" t="s">
        <v>23</v>
      </c>
      <c r="C10" s="7">
        <v>8</v>
      </c>
      <c r="D10" s="7" t="str">
        <f>VLOOKUP(B10,[1]Masterliste!$A:$AJ,7,)</f>
        <v>70000090</v>
      </c>
      <c r="E10" s="7" t="str">
        <f>VLOOKUP(B10,[1]Masterliste!$A:$AJ,8,)</f>
        <v>SHIM 1MM</v>
      </c>
      <c r="F10" s="7" t="str">
        <f>VLOOKUP(B10,[1]Masterliste!$A:$AJ,28,)</f>
        <v>70000090</v>
      </c>
      <c r="G10" s="7" t="s">
        <v>11</v>
      </c>
      <c r="H10" s="7" t="s">
        <v>12</v>
      </c>
      <c r="I10" s="7" t="s">
        <v>12</v>
      </c>
      <c r="J10" s="7" t="s">
        <v>12</v>
      </c>
      <c r="K10" s="7" t="s">
        <v>12</v>
      </c>
      <c r="L10" s="7">
        <f>VLOOKUP(B10,[1]Masterliste!$A:$AJ,9,)</f>
        <v>360</v>
      </c>
      <c r="N10" s="7" t="s">
        <v>13</v>
      </c>
      <c r="O10" s="10">
        <v>45082</v>
      </c>
      <c r="P10" s="18">
        <v>46022</v>
      </c>
      <c r="Q10" s="7" t="s">
        <v>14</v>
      </c>
      <c r="W10" s="3">
        <v>36</v>
      </c>
      <c r="X10" s="3">
        <v>1.54</v>
      </c>
      <c r="Y10" s="3">
        <f t="shared" si="0"/>
        <v>554.4</v>
      </c>
      <c r="AB10" s="3" t="s">
        <v>49</v>
      </c>
      <c r="AC10" s="3" t="s">
        <v>48</v>
      </c>
      <c r="AD10" s="19">
        <v>45061</v>
      </c>
    </row>
    <row r="11" spans="1:32" x14ac:dyDescent="0.35">
      <c r="A11" t="s">
        <v>47</v>
      </c>
      <c r="B11" s="7" t="s">
        <v>24</v>
      </c>
      <c r="C11" s="7">
        <v>9</v>
      </c>
      <c r="D11" s="7" t="str">
        <f>VLOOKUP(B11,[1]Masterliste!$A:$AJ,7,)</f>
        <v>70000091</v>
      </c>
      <c r="E11" s="7" t="str">
        <f>VLOOKUP(B11,[1]Masterliste!$A:$AJ,8,)</f>
        <v>SHIM 0.5MM</v>
      </c>
      <c r="F11" s="7" t="str">
        <f>VLOOKUP(B11,[1]Masterliste!$A:$AJ,28,)</f>
        <v>70000091</v>
      </c>
      <c r="G11" s="7" t="s">
        <v>11</v>
      </c>
      <c r="H11" s="7" t="s">
        <v>12</v>
      </c>
      <c r="I11" s="7" t="s">
        <v>12</v>
      </c>
      <c r="J11" s="7" t="s">
        <v>12</v>
      </c>
      <c r="K11" s="7" t="s">
        <v>12</v>
      </c>
      <c r="L11" s="7">
        <f>VLOOKUP(B11,[1]Masterliste!$A:$AJ,9,)</f>
        <v>180</v>
      </c>
      <c r="N11" s="7" t="s">
        <v>13</v>
      </c>
      <c r="O11" s="10">
        <v>45082</v>
      </c>
      <c r="P11" s="18">
        <v>46022</v>
      </c>
      <c r="Q11" s="7" t="s">
        <v>14</v>
      </c>
      <c r="W11" s="3">
        <v>18</v>
      </c>
      <c r="X11" s="3">
        <v>1.39</v>
      </c>
      <c r="Y11" s="3">
        <f t="shared" si="0"/>
        <v>250.2</v>
      </c>
      <c r="AB11" s="3" t="s">
        <v>49</v>
      </c>
      <c r="AC11" s="3" t="s">
        <v>48</v>
      </c>
      <c r="AD11" s="19">
        <v>45061</v>
      </c>
    </row>
    <row r="12" spans="1:32" x14ac:dyDescent="0.35">
      <c r="A12" t="s">
        <v>47</v>
      </c>
      <c r="B12" s="7" t="s">
        <v>25</v>
      </c>
      <c r="C12" s="7">
        <v>10</v>
      </c>
      <c r="D12" s="7" t="str">
        <f>VLOOKUP(B12,[1]Masterliste!$A:$AJ,7,)</f>
        <v>70000096</v>
      </c>
      <c r="E12" s="7" t="str">
        <f>VLOOKUP(B12,[1]Masterliste!$A:$AJ,8,)</f>
        <v>FRAME</v>
      </c>
      <c r="F12" s="7" t="str">
        <f>VLOOKUP(B12,[1]Masterliste!$A:$AJ,28,)</f>
        <v>70000096</v>
      </c>
      <c r="G12" s="7" t="s">
        <v>11</v>
      </c>
      <c r="H12" s="7" t="s">
        <v>12</v>
      </c>
      <c r="I12" s="7" t="s">
        <v>12</v>
      </c>
      <c r="J12" s="7" t="s">
        <v>12</v>
      </c>
      <c r="K12" s="7" t="s">
        <v>12</v>
      </c>
      <c r="L12" s="7">
        <f>VLOOKUP(B12,[1]Masterliste!$A:$AJ,9,)</f>
        <v>180</v>
      </c>
      <c r="N12" s="7" t="s">
        <v>13</v>
      </c>
      <c r="O12" s="10">
        <v>45082</v>
      </c>
      <c r="P12" s="18">
        <v>46022</v>
      </c>
      <c r="Q12" s="7" t="s">
        <v>14</v>
      </c>
      <c r="W12" s="3">
        <v>18</v>
      </c>
      <c r="X12" s="3">
        <v>9.56</v>
      </c>
      <c r="Y12" s="3">
        <f t="shared" si="0"/>
        <v>1720.8000000000002</v>
      </c>
      <c r="AB12" s="3" t="s">
        <v>49</v>
      </c>
      <c r="AC12" s="3" t="s">
        <v>48</v>
      </c>
      <c r="AD12" s="19">
        <v>45061</v>
      </c>
    </row>
    <row r="13" spans="1:32" x14ac:dyDescent="0.35">
      <c r="A13" t="s">
        <v>47</v>
      </c>
      <c r="B13" s="7" t="s">
        <v>26</v>
      </c>
      <c r="C13" s="7">
        <v>11</v>
      </c>
      <c r="D13" s="7" t="str">
        <f>VLOOKUP(B13,[1]Masterliste!$A:$AJ,7,)</f>
        <v>70001181</v>
      </c>
      <c r="E13" s="7" t="str">
        <f>VLOOKUP(B13,[1]Masterliste!$A:$AJ,8,)</f>
        <v>FOLDED PLATE</v>
      </c>
      <c r="F13" s="7" t="str">
        <f>VLOOKUP(B13,[1]Masterliste!$A:$AJ,28,)</f>
        <v>70001181</v>
      </c>
      <c r="G13" s="7" t="s">
        <v>11</v>
      </c>
      <c r="H13" s="7" t="s">
        <v>12</v>
      </c>
      <c r="I13" s="7" t="s">
        <v>12</v>
      </c>
      <c r="J13" s="7" t="s">
        <v>12</v>
      </c>
      <c r="K13" s="7" t="s">
        <v>12</v>
      </c>
      <c r="L13" s="7">
        <f>VLOOKUP(B13,[1]Masterliste!$A:$AJ,9,)</f>
        <v>90</v>
      </c>
      <c r="N13" s="7" t="s">
        <v>13</v>
      </c>
      <c r="O13" s="10">
        <v>45082</v>
      </c>
      <c r="P13" s="18">
        <v>46022</v>
      </c>
      <c r="Q13" s="7" t="s">
        <v>14</v>
      </c>
      <c r="W13" s="3">
        <v>9</v>
      </c>
      <c r="X13" s="3">
        <v>10.71</v>
      </c>
      <c r="Y13" s="3">
        <f t="shared" si="0"/>
        <v>963.90000000000009</v>
      </c>
      <c r="AB13" s="3" t="s">
        <v>49</v>
      </c>
      <c r="AC13" s="3" t="s">
        <v>48</v>
      </c>
    </row>
    <row r="14" spans="1:32" x14ac:dyDescent="0.35">
      <c r="A14" t="s">
        <v>47</v>
      </c>
      <c r="B14" s="7" t="s">
        <v>27</v>
      </c>
      <c r="C14" s="7">
        <v>12</v>
      </c>
      <c r="D14" s="7" t="str">
        <f>VLOOKUP(B14,[1]Masterliste!$A:$AJ,7,)</f>
        <v>70001182</v>
      </c>
      <c r="E14" s="7" t="str">
        <f>VLOOKUP(B14,[1]Masterliste!$A:$AJ,8,)</f>
        <v>PLATE</v>
      </c>
      <c r="F14" s="7" t="str">
        <f>VLOOKUP(B14,[1]Masterliste!$A:$AJ,28,)</f>
        <v>70001182</v>
      </c>
      <c r="G14" s="7" t="s">
        <v>11</v>
      </c>
      <c r="H14" s="7" t="s">
        <v>12</v>
      </c>
      <c r="I14" s="7" t="s">
        <v>12</v>
      </c>
      <c r="J14" s="7" t="s">
        <v>12</v>
      </c>
      <c r="K14" s="7" t="s">
        <v>12</v>
      </c>
      <c r="L14" s="7">
        <f>VLOOKUP(B14,[1]Masterliste!$A:$AJ,9,)</f>
        <v>90</v>
      </c>
      <c r="N14" s="7" t="s">
        <v>13</v>
      </c>
      <c r="O14" s="10">
        <v>45082</v>
      </c>
      <c r="P14" s="18">
        <v>46022</v>
      </c>
      <c r="Q14" s="7" t="s">
        <v>14</v>
      </c>
      <c r="W14" s="3">
        <v>9</v>
      </c>
      <c r="X14" s="3">
        <v>23.15</v>
      </c>
      <c r="Y14" s="3">
        <f t="shared" si="0"/>
        <v>2083.5</v>
      </c>
      <c r="AB14" s="3" t="s">
        <v>49</v>
      </c>
      <c r="AC14" s="3" t="s">
        <v>48</v>
      </c>
    </row>
    <row r="15" spans="1:32" x14ac:dyDescent="0.35">
      <c r="A15" t="s">
        <v>47</v>
      </c>
      <c r="B15" s="7" t="s">
        <v>28</v>
      </c>
      <c r="C15" s="7">
        <v>13</v>
      </c>
      <c r="D15" s="7" t="str">
        <f>VLOOKUP(B15,[1]Masterliste!$A:$AJ,7,)</f>
        <v>70001183</v>
      </c>
      <c r="E15" s="7" t="str">
        <f>VLOOKUP(B15,[1]Masterliste!$A:$AJ,8,)</f>
        <v>FOLDED PLATE</v>
      </c>
      <c r="F15" s="7" t="str">
        <f>VLOOKUP(B15,[1]Masterliste!$A:$AJ,28,)</f>
        <v>70001183</v>
      </c>
      <c r="G15" s="7" t="s">
        <v>11</v>
      </c>
      <c r="H15" s="7" t="s">
        <v>12</v>
      </c>
      <c r="I15" s="7" t="s">
        <v>12</v>
      </c>
      <c r="J15" s="7" t="s">
        <v>12</v>
      </c>
      <c r="K15" s="7" t="s">
        <v>12</v>
      </c>
      <c r="L15" s="7">
        <f>VLOOKUP(B15,[1]Masterliste!$A:$AJ,9,)</f>
        <v>90</v>
      </c>
      <c r="N15" s="7" t="s">
        <v>13</v>
      </c>
      <c r="O15" s="10">
        <v>45082</v>
      </c>
      <c r="P15" s="18">
        <v>46022</v>
      </c>
      <c r="Q15" s="7" t="s">
        <v>14</v>
      </c>
      <c r="W15" s="3">
        <v>9</v>
      </c>
      <c r="X15" s="3">
        <v>15.49</v>
      </c>
      <c r="Y15" s="3">
        <f t="shared" si="0"/>
        <v>1394.1</v>
      </c>
      <c r="AB15" s="3" t="s">
        <v>49</v>
      </c>
      <c r="AC15" s="3" t="s">
        <v>48</v>
      </c>
    </row>
    <row r="16" spans="1:32" x14ac:dyDescent="0.35">
      <c r="A16" t="s">
        <v>47</v>
      </c>
      <c r="B16" s="7" t="s">
        <v>29</v>
      </c>
      <c r="C16" s="7">
        <v>14</v>
      </c>
      <c r="D16" s="7" t="str">
        <f>VLOOKUP(B16,[1]Masterliste!$A:$AJ,7,)</f>
        <v>70001184</v>
      </c>
      <c r="E16" s="7" t="str">
        <f>VLOOKUP(B16,[1]Masterliste!$A:$AJ,8,)</f>
        <v>FOLDED PLATE</v>
      </c>
      <c r="F16" s="7" t="str">
        <f>VLOOKUP(B16,[1]Masterliste!$A:$AJ,28,)</f>
        <v>70001184</v>
      </c>
      <c r="L16" s="7">
        <f>VLOOKUP(B16,[1]Masterliste!$A:$AJ,9,)</f>
        <v>90</v>
      </c>
      <c r="N16" s="7" t="s">
        <v>13</v>
      </c>
      <c r="O16" s="10">
        <v>45082</v>
      </c>
      <c r="P16" s="18">
        <v>46022</v>
      </c>
      <c r="Q16" s="7" t="s">
        <v>14</v>
      </c>
      <c r="W16" s="3">
        <v>9</v>
      </c>
      <c r="X16" s="3">
        <v>15.5</v>
      </c>
      <c r="Y16" s="3">
        <f t="shared" si="0"/>
        <v>1395</v>
      </c>
      <c r="AB16" s="3" t="s">
        <v>49</v>
      </c>
      <c r="AC16" s="3" t="s">
        <v>48</v>
      </c>
    </row>
    <row r="17" spans="1:29" x14ac:dyDescent="0.35">
      <c r="A17" t="s">
        <v>47</v>
      </c>
      <c r="B17" s="7" t="s">
        <v>30</v>
      </c>
      <c r="C17" s="7">
        <v>15</v>
      </c>
      <c r="D17" s="7" t="str">
        <f>VLOOKUP(B17,[1]Masterliste!$A:$AJ,7,)</f>
        <v>70001226</v>
      </c>
      <c r="E17" s="7" t="str">
        <f>VLOOKUP(B17,[1]Masterliste!$A:$AJ,8,)</f>
        <v>SHIM</v>
      </c>
      <c r="F17" s="7" t="str">
        <f>VLOOKUP(B17,[1]Masterliste!$A:$AJ,28,)</f>
        <v>70001226</v>
      </c>
      <c r="L17" s="7">
        <f>VLOOKUP(B17,[1]Masterliste!$A:$AJ,9,)</f>
        <v>900</v>
      </c>
      <c r="N17" s="7" t="s">
        <v>13</v>
      </c>
      <c r="O17" s="10">
        <v>45082</v>
      </c>
      <c r="P17" s="18">
        <v>46022</v>
      </c>
      <c r="Q17" s="7" t="s">
        <v>14</v>
      </c>
      <c r="W17" s="3">
        <v>90</v>
      </c>
      <c r="X17" s="3">
        <v>1.47</v>
      </c>
      <c r="Y17" s="3">
        <f t="shared" si="0"/>
        <v>1323</v>
      </c>
      <c r="AB17" s="3" t="s">
        <v>49</v>
      </c>
      <c r="AC17" s="3" t="s">
        <v>48</v>
      </c>
    </row>
    <row r="18" spans="1:29" x14ac:dyDescent="0.35">
      <c r="A18" t="s">
        <v>47</v>
      </c>
      <c r="B18" s="7" t="s">
        <v>31</v>
      </c>
      <c r="C18" s="7">
        <v>16</v>
      </c>
      <c r="D18" s="7" t="str">
        <f>VLOOKUP(B18,[1]Masterliste!$A:$AJ,7,)</f>
        <v>70001441</v>
      </c>
      <c r="E18" s="7" t="str">
        <f>VLOOKUP(B18,[1]Masterliste!$A:$AJ,8,)</f>
        <v>PLATE</v>
      </c>
      <c r="F18" s="7" t="str">
        <f>VLOOKUP(B18,[1]Masterliste!$A:$AJ,28,)</f>
        <v>70001441</v>
      </c>
      <c r="L18" s="7">
        <f>VLOOKUP(B18,[1]Masterliste!$A:$AJ,9,)</f>
        <v>270</v>
      </c>
      <c r="N18" s="7" t="s">
        <v>13</v>
      </c>
      <c r="O18" s="10">
        <v>45082</v>
      </c>
      <c r="P18" s="18">
        <v>46022</v>
      </c>
      <c r="Q18" s="7" t="s">
        <v>14</v>
      </c>
      <c r="W18" s="3">
        <v>27</v>
      </c>
      <c r="X18" s="3">
        <v>0.91</v>
      </c>
      <c r="Y18" s="3">
        <f t="shared" si="0"/>
        <v>245.70000000000002</v>
      </c>
      <c r="AB18" s="3" t="s">
        <v>49</v>
      </c>
      <c r="AC18" s="3" t="s">
        <v>48</v>
      </c>
    </row>
    <row r="19" spans="1:29" x14ac:dyDescent="0.35">
      <c r="A19" t="s">
        <v>47</v>
      </c>
      <c r="B19" s="7" t="s">
        <v>32</v>
      </c>
      <c r="C19" s="7">
        <v>17</v>
      </c>
      <c r="D19" s="7" t="str">
        <f>VLOOKUP(B19,[1]Masterliste!$A:$AJ,7,)</f>
        <v>70001162</v>
      </c>
      <c r="E19" s="7" t="str">
        <f>VLOOKUP(B19,[1]Masterliste!$A:$AJ,8,)</f>
        <v>RAIL</v>
      </c>
      <c r="F19" s="7" t="str">
        <f>VLOOKUP(B19,[1]Masterliste!$A:$AJ,28,)</f>
        <v>70001162</v>
      </c>
      <c r="L19" s="7">
        <f>VLOOKUP(B19,[1]Masterliste!$A:$AJ,9,)</f>
        <v>90</v>
      </c>
      <c r="N19" s="7" t="s">
        <v>13</v>
      </c>
      <c r="O19" s="10">
        <v>45082</v>
      </c>
      <c r="P19" s="18">
        <v>46022</v>
      </c>
      <c r="Q19" s="7" t="s">
        <v>14</v>
      </c>
      <c r="W19" s="3">
        <v>9</v>
      </c>
      <c r="X19" s="3">
        <v>4.7</v>
      </c>
      <c r="Y19" s="3">
        <f t="shared" si="0"/>
        <v>423</v>
      </c>
      <c r="AB19" s="3" t="s">
        <v>49</v>
      </c>
      <c r="AC19" s="3" t="s">
        <v>48</v>
      </c>
    </row>
    <row r="20" spans="1:29" x14ac:dyDescent="0.35">
      <c r="A20" t="s">
        <v>47</v>
      </c>
      <c r="B20" s="7" t="s">
        <v>33</v>
      </c>
      <c r="C20" s="7">
        <v>18</v>
      </c>
      <c r="D20" s="7" t="str">
        <f>VLOOKUP(B20,[1]Masterliste!$A:$AJ,7,)</f>
        <v>70001163</v>
      </c>
      <c r="E20" s="7" t="str">
        <f>VLOOKUP(B20,[1]Masterliste!$A:$AJ,8,)</f>
        <v>BRACKET</v>
      </c>
      <c r="F20" s="7" t="str">
        <f>VLOOKUP(B20,[1]Masterliste!$A:$AJ,28,)</f>
        <v>70001163</v>
      </c>
      <c r="L20" s="7">
        <f>VLOOKUP(B20,[1]Masterliste!$A:$AJ,9,)</f>
        <v>90</v>
      </c>
      <c r="N20" s="7" t="s">
        <v>13</v>
      </c>
      <c r="O20" s="10">
        <v>45082</v>
      </c>
      <c r="P20" s="18">
        <v>46022</v>
      </c>
      <c r="Q20" s="7" t="s">
        <v>14</v>
      </c>
      <c r="W20" s="3">
        <v>9</v>
      </c>
      <c r="X20" s="3">
        <v>9.11</v>
      </c>
      <c r="Y20" s="3">
        <f t="shared" si="0"/>
        <v>819.9</v>
      </c>
      <c r="AB20" s="3" t="s">
        <v>49</v>
      </c>
      <c r="AC20" s="3" t="s">
        <v>48</v>
      </c>
    </row>
    <row r="21" spans="1:29" x14ac:dyDescent="0.35">
      <c r="A21" t="s">
        <v>47</v>
      </c>
      <c r="B21" s="7" t="s">
        <v>34</v>
      </c>
      <c r="C21" s="7">
        <v>19</v>
      </c>
      <c r="D21" s="7" t="str">
        <f>VLOOKUP(B21,[1]Masterliste!$A:$AJ,7,)</f>
        <v>70001171</v>
      </c>
      <c r="E21" s="7" t="str">
        <f>VLOOKUP(B21,[1]Masterliste!$A:$AJ,8,)</f>
        <v>SHIM 2MM</v>
      </c>
      <c r="F21" s="7" t="str">
        <f>VLOOKUP(B21,[1]Masterliste!$A:$AJ,28,)</f>
        <v>70001171</v>
      </c>
      <c r="L21" s="7">
        <f>VLOOKUP(B21,[1]Masterliste!$A:$AJ,9,)</f>
        <v>360</v>
      </c>
      <c r="N21" s="7" t="s">
        <v>13</v>
      </c>
      <c r="O21" s="10">
        <v>45082</v>
      </c>
      <c r="P21" s="18">
        <v>46022</v>
      </c>
      <c r="Q21" s="7" t="s">
        <v>14</v>
      </c>
      <c r="W21" s="3">
        <v>36</v>
      </c>
      <c r="X21" s="3">
        <v>1.25</v>
      </c>
      <c r="Y21" s="3">
        <f t="shared" si="0"/>
        <v>450</v>
      </c>
      <c r="AB21" s="3" t="s">
        <v>49</v>
      </c>
      <c r="AC21" s="3" t="s">
        <v>48</v>
      </c>
    </row>
    <row r="22" spans="1:29" x14ac:dyDescent="0.35">
      <c r="A22" t="s">
        <v>47</v>
      </c>
      <c r="B22" s="7" t="s">
        <v>35</v>
      </c>
      <c r="C22" s="7">
        <v>20</v>
      </c>
      <c r="D22" s="7" t="str">
        <f>VLOOKUP(B22,[1]Masterliste!$A:$AJ,7,)</f>
        <v>70001172</v>
      </c>
      <c r="E22" s="7" t="str">
        <f>VLOOKUP(B22,[1]Masterliste!$A:$AJ,8,)</f>
        <v>SHIM 1MM</v>
      </c>
      <c r="F22" s="7" t="str">
        <f>VLOOKUP(B22,[1]Masterliste!$A:$AJ,28,)</f>
        <v>70001172</v>
      </c>
      <c r="L22" s="7">
        <f>VLOOKUP(B22,[1]Masterliste!$A:$AJ,9,)</f>
        <v>720</v>
      </c>
      <c r="N22" s="7" t="s">
        <v>13</v>
      </c>
      <c r="O22" s="10">
        <v>45082</v>
      </c>
      <c r="P22" s="18">
        <v>46022</v>
      </c>
      <c r="Q22" s="7" t="s">
        <v>14</v>
      </c>
      <c r="W22" s="3">
        <v>72</v>
      </c>
      <c r="X22" s="3">
        <v>0.76</v>
      </c>
      <c r="Y22" s="3">
        <f t="shared" si="0"/>
        <v>547.20000000000005</v>
      </c>
      <c r="AB22" s="3" t="s">
        <v>49</v>
      </c>
      <c r="AC22" s="3" t="s">
        <v>48</v>
      </c>
    </row>
    <row r="23" spans="1:29" x14ac:dyDescent="0.35">
      <c r="A23" t="s">
        <v>47</v>
      </c>
      <c r="B23" s="7" t="s">
        <v>36</v>
      </c>
      <c r="C23" s="7">
        <v>21</v>
      </c>
      <c r="D23" s="7" t="str">
        <f>VLOOKUP(B23,[1]Masterliste!$A:$AJ,7,)</f>
        <v>70002557</v>
      </c>
      <c r="E23" s="7" t="str">
        <f>VLOOKUP(B23,[1]Masterliste!$A:$AJ,8,)</f>
        <v>THREADED SHAFT</v>
      </c>
      <c r="F23" s="7" t="str">
        <f>VLOOKUP(B23,[1]Masterliste!$A:$AJ,28,)</f>
        <v>70002557</v>
      </c>
      <c r="L23" s="7">
        <f>VLOOKUP(B23,[1]Masterliste!$A:$AJ,9,)</f>
        <v>180</v>
      </c>
      <c r="N23" s="7" t="s">
        <v>13</v>
      </c>
      <c r="O23" s="10">
        <v>45082</v>
      </c>
      <c r="P23" s="18">
        <v>46022</v>
      </c>
      <c r="Q23" s="7" t="s">
        <v>14</v>
      </c>
      <c r="Y23" s="3">
        <f t="shared" si="0"/>
        <v>0</v>
      </c>
      <c r="AB23" s="3" t="s">
        <v>49</v>
      </c>
      <c r="AC23" s="3" t="s">
        <v>48</v>
      </c>
    </row>
    <row r="24" spans="1:29" x14ac:dyDescent="0.35">
      <c r="A24" t="s">
        <v>47</v>
      </c>
      <c r="B24" s="7" t="s">
        <v>37</v>
      </c>
      <c r="C24" s="7">
        <v>22</v>
      </c>
      <c r="D24" s="7" t="str">
        <f>VLOOKUP(B24,[1]Masterliste!$A:$AJ,7,)</f>
        <v>70001117</v>
      </c>
      <c r="E24" s="7" t="str">
        <f>VLOOKUP(B24,[1]Masterliste!$A:$AJ,8,)</f>
        <v>SHIM</v>
      </c>
      <c r="F24" s="7" t="str">
        <f>VLOOKUP(B24,[1]Masterliste!$A:$AJ,28,)</f>
        <v>70001117</v>
      </c>
      <c r="L24" s="7">
        <f>VLOOKUP(B24,[1]Masterliste!$A:$AJ,9,)</f>
        <v>180</v>
      </c>
      <c r="N24" s="7" t="s">
        <v>13</v>
      </c>
      <c r="O24" s="10">
        <v>45082</v>
      </c>
      <c r="P24" s="18">
        <v>46022</v>
      </c>
      <c r="Q24" s="7" t="s">
        <v>14</v>
      </c>
      <c r="W24" s="3">
        <v>18</v>
      </c>
      <c r="X24" s="3">
        <v>1.67</v>
      </c>
      <c r="Y24" s="3">
        <f t="shared" si="0"/>
        <v>300.59999999999997</v>
      </c>
      <c r="AB24" s="3" t="s">
        <v>49</v>
      </c>
      <c r="AC24" s="3" t="s">
        <v>48</v>
      </c>
    </row>
    <row r="25" spans="1:29" x14ac:dyDescent="0.35">
      <c r="A25" t="s">
        <v>47</v>
      </c>
      <c r="B25" s="7" t="s">
        <v>38</v>
      </c>
      <c r="C25" s="7">
        <v>23</v>
      </c>
      <c r="D25" s="7" t="str">
        <f>VLOOKUP(B25,[1]Masterliste!$A:$AJ,7,)</f>
        <v>70001118</v>
      </c>
      <c r="E25" s="7" t="str">
        <f>VLOOKUP(B25,[1]Masterliste!$A:$AJ,8,)</f>
        <v>SHIM</v>
      </c>
      <c r="F25" s="7" t="str">
        <f>VLOOKUP(B25,[1]Masterliste!$A:$AJ,28,)</f>
        <v>70001118</v>
      </c>
      <c r="L25" s="7">
        <f>VLOOKUP(B25,[1]Masterliste!$A:$AJ,9,)</f>
        <v>180</v>
      </c>
      <c r="N25" s="7" t="s">
        <v>13</v>
      </c>
      <c r="O25" s="10">
        <v>45082</v>
      </c>
      <c r="P25" s="18">
        <v>46022</v>
      </c>
      <c r="Q25" s="7" t="s">
        <v>14</v>
      </c>
      <c r="W25" s="3">
        <v>18</v>
      </c>
      <c r="X25" s="3">
        <v>1.96</v>
      </c>
      <c r="Y25" s="3">
        <f t="shared" si="0"/>
        <v>352.8</v>
      </c>
      <c r="AB25" s="3" t="s">
        <v>49</v>
      </c>
      <c r="AC25" s="3" t="s">
        <v>48</v>
      </c>
    </row>
    <row r="26" spans="1:29" x14ac:dyDescent="0.35">
      <c r="A26" t="s">
        <v>47</v>
      </c>
      <c r="B26" s="7" t="s">
        <v>39</v>
      </c>
      <c r="C26" s="7">
        <v>24</v>
      </c>
      <c r="D26" s="7" t="str">
        <f>VLOOKUP(B26,[1]Masterliste!$A:$AJ,7,)</f>
        <v>70001107</v>
      </c>
      <c r="E26" s="7" t="str">
        <f>VLOOKUP(B26,[1]Masterliste!$A:$AJ,8,)</f>
        <v>BRACKET</v>
      </c>
      <c r="F26" s="7" t="str">
        <f>VLOOKUP(B26,[1]Masterliste!$A:$AJ,28,)</f>
        <v>70001107</v>
      </c>
      <c r="L26" s="7">
        <f>VLOOKUP(B26,[1]Masterliste!$A:$AJ,9,)</f>
        <v>90</v>
      </c>
      <c r="N26" s="7" t="s">
        <v>13</v>
      </c>
      <c r="O26" s="10">
        <v>45082</v>
      </c>
      <c r="P26" s="18">
        <v>46022</v>
      </c>
      <c r="Q26" s="7" t="s">
        <v>14</v>
      </c>
      <c r="W26" s="3">
        <v>9</v>
      </c>
      <c r="X26" s="3">
        <v>3.39</v>
      </c>
      <c r="Y26" s="3">
        <f t="shared" si="0"/>
        <v>305.10000000000002</v>
      </c>
      <c r="AB26" s="3" t="s">
        <v>49</v>
      </c>
      <c r="AC26" s="3" t="s">
        <v>48</v>
      </c>
    </row>
    <row r="27" spans="1:29" x14ac:dyDescent="0.35">
      <c r="A27" t="s">
        <v>47</v>
      </c>
      <c r="B27" s="7" t="s">
        <v>40</v>
      </c>
      <c r="C27" s="7">
        <v>25</v>
      </c>
      <c r="D27" s="7" t="str">
        <f>VLOOKUP(B27,[1]Masterliste!$A:$AJ,7,)</f>
        <v>70001108</v>
      </c>
      <c r="E27" s="7" t="str">
        <f>VLOOKUP(B27,[1]Masterliste!$A:$AJ,8,)</f>
        <v>BRACKET</v>
      </c>
      <c r="F27" s="7" t="str">
        <f>VLOOKUP(B27,[1]Masterliste!$A:$AJ,28,)</f>
        <v>70001108</v>
      </c>
      <c r="L27" s="7">
        <f>VLOOKUP(B27,[1]Masterliste!$A:$AJ,9,)</f>
        <v>90</v>
      </c>
      <c r="N27" s="7" t="s">
        <v>13</v>
      </c>
      <c r="O27" s="10">
        <v>45082</v>
      </c>
      <c r="P27" s="18">
        <v>46022</v>
      </c>
      <c r="Q27" s="7" t="s">
        <v>14</v>
      </c>
      <c r="W27" s="3">
        <v>9</v>
      </c>
      <c r="X27" s="3">
        <v>10.82</v>
      </c>
      <c r="Y27" s="3">
        <f t="shared" si="0"/>
        <v>973.80000000000007</v>
      </c>
      <c r="AB27" s="3" t="s">
        <v>49</v>
      </c>
      <c r="AC27" s="3" t="s">
        <v>48</v>
      </c>
    </row>
    <row r="28" spans="1:29" x14ac:dyDescent="0.35">
      <c r="A28" t="s">
        <v>47</v>
      </c>
      <c r="B28" s="7" t="s">
        <v>41</v>
      </c>
      <c r="C28" s="7">
        <v>26</v>
      </c>
      <c r="D28" s="7" t="str">
        <f>VLOOKUP(B28,[1]Masterliste!$A:$AJ,7,)</f>
        <v>70001109</v>
      </c>
      <c r="E28" s="7" t="str">
        <f>VLOOKUP(B28,[1]Masterliste!$A:$AJ,8,)</f>
        <v>BRACKET</v>
      </c>
      <c r="F28" s="7" t="str">
        <f>VLOOKUP(B28,[1]Masterliste!$A:$AJ,28,)</f>
        <v>70001109</v>
      </c>
      <c r="L28" s="7">
        <f>VLOOKUP(B28,[1]Masterliste!$A:$AJ,9,)</f>
        <v>90</v>
      </c>
      <c r="N28" s="7" t="s">
        <v>13</v>
      </c>
      <c r="O28" s="10">
        <v>45082</v>
      </c>
      <c r="P28" s="18">
        <v>46022</v>
      </c>
      <c r="Q28" s="7" t="s">
        <v>14</v>
      </c>
      <c r="W28" s="3">
        <v>9</v>
      </c>
      <c r="X28" s="3">
        <v>3.32</v>
      </c>
      <c r="Y28" s="3">
        <f t="shared" si="0"/>
        <v>298.8</v>
      </c>
      <c r="AB28" s="3" t="s">
        <v>49</v>
      </c>
      <c r="AC28" s="3" t="s">
        <v>48</v>
      </c>
    </row>
    <row r="29" spans="1:29" x14ac:dyDescent="0.35">
      <c r="A29" t="s">
        <v>47</v>
      </c>
      <c r="B29" s="7" t="s">
        <v>42</v>
      </c>
      <c r="C29" s="7">
        <v>27</v>
      </c>
      <c r="D29" s="7" t="str">
        <f>VLOOKUP(B29,[1]Masterliste!$A:$AJ,7,)</f>
        <v>70001110</v>
      </c>
      <c r="E29" s="7" t="str">
        <f>VLOOKUP(B29,[1]Masterliste!$A:$AJ,8,)</f>
        <v>SHIM</v>
      </c>
      <c r="F29" s="7" t="str">
        <f>VLOOKUP(B29,[1]Masterliste!$A:$AJ,28,)</f>
        <v>70001110</v>
      </c>
      <c r="L29" s="7">
        <f>VLOOKUP(B29,[1]Masterliste!$A:$AJ,9,)</f>
        <v>4860</v>
      </c>
      <c r="N29" s="7" t="s">
        <v>13</v>
      </c>
      <c r="O29" s="10">
        <v>45082</v>
      </c>
      <c r="P29" s="18">
        <v>46022</v>
      </c>
      <c r="Q29" s="7" t="s">
        <v>14</v>
      </c>
      <c r="W29" s="3">
        <v>486</v>
      </c>
      <c r="X29" s="3">
        <v>0.55000000000000004</v>
      </c>
      <c r="Y29" s="3">
        <f t="shared" si="0"/>
        <v>2673</v>
      </c>
      <c r="AB29" s="3" t="s">
        <v>49</v>
      </c>
      <c r="AC29" s="3" t="s">
        <v>48</v>
      </c>
    </row>
    <row r="30" spans="1:29" x14ac:dyDescent="0.35">
      <c r="A30" t="s">
        <v>47</v>
      </c>
      <c r="B30" s="7" t="s">
        <v>43</v>
      </c>
      <c r="C30" s="7">
        <v>28</v>
      </c>
      <c r="D30" s="7" t="str">
        <f>VLOOKUP(B30,[1]Masterliste!$A:$AJ,7,)</f>
        <v>70001111</v>
      </c>
      <c r="E30" s="7" t="str">
        <f>VLOOKUP(B30,[1]Masterliste!$A:$AJ,8,)</f>
        <v>SHIM</v>
      </c>
      <c r="F30" s="7" t="str">
        <f>VLOOKUP(B30,[1]Masterliste!$A:$AJ,28,)</f>
        <v>70001111</v>
      </c>
      <c r="L30" s="7">
        <f>VLOOKUP(B30,[1]Masterliste!$A:$AJ,9,)</f>
        <v>6480</v>
      </c>
      <c r="N30" s="7" t="s">
        <v>13</v>
      </c>
      <c r="O30" s="10">
        <v>45082</v>
      </c>
      <c r="P30" s="18">
        <v>46022</v>
      </c>
      <c r="Q30" s="7" t="s">
        <v>14</v>
      </c>
      <c r="W30" s="3">
        <v>648</v>
      </c>
      <c r="X30" s="3">
        <v>0.38</v>
      </c>
      <c r="Y30" s="3">
        <f t="shared" si="0"/>
        <v>2462.4</v>
      </c>
      <c r="AB30" s="3" t="s">
        <v>49</v>
      </c>
      <c r="AC30" s="3" t="s">
        <v>48</v>
      </c>
    </row>
    <row r="31" spans="1:29" x14ac:dyDescent="0.35">
      <c r="A31" t="s">
        <v>47</v>
      </c>
      <c r="B31" s="7" t="s">
        <v>44</v>
      </c>
      <c r="C31" s="7">
        <v>29</v>
      </c>
      <c r="D31" s="7" t="str">
        <f>VLOOKUP(B31,[1]Masterliste!$A:$AJ,7,)</f>
        <v>70001332</v>
      </c>
      <c r="E31" s="7" t="str">
        <f>VLOOKUP(B31,[1]Masterliste!$A:$AJ,8,)</f>
        <v>SUPPORT</v>
      </c>
      <c r="F31" s="7" t="str">
        <f>VLOOKUP(B31,[1]Masterliste!$A:$AJ,28,)</f>
        <v>70001332</v>
      </c>
      <c r="L31" s="7">
        <f>VLOOKUP(B31,[1]Masterliste!$A:$AJ,9,)</f>
        <v>90</v>
      </c>
      <c r="N31" s="7" t="s">
        <v>13</v>
      </c>
      <c r="O31" s="10">
        <v>45082</v>
      </c>
      <c r="P31" s="18">
        <v>46022</v>
      </c>
      <c r="Q31" s="7" t="s">
        <v>14</v>
      </c>
      <c r="W31" s="3">
        <v>9</v>
      </c>
      <c r="X31" s="3">
        <v>4.54</v>
      </c>
      <c r="Y31" s="3">
        <f t="shared" si="0"/>
        <v>408.6</v>
      </c>
      <c r="AB31" s="3" t="s">
        <v>49</v>
      </c>
      <c r="AC31" s="3" t="s">
        <v>48</v>
      </c>
    </row>
    <row r="32" spans="1:29" x14ac:dyDescent="0.35">
      <c r="A32" t="s">
        <v>47</v>
      </c>
      <c r="B32" s="7" t="s">
        <v>45</v>
      </c>
      <c r="C32" s="7">
        <v>30</v>
      </c>
      <c r="D32" s="7" t="str">
        <f>VLOOKUP(B32,[1]Masterliste!$A:$AJ,7,)</f>
        <v>70002563</v>
      </c>
      <c r="E32" s="7" t="str">
        <f>VLOOKUP(B32,[1]Masterliste!$A:$AJ,8,)</f>
        <v>SHIM 1MM</v>
      </c>
      <c r="F32" s="7" t="str">
        <f>VLOOKUP(B32,[1]Masterliste!$A:$AJ,28,)</f>
        <v>70002563</v>
      </c>
      <c r="L32" s="7">
        <f>VLOOKUP(B32,[1]Masterliste!$A:$AJ,9,)</f>
        <v>360</v>
      </c>
      <c r="N32" s="7" t="s">
        <v>13</v>
      </c>
      <c r="O32" s="10">
        <v>45082</v>
      </c>
      <c r="P32" s="18">
        <v>46022</v>
      </c>
      <c r="Q32" s="7" t="s">
        <v>14</v>
      </c>
      <c r="W32" s="3">
        <v>9</v>
      </c>
      <c r="X32" s="3">
        <v>0.71</v>
      </c>
      <c r="Y32" s="3">
        <f t="shared" si="0"/>
        <v>255.6</v>
      </c>
      <c r="AB32" s="3" t="s">
        <v>49</v>
      </c>
      <c r="AC32" s="3" t="s">
        <v>48</v>
      </c>
    </row>
    <row r="33" spans="1:29" x14ac:dyDescent="0.35">
      <c r="A33" t="s">
        <v>47</v>
      </c>
      <c r="B33" s="7" t="s">
        <v>46</v>
      </c>
      <c r="C33" s="7">
        <v>31</v>
      </c>
      <c r="D33" s="7" t="str">
        <f>VLOOKUP(B33,[1]Masterliste!$A:$AJ,7,)</f>
        <v>70002564</v>
      </c>
      <c r="E33" s="7" t="str">
        <f>VLOOKUP(B33,[1]Masterliste!$A:$AJ,8,)</f>
        <v>SHIM 1MM</v>
      </c>
      <c r="F33" s="7" t="str">
        <f>VLOOKUP(B33,[1]Masterliste!$A:$AJ,28,)</f>
        <v>70002564</v>
      </c>
      <c r="L33" s="7">
        <f>VLOOKUP(B33,[1]Masterliste!$A:$AJ,9,)</f>
        <v>360</v>
      </c>
      <c r="N33" s="7" t="s">
        <v>13</v>
      </c>
      <c r="O33" s="10">
        <v>45082</v>
      </c>
      <c r="P33" s="18">
        <v>46022</v>
      </c>
      <c r="Q33" s="7" t="s">
        <v>14</v>
      </c>
      <c r="W33" s="3">
        <v>36</v>
      </c>
      <c r="X33" s="3">
        <v>0.84</v>
      </c>
      <c r="Y33" s="3">
        <f t="shared" si="0"/>
        <v>302.39999999999998</v>
      </c>
      <c r="AB33" s="3" t="s">
        <v>49</v>
      </c>
      <c r="AC33" s="3" t="s">
        <v>48</v>
      </c>
    </row>
  </sheetData>
  <sheetProtection algorithmName="SHA-512" hashValue="0A8JjZ5lAUs1u9nUuDv2hsVhhpGoVv7QEFekM1EhGZxTRn81yfWY31Sj/1a28UvKDwj2jFQHu0i73iPsCY64Kw==" saltValue="vYH5PSXS/phbdRLOcpzVGA==" spinCount="100000" sheet="1" objects="1" scenarios="1" formatColumns="0" sort="0" autoFilter="0"/>
  <autoFilter ref="A2:AE15" xr:uid="{6AC76075-96C6-4304-A8DC-C24F5936170A}">
    <sortState xmlns:xlrd2="http://schemas.microsoft.com/office/spreadsheetml/2017/richdata2" ref="A3:AE5">
      <sortCondition descending="1" ref="Q2:Q5"/>
    </sortState>
  </autoFilter>
  <pageMargins left="0.31496062992125984" right="0.31496062992125984" top="0.74803149606299213" bottom="0.74803149606299213" header="0.31496062992125984" footer="0.31496062992125984"/>
  <pageSetup paperSize="9" scale="6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utomatisch_ausfüllen">
                <anchor moveWithCells="1">
                  <from>
                    <xdr:col>0</xdr:col>
                    <xdr:colOff>19050</xdr:colOff>
                    <xdr:row>0</xdr:row>
                    <xdr:rowOff>0</xdr:rowOff>
                  </from>
                  <to>
                    <xdr:col>1</xdr:col>
                    <xdr:colOff>0</xdr:colOff>
                    <xdr:row>0</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FDD4B2-3E62-4B67-9B30-C90B2025B137}">
          <x14:formula1>
            <xm:f>Legende!$I$5:$I$6</xm:f>
          </x14:formula1>
          <xm:sqref>AE1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70DBC-DCF3-4DAE-98BC-0DD1D0B5373C}">
  <dimension ref="A1:A13"/>
  <sheetViews>
    <sheetView workbookViewId="0">
      <selection activeCell="A13" sqref="A13"/>
    </sheetView>
  </sheetViews>
  <sheetFormatPr defaultColWidth="8.7265625" defaultRowHeight="14.5" x14ac:dyDescent="0.35"/>
  <cols>
    <col min="1" max="1" width="14" customWidth="1"/>
  </cols>
  <sheetData>
    <row r="1" spans="1:1" x14ac:dyDescent="0.35">
      <c r="A1">
        <v>70000603</v>
      </c>
    </row>
    <row r="2" spans="1:1" x14ac:dyDescent="0.35">
      <c r="A2">
        <v>70000616</v>
      </c>
    </row>
    <row r="3" spans="1:1" x14ac:dyDescent="0.35">
      <c r="A3">
        <v>70000619</v>
      </c>
    </row>
    <row r="4" spans="1:1" x14ac:dyDescent="0.35">
      <c r="A4">
        <v>70000620</v>
      </c>
    </row>
    <row r="5" spans="1:1" x14ac:dyDescent="0.35">
      <c r="A5">
        <v>70001343</v>
      </c>
    </row>
    <row r="6" spans="1:1" x14ac:dyDescent="0.35">
      <c r="A6">
        <v>70002080</v>
      </c>
    </row>
    <row r="7" spans="1:1" x14ac:dyDescent="0.35">
      <c r="A7">
        <v>70002085</v>
      </c>
    </row>
    <row r="8" spans="1:1" x14ac:dyDescent="0.35">
      <c r="A8">
        <v>70002087</v>
      </c>
    </row>
    <row r="9" spans="1:1" x14ac:dyDescent="0.35">
      <c r="A9">
        <v>70002088</v>
      </c>
    </row>
    <row r="10" spans="1:1" x14ac:dyDescent="0.35">
      <c r="A10">
        <v>70002089</v>
      </c>
    </row>
    <row r="11" spans="1:1" x14ac:dyDescent="0.35">
      <c r="A11">
        <v>70002090</v>
      </c>
    </row>
    <row r="12" spans="1:1" x14ac:dyDescent="0.35">
      <c r="A12">
        <v>70002092</v>
      </c>
    </row>
    <row r="13" spans="1:1" x14ac:dyDescent="0.35">
      <c r="A13">
        <v>70002093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DDFB3-8090-4370-89E2-A74408322EA6}">
  <sheetPr codeName="Sheet2">
    <tabColor rgb="FFFFFF00"/>
  </sheetPr>
  <dimension ref="A1:I6"/>
  <sheetViews>
    <sheetView workbookViewId="0">
      <selection activeCell="A39" sqref="A39"/>
    </sheetView>
  </sheetViews>
  <sheetFormatPr defaultColWidth="11.453125" defaultRowHeight="14.5" x14ac:dyDescent="0.35"/>
  <cols>
    <col min="1" max="1" width="19.453125" customWidth="1"/>
    <col min="2" max="2" width="38.453125" bestFit="1" customWidth="1"/>
  </cols>
  <sheetData>
    <row r="1" spans="1:9" x14ac:dyDescent="0.35">
      <c r="A1" t="s">
        <v>1</v>
      </c>
    </row>
    <row r="2" spans="1:9" x14ac:dyDescent="0.35">
      <c r="A2" t="s">
        <v>0</v>
      </c>
    </row>
    <row r="4" spans="1:9" x14ac:dyDescent="0.35">
      <c r="A4" s="1" t="s">
        <v>2</v>
      </c>
      <c r="B4" t="s">
        <v>3</v>
      </c>
    </row>
    <row r="5" spans="1:9" x14ac:dyDescent="0.35">
      <c r="A5" s="2" t="s">
        <v>5</v>
      </c>
      <c r="B5" t="s">
        <v>4</v>
      </c>
      <c r="I5" t="s">
        <v>9</v>
      </c>
    </row>
    <row r="6" spans="1:9" x14ac:dyDescent="0.35">
      <c r="A6" t="s">
        <v>6</v>
      </c>
      <c r="B6" t="s">
        <v>7</v>
      </c>
      <c r="I6" t="s">
        <v>10</v>
      </c>
    </row>
  </sheetData>
  <sheetProtection selectLockedCells="1" selectUnlockedCells="1"/>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3</vt:i4>
      </vt:variant>
    </vt:vector>
  </HeadingPairs>
  <TitlesOfParts>
    <vt:vector size="3" baseType="lpstr">
      <vt:lpstr>Anfragepaket</vt:lpstr>
      <vt:lpstr>Sayfa1</vt:lpstr>
      <vt:lpstr>Legende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Agakoc Hasan STAP</dc:creator>
  <cp:lastModifiedBy>Karolina Kisielińska</cp:lastModifiedBy>
  <dcterms:created xsi:type="dcterms:W3CDTF">2015-06-05T18:19:34Z</dcterms:created>
  <dcterms:modified xsi:type="dcterms:W3CDTF">2023-05-15T06:34:31Z</dcterms:modified>
</cp:coreProperties>
</file>